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 Fisik Bahan Baku" sheetId="1" r:id="rId5"/>
    <sheet state="visible" name="Kas Fisik Oprasional" sheetId="2" r:id="rId6"/>
    <sheet state="visible" name="list Reimburse" sheetId="3" r:id="rId7"/>
    <sheet state="visible" name="Hutang Suplier" sheetId="4" r:id="rId8"/>
    <sheet state="visible" name="Kas Besar" sheetId="5" r:id="rId9"/>
    <sheet state="visible" name="Daftar Harga" sheetId="6" r:id="rId10"/>
    <sheet state="visible" name="Invoice B01" sheetId="7" r:id="rId11"/>
    <sheet state="visible" name="Invoice OPS B01" sheetId="8" r:id="rId12"/>
    <sheet state="visible" name="Invoice B02" sheetId="9" r:id="rId13"/>
    <sheet state="visible" name="Invoice OPS B02" sheetId="10" r:id="rId14"/>
    <sheet state="visible" name="Invoice Wer" sheetId="11" r:id="rId15"/>
    <sheet state="visible" name="Invoice OPS Wer" sheetId="12" r:id="rId16"/>
    <sheet state="visible" name="Invoice Bin" sheetId="13" r:id="rId17"/>
    <sheet state="visible" name="Invoice OPS Bin" sheetId="14" r:id="rId18"/>
    <sheet state="visible" name="Invoice Teg" sheetId="15" r:id="rId19"/>
    <sheet state="visible" name="Invoice OPS Teg" sheetId="16" r:id="rId20"/>
    <sheet state="visible" name="Invoice Kal" sheetId="17" r:id="rId21"/>
    <sheet state="visible" name="Invoice OPS Kal" sheetId="18" r:id="rId22"/>
    <sheet state="visible" name="Ringkasan Margin" sheetId="19" r:id="rId23"/>
    <sheet state="visible" name="Petty Cash" sheetId="20" r:id="rId24"/>
  </sheets>
  <definedNames/>
  <calcPr/>
</workbook>
</file>

<file path=xl/sharedStrings.xml><?xml version="1.0" encoding="utf-8"?>
<sst xmlns="http://schemas.openxmlformats.org/spreadsheetml/2006/main" count="15685" uniqueCount="2356">
  <si>
    <t>LAPORAN BELANJA BAHAN BAKU</t>
  </si>
  <si>
    <t>KOPERASI GOTONG ROYONG SEJAHTERA NUSANTARA</t>
  </si>
  <si>
    <t>MEI 2026</t>
  </si>
  <si>
    <t>TANGGAL</t>
  </si>
  <si>
    <t>NO</t>
  </si>
  <si>
    <t>NAMA TOKO</t>
  </si>
  <si>
    <t>NAMA BARANG</t>
  </si>
  <si>
    <t>SATUAN</t>
  </si>
  <si>
    <t>QTY</t>
  </si>
  <si>
    <t>HARGA</t>
  </si>
  <si>
    <t>SUBTOTAL</t>
  </si>
  <si>
    <t>TOTAL</t>
  </si>
  <si>
    <t>ADMIN</t>
  </si>
  <si>
    <t>24 Mei 2026</t>
  </si>
  <si>
    <t>RICHARD TANTAMA</t>
  </si>
  <si>
    <t>KNOOR CHICK POWDER</t>
  </si>
  <si>
    <t>KG</t>
  </si>
  <si>
    <t>v</t>
  </si>
  <si>
    <t>DINAWATI</t>
  </si>
  <si>
    <t>BAMER KULIT</t>
  </si>
  <si>
    <t>BAMER KUPAS</t>
  </si>
  <si>
    <t>BAPUT KUPAS</t>
  </si>
  <si>
    <t>PT. BERKAT SINERGI TERPADU</t>
  </si>
  <si>
    <t>BOMBAY CAMBRIDGE 50/60 CRB</t>
  </si>
  <si>
    <t>KARUNG</t>
  </si>
  <si>
    <t>AMMIRUDIN</t>
  </si>
  <si>
    <t>KOL</t>
  </si>
  <si>
    <t>SRI WATI</t>
  </si>
  <si>
    <t>BUNCIS</t>
  </si>
  <si>
    <t>CABE MERAH</t>
  </si>
  <si>
    <t>RAWIT MERAH</t>
  </si>
  <si>
    <t>DAUN BAWANG</t>
  </si>
  <si>
    <t>JAHE</t>
  </si>
  <si>
    <t>CESIM</t>
  </si>
  <si>
    <t>TIMUN</t>
  </si>
  <si>
    <t>WORTEL</t>
  </si>
  <si>
    <t>PAKCOY</t>
  </si>
  <si>
    <t>RUSDIANTO</t>
  </si>
  <si>
    <t>LAOS</t>
  </si>
  <si>
    <t>SEREH</t>
  </si>
  <si>
    <t>KUNIR</t>
  </si>
  <si>
    <t>SALAM</t>
  </si>
  <si>
    <t>ADE SETIAWAN</t>
  </si>
  <si>
    <t>TOMAT</t>
  </si>
  <si>
    <t>H.ZAENAL</t>
  </si>
  <si>
    <t>GULA PUTIH</t>
  </si>
  <si>
    <t>KECAP INGGRIS</t>
  </si>
  <si>
    <t>BANGO 1.5</t>
  </si>
  <si>
    <t>BOTOL</t>
  </si>
  <si>
    <t>KEMIRI</t>
  </si>
  <si>
    <t>PCS</t>
  </si>
  <si>
    <t>LADA HITAM</t>
  </si>
  <si>
    <t>ROYCO</t>
  </si>
  <si>
    <t>SAOS TOMAT</t>
  </si>
  <si>
    <t>DRIGEN</t>
  </si>
  <si>
    <t>SAOS CILLI</t>
  </si>
  <si>
    <t>SAOS TIRAM</t>
  </si>
  <si>
    <t>TERASI 1/2 KG</t>
  </si>
  <si>
    <t>TERIGU</t>
  </si>
  <si>
    <t>SAK</t>
  </si>
  <si>
    <t>MAYZENA</t>
  </si>
  <si>
    <t xml:space="preserve">GARAM </t>
  </si>
  <si>
    <t>BAL</t>
  </si>
  <si>
    <t>KECAP BANGO</t>
  </si>
  <si>
    <t>25 Mei 2026</t>
  </si>
  <si>
    <t>Yahman Gunadi</t>
  </si>
  <si>
    <t>Tempe Tegalsari</t>
  </si>
  <si>
    <t>Papan</t>
  </si>
  <si>
    <t>Tahu Pong Tegalsari</t>
  </si>
  <si>
    <t>Pcs</t>
  </si>
  <si>
    <t>Tahu Mentah Putih</t>
  </si>
  <si>
    <t>Sri Yatun</t>
  </si>
  <si>
    <t>KURANG TF BAWANG PUTIH</t>
  </si>
  <si>
    <t>BANUROJA</t>
  </si>
  <si>
    <t>BERAS</t>
  </si>
  <si>
    <t>RICHARD</t>
  </si>
  <si>
    <t>SINARMAS CURAH (MARGARIN)</t>
  </si>
  <si>
    <t>KNOOR CHIC POWDER</t>
  </si>
  <si>
    <t>SAJIKU TEPUNG 900GR</t>
  </si>
  <si>
    <t>DINAWATI DEWI</t>
  </si>
  <si>
    <t>DAUN JERUK</t>
  </si>
  <si>
    <t>LIMAU</t>
  </si>
  <si>
    <t>KENCUR</t>
  </si>
  <si>
    <t>LENGKUAS</t>
  </si>
  <si>
    <t>PECAY</t>
  </si>
  <si>
    <t>KENTANG</t>
  </si>
  <si>
    <t>KACANG PANJANG</t>
  </si>
  <si>
    <t>WALUH</t>
  </si>
  <si>
    <t>KELAPA PARUD</t>
  </si>
  <si>
    <t>ASEM</t>
  </si>
  <si>
    <t>PACK</t>
  </si>
  <si>
    <t>TEPUNG TAPIOK</t>
  </si>
  <si>
    <t>TEPUNG BERAS</t>
  </si>
  <si>
    <t>MINYAK WIJEN</t>
  </si>
  <si>
    <t>LADA BUBUK</t>
  </si>
  <si>
    <t>GULA MERAH</t>
  </si>
  <si>
    <t>SINTI 100GR</t>
  </si>
  <si>
    <t>BANGO 1,5</t>
  </si>
  <si>
    <t>KETUMBAR</t>
  </si>
  <si>
    <t>SAOS BBQ</t>
  </si>
  <si>
    <t>TAPIOKA</t>
  </si>
  <si>
    <t>TERASI 250GR</t>
  </si>
  <si>
    <t>TERIGU SEGITIGA</t>
  </si>
  <si>
    <t>BAWANG PUTIH SUPER</t>
  </si>
  <si>
    <t>CABE BUBUK</t>
  </si>
  <si>
    <t>DRIGEN SAOS TOMAT</t>
  </si>
  <si>
    <t>DWINANTO</t>
  </si>
  <si>
    <t>Tempe Kalikoa</t>
  </si>
  <si>
    <t>Kacang Giling</t>
  </si>
  <si>
    <t>Kg</t>
  </si>
  <si>
    <t>APIPAH</t>
  </si>
  <si>
    <t>Bandeng Presto</t>
  </si>
  <si>
    <t>Ekor</t>
  </si>
  <si>
    <t>PANDI</t>
  </si>
  <si>
    <t>Daging Ayam Potong Binawan</t>
  </si>
  <si>
    <t>Daging Ayam Fillet tanpa kulit Werkudara</t>
  </si>
  <si>
    <t>Daging Ayam Potong Bakung 2</t>
  </si>
  <si>
    <t>UD. ANIK</t>
  </si>
  <si>
    <t>TELUR KALIKOA</t>
  </si>
  <si>
    <t>TELUR BAKUNG 01</t>
  </si>
  <si>
    <t>TELUR WERKUDARA</t>
  </si>
  <si>
    <t>26 Mei 2026</t>
  </si>
  <si>
    <t>WIDIA</t>
  </si>
  <si>
    <t>AMBON SUPER BINAWAN 24 MEI</t>
  </si>
  <si>
    <t>AMBON SUPER BAKUNG 2 24 MEI</t>
  </si>
  <si>
    <t>AMBON SUPER WERUDARA 24 MEI</t>
  </si>
  <si>
    <t>SEMANGKA SUPER BAKUNG 1 24 MEI</t>
  </si>
  <si>
    <t>SURADI</t>
  </si>
  <si>
    <t>JAGUNG PIPIL</t>
  </si>
  <si>
    <t>28 Mei 2026</t>
  </si>
  <si>
    <t>AYAM KALIKOA 25 MEI</t>
  </si>
  <si>
    <t>AYAM BAKUNG 1 25 MEI</t>
  </si>
  <si>
    <t>TEMPE BINAWAN 25 Mei</t>
  </si>
  <si>
    <t>PAPAN</t>
  </si>
  <si>
    <t>TEMPE BAKUNG 2 25 Mei</t>
  </si>
  <si>
    <t>TEMPE BAKUNG 1 25 Mei</t>
  </si>
  <si>
    <t>TEMPE WERKUDARA 25 Mei</t>
  </si>
  <si>
    <t>WINDA WIDIYANTI</t>
  </si>
  <si>
    <t>JERUK SUPER BAKUNG 02 25 MEI</t>
  </si>
  <si>
    <t>JERUK SUPER BINAWAN 25 MEI</t>
  </si>
  <si>
    <t>BELIMBING BAKUNG 01  25 MEI</t>
  </si>
  <si>
    <t>SEMANGKA SUPER BAKUNG 01 25 MEI</t>
  </si>
  <si>
    <t>JERUK SUPER WERKUDARA 25 MEI</t>
  </si>
  <si>
    <t>GOHIONG CURAH</t>
  </si>
  <si>
    <t>CARTON</t>
  </si>
  <si>
    <t>SIMAS CURAH (MARGARIN)</t>
  </si>
  <si>
    <t>KNORR CHICK POWDER 1KGG</t>
  </si>
  <si>
    <t>AHUD</t>
  </si>
  <si>
    <t>SANITAS FOODS</t>
  </si>
  <si>
    <t>KIKKOMAN BULGOGI SAUCE 300GR</t>
  </si>
  <si>
    <t>KUNYIT</t>
  </si>
  <si>
    <t>BANGO 1.5KG</t>
  </si>
  <si>
    <t>GULA PASIR</t>
  </si>
  <si>
    <t>MAYONES MC</t>
  </si>
  <si>
    <t>DELMONTE TOMAT</t>
  </si>
  <si>
    <t>TEPUNG CAKRA</t>
  </si>
  <si>
    <t>MONYAK WIJEN</t>
  </si>
  <si>
    <t>INDOFOOD CILI</t>
  </si>
  <si>
    <t>GARAM</t>
  </si>
  <si>
    <t>TIRAM</t>
  </si>
  <si>
    <t>JINTEN</t>
  </si>
  <si>
    <t>PANIR CRUMBLE</t>
  </si>
  <si>
    <t>SRI YATUN</t>
  </si>
  <si>
    <t>KACANG MERAH</t>
  </si>
  <si>
    <t>29 Mei 2026</t>
  </si>
  <si>
    <t>BB</t>
  </si>
  <si>
    <t>TELUR BINWAN 28 MEI</t>
  </si>
  <si>
    <t>V</t>
  </si>
  <si>
    <t>OPS</t>
  </si>
  <si>
    <t>MUHAMMAD RAFLI</t>
  </si>
  <si>
    <t>BROKOLI</t>
  </si>
  <si>
    <t>SELADA</t>
  </si>
  <si>
    <t>KOKEN</t>
  </si>
  <si>
    <t>BAWANG BOMBAY</t>
  </si>
  <si>
    <t>BAWANG PUTIH</t>
  </si>
  <si>
    <t>KACANG</t>
  </si>
  <si>
    <t>TOKO SUBUR</t>
  </si>
  <si>
    <t>BUBUK PAPRIKA</t>
  </si>
  <si>
    <t>SRIWATI</t>
  </si>
  <si>
    <t>BAWANG</t>
  </si>
  <si>
    <t>LUCKY</t>
  </si>
  <si>
    <t>DAGING AYAM GILING</t>
  </si>
  <si>
    <t>SUNCO 2L</t>
  </si>
  <si>
    <t>UD.ANIK</t>
  </si>
  <si>
    <t>TELUR</t>
  </si>
  <si>
    <t>SUSU</t>
  </si>
  <si>
    <t>DUS</t>
  </si>
  <si>
    <t>TEMPE KALIKOA</t>
  </si>
  <si>
    <t>TEMPE BINAWAN</t>
  </si>
  <si>
    <t>RIZKI FADLILAH</t>
  </si>
  <si>
    <t>JERUK MEDAN</t>
  </si>
  <si>
    <t>PISANG KALIKOA</t>
  </si>
  <si>
    <t>SEMANGKA TEGALSARI</t>
  </si>
  <si>
    <t xml:space="preserve">SALAK KALIKOA </t>
  </si>
  <si>
    <t>30 Mei 2026</t>
  </si>
  <si>
    <t>AMBON SUPER</t>
  </si>
  <si>
    <t>REIBURSE</t>
  </si>
  <si>
    <t>-</t>
  </si>
  <si>
    <t>APEL FUJI BAKUNG 01 29 MEI</t>
  </si>
  <si>
    <t>PIR BAKUNG 02 28 MEI</t>
  </si>
  <si>
    <t>WOGAM BAKUNG 02 28 MEI</t>
  </si>
  <si>
    <t>BOX</t>
  </si>
  <si>
    <t>APEL FUJI BAKUNG 01 28 MEI</t>
  </si>
  <si>
    <t>YUDI</t>
  </si>
  <si>
    <t>AYAM POTONG TEGALSARI 28 Mei</t>
  </si>
  <si>
    <t>YAHMAN GUNADI</t>
  </si>
  <si>
    <t>TAHU PUTIH MENTAH TEGALSARI 28 Mei</t>
  </si>
  <si>
    <t>TEMPE TEGALSARI  25 Mei</t>
  </si>
  <si>
    <t>TAHU PUTIH MENTAH TEGALSARI 24 Mei</t>
  </si>
  <si>
    <t>IKAN BANDENG PRESTO WERKUDARA 29 Mei</t>
  </si>
  <si>
    <t>FANDY SUMANTRI</t>
  </si>
  <si>
    <t>ROTI TAWAR BINAWAN 29 MEI 2026</t>
  </si>
  <si>
    <t>ROTI BURGER BAKUNG 1 28 MEI 2026</t>
  </si>
  <si>
    <t>KEJU PROCHIZE BINAWAN 29 MEI 2026</t>
  </si>
  <si>
    <t>ISHMA</t>
  </si>
  <si>
    <t>TAHU PUTIH BINAWAN 24 Mei</t>
  </si>
  <si>
    <t>TAHU ISI WERKUDARA 24 Mei</t>
  </si>
  <si>
    <t>TAHU PUTIH BAKUNG 1 24 Mei</t>
  </si>
  <si>
    <t>TAHU ISI WERKUDARA 28 Mei</t>
  </si>
  <si>
    <t>TAHU PUTIH BAKUNG 2 28 Mei</t>
  </si>
  <si>
    <t>KLENGKENG KALIKOA 28 Mei</t>
  </si>
  <si>
    <t>ANGGUR TEGALSARI 28 Mei</t>
  </si>
  <si>
    <t>APEL TEGALSARI 28 Mei</t>
  </si>
  <si>
    <t>PISANG TEGALSARI 28 Mei</t>
  </si>
  <si>
    <t>ANGGUR KALIKOA 29 Mei</t>
  </si>
  <si>
    <t>JERUK BINAWAN</t>
  </si>
  <si>
    <t>JERUK SUPER WERKUDAR</t>
  </si>
  <si>
    <t>SUNARDI</t>
  </si>
  <si>
    <t>AYAM FILLET TANPA KULIT 28 MEI</t>
  </si>
  <si>
    <t>TELUR AYAM</t>
  </si>
  <si>
    <t>31 Mei 2026</t>
  </si>
  <si>
    <t>TEMPE WERKUDARA 29 Mei</t>
  </si>
  <si>
    <t>Reimburse</t>
  </si>
  <si>
    <t>EDAMAME 29 Mei</t>
  </si>
  <si>
    <t>admin</t>
  </si>
  <si>
    <t>total</t>
  </si>
  <si>
    <t>01 JUNI 2026</t>
  </si>
  <si>
    <t>WEMPI</t>
  </si>
  <si>
    <t>TORTILA SEDANG 23</t>
  </si>
  <si>
    <t>TAHU BULAT</t>
  </si>
  <si>
    <t>PATTYCASH</t>
  </si>
  <si>
    <t>ATI AMPELA KALIKOA 25 Mei</t>
  </si>
  <si>
    <t>REIMBURSE</t>
  </si>
  <si>
    <t>DAGING AYAM POTONG WERKUDARA 28 Mei</t>
  </si>
  <si>
    <t>AYAM FILLET TANPA KULIT KALIKOA 28 Mei</t>
  </si>
  <si>
    <t xml:space="preserve">TOTAL </t>
  </si>
  <si>
    <t>CEKER 28 Mei</t>
  </si>
  <si>
    <t>AYAM FILLET TANPA KULIT BAKUNG 2 28 Mei</t>
  </si>
  <si>
    <t>SITI KUMAEDAH</t>
  </si>
  <si>
    <t>BERAS BJ</t>
  </si>
  <si>
    <t xml:space="preserve">APIPAH </t>
  </si>
  <si>
    <t>IKAN TUNA TONGKOL</t>
  </si>
  <si>
    <t>KNORR CHICK POWDER REFIL 1KG</t>
  </si>
  <si>
    <t>SIMAS CURAH MARGARIN</t>
  </si>
  <si>
    <t>CABE KERITING</t>
  </si>
  <si>
    <t>BAYEM</t>
  </si>
  <si>
    <t>KUNCI</t>
  </si>
  <si>
    <t>BALL</t>
  </si>
  <si>
    <t>TOTOLE</t>
  </si>
  <si>
    <t>BANGO</t>
  </si>
  <si>
    <t>TERIYAKI</t>
  </si>
  <si>
    <t>Dus</t>
  </si>
  <si>
    <t>TEPUNG PANIR</t>
  </si>
  <si>
    <t>TEPUNG TERIGU SEGITIGA</t>
  </si>
  <si>
    <t>AYAM GILING</t>
  </si>
  <si>
    <t>YOGYA JUNCTION</t>
  </si>
  <si>
    <t>GARAM MASALA</t>
  </si>
  <si>
    <t>2 Juni 2026</t>
  </si>
  <si>
    <t>TOKEN LISTRIK</t>
  </si>
  <si>
    <t>PROCHIZ CHEDDAR 2KG</t>
  </si>
  <si>
    <t>INDOMARET</t>
  </si>
  <si>
    <t>BERAS TEGALSARI 5KG 01 MEI</t>
  </si>
  <si>
    <t>ABDUL HAFIIZH FAZRIN</t>
  </si>
  <si>
    <t xml:space="preserve">DAUN JERUK </t>
  </si>
  <si>
    <t>JERUK NIPIS</t>
  </si>
  <si>
    <t>TERI</t>
  </si>
  <si>
    <t>BAWANG GORENG</t>
  </si>
  <si>
    <t>PANIR</t>
  </si>
  <si>
    <t>TERIGU SEGTIGA</t>
  </si>
  <si>
    <t>AYAM FILET  TEGALSARI 1 JUNI</t>
  </si>
  <si>
    <t>3 Juni 2026</t>
  </si>
  <si>
    <t>PROCHIZ GOLD 2KG</t>
  </si>
  <si>
    <t>PAK</t>
  </si>
  <si>
    <t>BAWANG MERAH KULIT</t>
  </si>
  <si>
    <t>BAWANG MERAH KUPAS</t>
  </si>
  <si>
    <t>BAWANG PUTIH KUPAS</t>
  </si>
  <si>
    <t>UD.PUTRA BAHAGIA 2</t>
  </si>
  <si>
    <t>ZAK</t>
  </si>
  <si>
    <t>SLEDRI</t>
  </si>
  <si>
    <t>PANDAN</t>
  </si>
  <si>
    <t>TEMPE BINAWAN 01 JUNI</t>
  </si>
  <si>
    <t>TEMPE BAKUNG 2 01 JUNI</t>
  </si>
  <si>
    <t>EDAMAME BAKUNG 1 2 JUNI</t>
  </si>
  <si>
    <t>BAWANG PUTIH BUBUK</t>
  </si>
  <si>
    <t>DELMONTE CILI</t>
  </si>
  <si>
    <t>DG</t>
  </si>
  <si>
    <t>MC LEWIS TOMAT</t>
  </si>
  <si>
    <t>MAYONES</t>
  </si>
  <si>
    <t>DRG</t>
  </si>
  <si>
    <t>4 Juni 2026</t>
  </si>
  <si>
    <t>IKAN NILA BERSIH (BINAWAN) 2 JUNI</t>
  </si>
  <si>
    <t>EKOR</t>
  </si>
  <si>
    <t>ANGGUR KALIKOA 29 MEI</t>
  </si>
  <si>
    <t>AMBON SUPER BAKUNG 1</t>
  </si>
  <si>
    <t>AMBON SUPER BAKUNG 2</t>
  </si>
  <si>
    <t>SEMANGKA SUPER WERKUDARA</t>
  </si>
  <si>
    <t>SUNPRIDE KALIKOA</t>
  </si>
  <si>
    <t>CREAMER CURAH</t>
  </si>
  <si>
    <t>KNOOR CHICKEN POWDER REFIL 1KG</t>
  </si>
  <si>
    <t>BKS</t>
  </si>
  <si>
    <t>PLH</t>
  </si>
  <si>
    <t>PROCHIZ CEDAR 2KG</t>
  </si>
  <si>
    <t>FOYU SKM PUTIH 500G</t>
  </si>
  <si>
    <t>MAIZENAKU 1000GR</t>
  </si>
  <si>
    <t>CABE RAWIT</t>
  </si>
  <si>
    <t>KASURI</t>
  </si>
  <si>
    <t>TAHU BACEM (BAKUNG 02) 2 JUNI 2026</t>
  </si>
  <si>
    <t>SAOS TOMAT SACET</t>
  </si>
  <si>
    <t>TEPUNG TERIGU SEGTIGA</t>
  </si>
  <si>
    <t>GARAM 16</t>
  </si>
  <si>
    <t>TELUR PUYUH BINAWAN 03 JUNI</t>
  </si>
  <si>
    <t>TEMPE KALIKOA 2 JUNI</t>
  </si>
  <si>
    <t>TEMPE BINAWAN 02 JUNI</t>
  </si>
  <si>
    <t>TEMPE WERKUDARA 02 JUNI</t>
  </si>
  <si>
    <t>DAGING GILING (BAKUNG O1) 02 JUNI</t>
  </si>
  <si>
    <t>DAGING GILING (BAKUNG O1) 03 JUNI</t>
  </si>
  <si>
    <t xml:space="preserve">BANGO </t>
  </si>
  <si>
    <t>CUKA</t>
  </si>
  <si>
    <t>TELUR KALIKOA 04 JUNI</t>
  </si>
  <si>
    <t>TELUR WERKUDARA 04 JUNI</t>
  </si>
  <si>
    <t>TELUR PUYUH BAKUNG 2 04 JUNI</t>
  </si>
  <si>
    <t>AYAM POTONG BAKUNG 2 01 JUNI</t>
  </si>
  <si>
    <t>AYAM POTONG  WERKUDARA 01 JUNI</t>
  </si>
  <si>
    <t>AYAM FILLET TANPA KULIT KALIKOA 01 JUNI</t>
  </si>
  <si>
    <t>IKBAL ISMAIL</t>
  </si>
  <si>
    <t>SELADA HIDROPONIK</t>
  </si>
  <si>
    <t>ABDUL HAFIIZH</t>
  </si>
  <si>
    <t>JAMUR</t>
  </si>
  <si>
    <t xml:space="preserve">MARTHA </t>
  </si>
  <si>
    <t>SUSU FF</t>
  </si>
  <si>
    <t>5 Juni 2026</t>
  </si>
  <si>
    <t>RIZAL FAUZUDDIN</t>
  </si>
  <si>
    <t>SUSU FF 115ML</t>
  </si>
  <si>
    <t>SUNKISN TEGALSARI  01 JUNI</t>
  </si>
  <si>
    <t>PISANG WERKUDARA 02 JUNI</t>
  </si>
  <si>
    <t>KAS BESAR</t>
  </si>
  <si>
    <t>ANGGUR TEGALSARI 02 JUNI</t>
  </si>
  <si>
    <t>SALAK KALIKOA 02 JUNI</t>
  </si>
  <si>
    <t>JAGUNG PIPIL BAKUNG 1 04 JUNI</t>
  </si>
  <si>
    <t>TEMPE BAKUNG 2 03 JUNI</t>
  </si>
  <si>
    <t>DWI KARYA</t>
  </si>
  <si>
    <t>BARTOZ BEEF BURGER MINI (B1 2 JUNI)</t>
  </si>
  <si>
    <t>NORI ISI 10</t>
  </si>
  <si>
    <t>FROZENLAND VEGETABLE MIX</t>
  </si>
  <si>
    <t>BAWANG MERAH</t>
  </si>
  <si>
    <t>TELUR ASIN</t>
  </si>
  <si>
    <t>BELIMBING SUPER BAKUNG 2</t>
  </si>
  <si>
    <t>APEL FUJI BAKUNG 2</t>
  </si>
  <si>
    <t>PIR YALIE BAKUNG 2</t>
  </si>
  <si>
    <t>WOKAM BAKUNG 2</t>
  </si>
  <si>
    <t>SEMANGKA SUPER BINAWAN 02 JUNI</t>
  </si>
  <si>
    <t>MELON MADU BAKUNG 1 02 JUNI</t>
  </si>
  <si>
    <t>PISANG AMBON WERKUDARA 02 JUNI</t>
  </si>
  <si>
    <t>DISKON</t>
  </si>
  <si>
    <t xml:space="preserve">Lebih Bayar Buah </t>
  </si>
  <si>
    <t>SEMANGKA SUPER WERKUDARA 3 JUNI</t>
  </si>
  <si>
    <t>PISANG AMBON SUPER (BAKUNG 2) 3 JUNI</t>
  </si>
  <si>
    <t>WOKAM (BAKUNG 1)  3 JUNI 2026</t>
  </si>
  <si>
    <t>PISANG AMBON SUPER BINAWAN 3 JUNI</t>
  </si>
  <si>
    <t>PIR YALIE 5 JUNI</t>
  </si>
  <si>
    <t>APEL FUJI 5 JUNI</t>
  </si>
  <si>
    <t xml:space="preserve">AMBON SUPER BAKUNG 01 4 JUNI </t>
  </si>
  <si>
    <t>LECI</t>
  </si>
  <si>
    <t>SEMANGKA NON BIJI BAKUNG 02 4 JUNI</t>
  </si>
  <si>
    <t>AMBON SUPER BINAWAN 4 JUNI</t>
  </si>
  <si>
    <t>AMBON SUPER WERKUDARA 4 JUNI</t>
  </si>
  <si>
    <t xml:space="preserve">AYAM TEGALSARI 04 JUNI </t>
  </si>
  <si>
    <t>APEL KALIKOA 03 JUNI</t>
  </si>
  <si>
    <t>JERUK MEDAN KALIKOA 03 JUNI</t>
  </si>
  <si>
    <t>SEMANGKA TEGALSARI 03 JUNI</t>
  </si>
  <si>
    <t>PISANG TEGALSARI 04 JUNI</t>
  </si>
  <si>
    <t>KLENGKENG TEGALSARI 05 JUNI</t>
  </si>
  <si>
    <t>APEL TEGALSARI 05 JUNI</t>
  </si>
  <si>
    <t>TEMPE BINAWAN 04 JUNI</t>
  </si>
  <si>
    <t>KACANG KULIT BAKUNG 1 04 JUNI</t>
  </si>
  <si>
    <t>7 Juni 2026</t>
  </si>
  <si>
    <t>MADU FLORA 650ML</t>
  </si>
  <si>
    <t>PAPRIKA BUBUK KG</t>
  </si>
  <si>
    <t>SAJIKU TEPUNG 900gr</t>
  </si>
  <si>
    <t>TAPIOKA TANI GUNUNG 5000GR</t>
  </si>
  <si>
    <t>TAHU PONG BAKUNG 1 01 JUNI</t>
  </si>
  <si>
    <t>TAHU ISI WERKUDARA 01 JUNI</t>
  </si>
  <si>
    <t>TAHU KUNING BAKUNG 1 03 JUNI</t>
  </si>
  <si>
    <t>TAHU ISI WERKUDARA 03 JUNI</t>
  </si>
  <si>
    <t>TAHU PUTIH WERKUDARA 04 JUNI</t>
  </si>
  <si>
    <t>DAGING AYAM FILLET TANPA KULIT BAKUNG 2 03 JUNI</t>
  </si>
  <si>
    <t>DAGING AYAM FILLET TANPA KULIT KALIKOA 03 JUNI</t>
  </si>
  <si>
    <t>DAGING AYAM FILLET TANPA KULIT WERKUDARA 04 JUNI</t>
  </si>
  <si>
    <t>DAGING AYAM FILLET TANPA KULIT BINAWAN 04 JUNI</t>
  </si>
  <si>
    <t xml:space="preserve">TEMPE WERKUDARA 5 JUNI </t>
  </si>
  <si>
    <t>TEMPE KALIKOA 5 JUNI</t>
  </si>
  <si>
    <t>RUSDIANTORO</t>
  </si>
  <si>
    <t>LEMON LOKAL</t>
  </si>
  <si>
    <t>IKAN NILA BERSIH WERKUDARA 03 JUNI</t>
  </si>
  <si>
    <t>IKAN BANDENG PRESTO TEGALSARI 03 JUNI</t>
  </si>
  <si>
    <t>JERUK BINAWAN 05 JUNI</t>
  </si>
  <si>
    <t xml:space="preserve">JERUK WERKUDARA 05 JUNI </t>
  </si>
  <si>
    <t>FANDI SUMANTRI</t>
  </si>
  <si>
    <t>ROTI TAWAR ISI 18(ABAKUNG2) 04 JUNI</t>
  </si>
  <si>
    <t>ROTI BURGER KALIKOA</t>
  </si>
  <si>
    <t>SRI HASTUTI</t>
  </si>
  <si>
    <t>KACANG HIJAU</t>
  </si>
  <si>
    <t>DELMONTE</t>
  </si>
  <si>
    <t>AYAM UTUH 5 JUNI KALIKOA</t>
  </si>
  <si>
    <t>SAWI PUTIH</t>
  </si>
  <si>
    <t>BARA</t>
  </si>
  <si>
    <t>KEMANGI</t>
  </si>
  <si>
    <t>08 Juni 2026</t>
  </si>
  <si>
    <t>SEMANGKA 7 JUNI WERKUDARA</t>
  </si>
  <si>
    <t>PISANG AMBON 7 JUNI</t>
  </si>
  <si>
    <t>YAHMAN</t>
  </si>
  <si>
    <t>TAHU KUNING MENTAH TEGALSARI 01 JUNI</t>
  </si>
  <si>
    <t>TEMPE TEGALSARI 02 JUNI</t>
  </si>
  <si>
    <t>TAHU PUTIH MENTAH 03 JUNI</t>
  </si>
  <si>
    <t>TEMPE TEGALSARI 04 JUNI</t>
  </si>
  <si>
    <t>ANGGUR KALIKOA 05 JUNI</t>
  </si>
  <si>
    <t>IKET</t>
  </si>
  <si>
    <t>AYAM POTONG</t>
  </si>
  <si>
    <t>MAFHILINDO GUN QAHAR</t>
  </si>
  <si>
    <t xml:space="preserve">TEMPE BINAWAN 07 JUNI </t>
  </si>
  <si>
    <t>KNORR AYAM</t>
  </si>
  <si>
    <t>SAOS CILI DELMONTE</t>
  </si>
  <si>
    <t>TEMPE TEGALSARI 07 JUNI</t>
  </si>
  <si>
    <t>09 Juni 2026</t>
  </si>
  <si>
    <t>RICHARD TAMTAMA</t>
  </si>
  <si>
    <t>GOODDAY MOCACHINO</t>
  </si>
  <si>
    <t>KRAFT CHEDDAR 2KG</t>
  </si>
  <si>
    <t>CINTAMI WERKUDARA</t>
  </si>
  <si>
    <t>KNORR CHICK POWDER REF 1KG</t>
  </si>
  <si>
    <t>HOME STRAIGHT CUT 1KG</t>
  </si>
  <si>
    <t>BUNGKUS</t>
  </si>
  <si>
    <t>CABE HIJAU</t>
  </si>
  <si>
    <t>PAPRIKA</t>
  </si>
  <si>
    <t>SAOS CILI</t>
  </si>
  <si>
    <t>MINYAL WIJEN</t>
  </si>
  <si>
    <t>TERASI</t>
  </si>
  <si>
    <t>KNOR</t>
  </si>
  <si>
    <t>SAJIKU</t>
  </si>
  <si>
    <t>SAOS CABE MC LEWIS</t>
  </si>
  <si>
    <t xml:space="preserve">BANGO 1.5 </t>
  </si>
  <si>
    <t>MINYAK BIMOLI</t>
  </si>
  <si>
    <t>KARTON</t>
  </si>
  <si>
    <t>PISANG TEGALSARI 7 JUNI</t>
  </si>
  <si>
    <t>KOPRASI SINERGI PRODUSEN PANGAN GIZI</t>
  </si>
  <si>
    <t>TELUR AYAM TEGALSARI 8 JUNI</t>
  </si>
  <si>
    <t>OCM JAGUNG</t>
  </si>
  <si>
    <t>PUTREN CAMP</t>
  </si>
  <si>
    <t>10 Juni 2026</t>
  </si>
  <si>
    <t>TEMPE BAKUNG 1 08 JUNI</t>
  </si>
  <si>
    <t>TEMPE WERKUDARA 08 JUNI</t>
  </si>
  <si>
    <t xml:space="preserve">MAFHILONDO </t>
  </si>
  <si>
    <t>SITI ADE</t>
  </si>
  <si>
    <t>BERAS  08 jUNI</t>
  </si>
  <si>
    <t>BERAS 08 JUNI</t>
  </si>
  <si>
    <t>TELUR 08 JUNI</t>
  </si>
  <si>
    <t>BERAS 08 JUNI BAKUNG</t>
  </si>
  <si>
    <t>TELUR 08 JUNI BAKUNG</t>
  </si>
  <si>
    <t>BERAS 08 JUNI TEGALSARI</t>
  </si>
  <si>
    <t>MAYASARI</t>
  </si>
  <si>
    <t>DAGING BAKUNG 1 09 JUNI</t>
  </si>
  <si>
    <t>BLUEBAND CURAH</t>
  </si>
  <si>
    <t>DELMONTE SAMBAL GALON 5,5 KG</t>
  </si>
  <si>
    <t>GALON</t>
  </si>
  <si>
    <t xml:space="preserve">DELMONTE TOMAT GALON </t>
  </si>
  <si>
    <t>DIAMON UHT PLAIN 1L (12)</t>
  </si>
  <si>
    <t>FOYU SKM PUTIH 500GR</t>
  </si>
  <si>
    <t>AMOR HUSAIN</t>
  </si>
  <si>
    <t>BP GOODFARMER (18-04)</t>
  </si>
  <si>
    <t>BOMBSY NZ(03-06)</t>
  </si>
  <si>
    <t>SUNKIS TEGALSARI 08 JUNI</t>
  </si>
  <si>
    <t>TELUR PUYUH BAKUNG 02 10 JUNI</t>
  </si>
  <si>
    <t>BIJI WIJEN</t>
  </si>
  <si>
    <t>SAGU MUTIARA 155 PCS</t>
  </si>
  <si>
    <t>KETUMBAR BUBUK</t>
  </si>
  <si>
    <t>KECAP ASIN</t>
  </si>
  <si>
    <t>KECAP IKAN</t>
  </si>
  <si>
    <t>ANDREAS</t>
  </si>
  <si>
    <t>IKAN NILA BAKUNG 2 9 JUNI</t>
  </si>
  <si>
    <t>IKAN PATIH BINAWAN 9 JUNI</t>
  </si>
  <si>
    <t xml:space="preserve">Diskon </t>
  </si>
  <si>
    <t>AYAM POTONG TEGALSARI 09 JUNI</t>
  </si>
  <si>
    <t>APEL FUJI PREMIUM WERKUDARA 08 JUNI</t>
  </si>
  <si>
    <t>AMBON SUPER BAKUNG 01 08 JUNI</t>
  </si>
  <si>
    <t>POTONG LEBIH BAYAR</t>
  </si>
  <si>
    <t>11 Juni 2026</t>
  </si>
  <si>
    <t>AGAR SWALLOW PLAN</t>
  </si>
  <si>
    <t>MADU FLORA 650 ML</t>
  </si>
  <si>
    <t>(kHUSNUL 291.000)(CINTAMI 939.000)</t>
  </si>
  <si>
    <t>MADU FLORA 60ML</t>
  </si>
  <si>
    <t>SIMAAS CURAH MARGARIN</t>
  </si>
  <si>
    <t>REMPAHKU OREGANO</t>
  </si>
  <si>
    <t>ONS</t>
  </si>
  <si>
    <t>HARVEST MEATSHOP</t>
  </si>
  <si>
    <t>BEEF SLICE LOWFET 1KG BINAWAN 10 JUNI</t>
  </si>
  <si>
    <t>RIZAL FAUZUDDIN NOOR</t>
  </si>
  <si>
    <t>SUSU FF FULL CREAM</t>
  </si>
  <si>
    <t>AP GENERATION</t>
  </si>
  <si>
    <t>SELEDRI</t>
  </si>
  <si>
    <t>DAUN PANDAN</t>
  </si>
  <si>
    <t>DAUN PISANG</t>
  </si>
  <si>
    <t>DIREKA KARYA BERSAMA</t>
  </si>
  <si>
    <t>MINYAK SUNCO 2L</t>
  </si>
  <si>
    <t>SEMANGKA NON BIJI SUPER BAKUNG 02 09 JUNI</t>
  </si>
  <si>
    <t>MELON MADU BAKUNG 01 09 JUNI</t>
  </si>
  <si>
    <t>SEMANGKA SUPER WERKUDARA 09 JUNI</t>
  </si>
  <si>
    <t>MELON MADU BINAWAN 09 JUNI</t>
  </si>
  <si>
    <t>PUTREN TEGALSARI 11 JUNI</t>
  </si>
  <si>
    <t>KNORR SAPI</t>
  </si>
  <si>
    <t>KNOR AYAM</t>
  </si>
  <si>
    <t>BANGO 700</t>
  </si>
  <si>
    <t>SAGU MUTIARA</t>
  </si>
  <si>
    <t>GARAM 12</t>
  </si>
  <si>
    <t>KARA</t>
  </si>
  <si>
    <t>L</t>
  </si>
  <si>
    <t>DAGING AYAM POTONG WERKUDARA 07 JUNI</t>
  </si>
  <si>
    <t>DAGING AYAM POTONG BINAWAN 07 JUNI</t>
  </si>
  <si>
    <t>DAGING AYAM UTUH KALIKOA 09 JUNI</t>
  </si>
  <si>
    <t>LUCY</t>
  </si>
  <si>
    <t>DAGING AYAM GILING 09 JUNI WERKUDARA</t>
  </si>
  <si>
    <t>DELMOTE TOMAT</t>
  </si>
  <si>
    <t>TEPUNG SEGITIGA</t>
  </si>
  <si>
    <t>KEBUN YUMNA</t>
  </si>
  <si>
    <t>IKAN LELE TEGALSARI 10 JUNI</t>
  </si>
  <si>
    <t>12 Juni 2026</t>
  </si>
  <si>
    <t>TEMPE BAKUNG 01 10 JUNI</t>
  </si>
  <si>
    <t>AYAM TEGALSARI 11 JUNI</t>
  </si>
  <si>
    <t>FIA BINWAN</t>
  </si>
  <si>
    <t>EDAMAME BAKUNG 1 11 JUNI</t>
  </si>
  <si>
    <t>EDAMAME BAKUNG 2 11 JUNI</t>
  </si>
  <si>
    <t>KACANG GILING BINAWAN 11 JUNI</t>
  </si>
  <si>
    <t>JERUK MALANG BAKUNG 01 10 JUNI</t>
  </si>
  <si>
    <t>AMBON SUPER BAKUNG 02 10 JUNI</t>
  </si>
  <si>
    <t>AMBON SUPER BINAWAN 10 JUNI</t>
  </si>
  <si>
    <t>AMBON SUPER WERKUDARA 10 JUNI</t>
  </si>
  <si>
    <t>FANDY</t>
  </si>
  <si>
    <t>ROTI BURGER BAKUNG 02 11 JUNI</t>
  </si>
  <si>
    <t xml:space="preserve">ROTI BURGER BAKUNG 01 11 JUNI </t>
  </si>
  <si>
    <t>DAGING AYAM FILLET TANPA KULIT BAKUNG 2 11 JUNI</t>
  </si>
  <si>
    <t>DAGING AYAM FILLET TANPA KULIT KALIKOA</t>
  </si>
  <si>
    <t>DAGING AYAM FILLET TANPA KULIT WERKUDARA 11JUNI</t>
  </si>
  <si>
    <t>MAFHILINDO GUN</t>
  </si>
  <si>
    <t>TEMPE 37 CM BINAWAN 10 JUNI</t>
  </si>
  <si>
    <t>ISMA</t>
  </si>
  <si>
    <t>TAHU ISI WERKUDARA 07 JUNI</t>
  </si>
  <si>
    <t>TAHU PUTIH WERKUDARA 09 JUNI</t>
  </si>
  <si>
    <t>TAHU PUTIH BAKUNG 1 09 JUNI</t>
  </si>
  <si>
    <t>TAHU PUTIH BAKUNG 2 09 JUNI</t>
  </si>
  <si>
    <t>TAHU KUNING BINAWAN 09 JUNI</t>
  </si>
  <si>
    <t xml:space="preserve">TAHU ISI WERKUDARA 10 JUNI </t>
  </si>
  <si>
    <t>TAHU PUTIH WERKUDARA 11 JUNI</t>
  </si>
  <si>
    <t>TAHU PUTIH BINAWAN 11 JUNI</t>
  </si>
  <si>
    <t>TEMPE KALIKOA 11 JUNI</t>
  </si>
  <si>
    <t>SEMANGKA INUL TEGALSARI 09 JUNI</t>
  </si>
  <si>
    <t>JERUK MEDAN KALIKOA 09 JUNI</t>
  </si>
  <si>
    <t>JERUK MALANG WERKUDARA 11 JUNI</t>
  </si>
  <si>
    <t>AMBON SUPER WERKUDARA 11 JUNI</t>
  </si>
  <si>
    <t>SEMANGKA NON BIJI BINAWAN 11 JUNI</t>
  </si>
  <si>
    <t>ANGGUR AUSTRALIA  BAKUNG 01 11 JUNI</t>
  </si>
  <si>
    <t>SEMANGKA NON BIJI BAKUNG 01 11 JUNI</t>
  </si>
  <si>
    <t>SEMANGKA SUPER BAKUNG 02 11 JUNI</t>
  </si>
  <si>
    <t>AMBON SUPER BAKUNG 02 12 JUNI</t>
  </si>
  <si>
    <t xml:space="preserve">SUNARDI </t>
  </si>
  <si>
    <t>AYAM WERKUDARA 10 JUNI</t>
  </si>
  <si>
    <t>UD. TITANIUM</t>
  </si>
  <si>
    <t>TELUR BINAWAN 11 JUNI</t>
  </si>
  <si>
    <t>TELUR ASIN WERKUDARA 11 JUNI</t>
  </si>
  <si>
    <t>13 Juni 2026</t>
  </si>
  <si>
    <t>ANGGUR TEGALSARI 10 JUNI</t>
  </si>
  <si>
    <t>PISANG KALIKOA 11 JUNI</t>
  </si>
  <si>
    <t>TEMPE 08 JUNI TEGALSARI</t>
  </si>
  <si>
    <t>TEMPE 10 JUNI TEGALSARI</t>
  </si>
  <si>
    <t>TAHU KUNING 11 JUNI TEGALSARI</t>
  </si>
  <si>
    <t>TAHU SEUMEDANG 09 JUNI TEGALSARI</t>
  </si>
  <si>
    <t>KULIT FINA PASTRY BESAR KALIKOA 09 JUNI</t>
  </si>
  <si>
    <t>JAGUNG PIPIL 09 JUNI TEGALSARI</t>
  </si>
  <si>
    <t>MIX VEGE 1KG 11 JUNI</t>
  </si>
  <si>
    <t>YONA BEEF CHICKEN BAKUNG 01 11 JUNI</t>
  </si>
  <si>
    <t>ALASKI</t>
  </si>
  <si>
    <t>TEPUNG SEGITIGA BIRU</t>
  </si>
  <si>
    <t>TELUR BINAWAN 12 JUNI</t>
  </si>
  <si>
    <t>BERAS BAKUNG 02 09 JUNI</t>
  </si>
  <si>
    <t>JERUK MEDAN TEGALSARI 11 JUNI</t>
  </si>
  <si>
    <t>PISANG TEGALSARI 11 JUNI</t>
  </si>
  <si>
    <t>APEL TEGALSARI 11 JUNI</t>
  </si>
  <si>
    <t>SALAK KALIKOA 11 JUNI</t>
  </si>
  <si>
    <t>TEMPE KALIKOA 9 JUNI</t>
  </si>
  <si>
    <t>JERUK MALANG BINAWAN 12 JUNI</t>
  </si>
  <si>
    <t>SEMANGKA NON BIJI WERKUDARA 12 JUNI</t>
  </si>
  <si>
    <t>14 Juni 2026</t>
  </si>
  <si>
    <t>CABE RAWIT SETAN</t>
  </si>
  <si>
    <t>ROYCO SAPI</t>
  </si>
  <si>
    <t>TEPUNG MAIZENA</t>
  </si>
  <si>
    <t xml:space="preserve">CUKA </t>
  </si>
  <si>
    <t>BOMBAY</t>
  </si>
  <si>
    <t>KNORR</t>
  </si>
  <si>
    <t>15 Juni 2026</t>
  </si>
  <si>
    <t>AYAM WERKUDARA 12 JUNI</t>
  </si>
  <si>
    <t>Khusnul Tegalsari</t>
  </si>
  <si>
    <t>AYAM UTUH KALIKOA 12 JUNI</t>
  </si>
  <si>
    <t>TAHU PUTIH</t>
  </si>
  <si>
    <t>16 Juni 2026</t>
  </si>
  <si>
    <t>DAGING AYAM BAKUNG 01 14 JUNI</t>
  </si>
  <si>
    <t>DAGING AYAM POTONG BAKUNG 02 14 JUNI</t>
  </si>
  <si>
    <t>DAGING AYAM BINAWAN 14 JUNI</t>
  </si>
  <si>
    <t>DAGIN AYAM FILLET TANPA KULIT WERKUDARA 14 JUNI</t>
  </si>
  <si>
    <t>AYAM TEGALSARI 14 JUNI</t>
  </si>
  <si>
    <t>KACANG GILING 14 JUNI</t>
  </si>
  <si>
    <t>TEMPE BINAWAN 14 JUNII</t>
  </si>
  <si>
    <t>AMBON SUPER BAKUNG 01 14 JUNI</t>
  </si>
  <si>
    <t>SEMANGKA NON BIJI BINAWAN 14 JUNI</t>
  </si>
  <si>
    <t>AMBON SUPER WERKUDARA 14 JUNI</t>
  </si>
  <si>
    <t>SEMANGKA NON BIJI BAKUNG 02 14 JUNI</t>
  </si>
  <si>
    <t>TAHU PUTIH TEGALSARI 14 JUNI</t>
  </si>
  <si>
    <t>PB. PADI JAYA</t>
  </si>
  <si>
    <t xml:space="preserve">BERAS PJ </t>
  </si>
  <si>
    <t>KEMBANG KOL</t>
  </si>
  <si>
    <t>CB</t>
  </si>
  <si>
    <t>LEA PERRINS SAUCE 284 ML</t>
  </si>
  <si>
    <t>AMIRRUDIN</t>
  </si>
  <si>
    <t>Diskon Belanja</t>
  </si>
  <si>
    <t>MAIZENA</t>
  </si>
  <si>
    <t>KACANG KUPAS</t>
  </si>
  <si>
    <t>FORTUN 1L</t>
  </si>
  <si>
    <t>LT</t>
  </si>
  <si>
    <t>Kelebihan Bayar</t>
  </si>
  <si>
    <t>TELUR KALIKOA 14 JUNI</t>
  </si>
  <si>
    <t>17 Juni 2026</t>
  </si>
  <si>
    <t>RISKI FADLILAH</t>
  </si>
  <si>
    <t>ANGGUR TEGALSARI 14 JUNI</t>
  </si>
  <si>
    <t>ANGGUR KALIKOA 14 JUNI</t>
  </si>
  <si>
    <t>KHUSNUL TEGALSARI</t>
  </si>
  <si>
    <t>JERUK MEDAN TEGALSARI 16 JUNI</t>
  </si>
  <si>
    <t>JERUK BAKUNG 01 16 JUNI</t>
  </si>
  <si>
    <t>SEMANGKA NON BIJI BAKUNG 02 16 JUNI</t>
  </si>
  <si>
    <t>SEMANGKA NON BIJI WERKUDARA 16 JUNI</t>
  </si>
  <si>
    <t>MELON MADU BINAWAN 16 JUNI</t>
  </si>
  <si>
    <t>TEMPE BAKUNG 01 16 JUNI</t>
  </si>
  <si>
    <t>TEMPE BINAWAN 16 JUNI</t>
  </si>
  <si>
    <t>TEMPE WERKUDARA 16 JUNI</t>
  </si>
  <si>
    <t>TEMPE KALIKOA 16 JUNI</t>
  </si>
  <si>
    <t>TEMPE TEGALSARI 16 JUNI</t>
  </si>
  <si>
    <t xml:space="preserve">BERAS </t>
  </si>
  <si>
    <t>PUTREN</t>
  </si>
  <si>
    <t>EBI</t>
  </si>
  <si>
    <t>UD PUTRA BAHAGIA 2</t>
  </si>
  <si>
    <t>BAWANG PUTIH KUPAS CHAMPIONS</t>
  </si>
  <si>
    <t>CUKA KECIL</t>
  </si>
  <si>
    <t>BIHUN JAGUNG</t>
  </si>
  <si>
    <t>SEDAP 500</t>
  </si>
  <si>
    <t>R</t>
  </si>
  <si>
    <t>PALA</t>
  </si>
  <si>
    <t>ROYCO AYAM</t>
  </si>
  <si>
    <t>SOUN MT</t>
  </si>
  <si>
    <t>AYAM FILLET TANPA KULIT KALIKOA 16 JUNI</t>
  </si>
  <si>
    <t>Kucai</t>
  </si>
  <si>
    <t>18 Juni 2026</t>
  </si>
  <si>
    <t>BAPUT KULIT</t>
  </si>
  <si>
    <t>cintami werkudara</t>
  </si>
  <si>
    <t>NOOR</t>
  </si>
  <si>
    <t>SUSU FF FULL CREAM 115ML</t>
  </si>
  <si>
    <t>TAHU ISI BAKUNG 01 14 JUNI</t>
  </si>
  <si>
    <t>TAHU PUTIH BAKUNG 01 14 JUNI</t>
  </si>
  <si>
    <t>TAHU ISI WERKUDARA 14 JUNI</t>
  </si>
  <si>
    <t>TAHU CINA BAKUNG 02 17 JUNI</t>
  </si>
  <si>
    <t>TAHU PUTIH BAKUNG 01 17 JUNI</t>
  </si>
  <si>
    <t>YUSRON</t>
  </si>
  <si>
    <t>BASO SAPI BAKUNG 02 17 JUNI</t>
  </si>
  <si>
    <t>KUNYIT BUBUK</t>
  </si>
  <si>
    <t>MAYONISE</t>
  </si>
  <si>
    <t>INDOFOOD SACHET</t>
  </si>
  <si>
    <t>CRUMBEL</t>
  </si>
  <si>
    <t>GARAM 8</t>
  </si>
  <si>
    <t>KNOOR</t>
  </si>
  <si>
    <t>MC LEWIS</t>
  </si>
  <si>
    <t xml:space="preserve">TOMAT HIJAU </t>
  </si>
  <si>
    <t>TOMAT MERAG</t>
  </si>
  <si>
    <t>Kelebihan pembayaran</t>
  </si>
  <si>
    <t>IKAN BANDENG PRESTOO BAKUNG 1 16 JUNI</t>
  </si>
  <si>
    <t>DIMSUM AYAM MINI PREMIUM</t>
  </si>
  <si>
    <t>AMBON BAKUNG 01 17 JUNI</t>
  </si>
  <si>
    <t>SUNPRIDE TGM BAKUNG 02 17 JUNI</t>
  </si>
  <si>
    <t>JERUK WERKUDARA 17 JUNI</t>
  </si>
  <si>
    <t>SEMANGKA NON BIJI BINAWAN 17 JUNI</t>
  </si>
  <si>
    <t>TEMPE WERKUDARA 17 JUNI</t>
  </si>
  <si>
    <t>KACANG GILING BINAWAN 17 JUNI</t>
  </si>
  <si>
    <t>TEMPE BINAWAN 17 JUNI</t>
  </si>
  <si>
    <t>KACANG GILING BAKUNG 1 17 JUNI</t>
  </si>
  <si>
    <t>TEMPE BAKUNG 1 17 JUNI</t>
  </si>
  <si>
    <t>LKK DARK SOY 500 ML</t>
  </si>
  <si>
    <t>BALING POWDER</t>
  </si>
  <si>
    <t>KNOR CHIC 1KG</t>
  </si>
  <si>
    <t>RAES</t>
  </si>
  <si>
    <t>KELAPA PARUT KALIKOA</t>
  </si>
  <si>
    <t>JAMUR ENOKI</t>
  </si>
  <si>
    <t>SELADA HIDROPONNIK</t>
  </si>
  <si>
    <t>HAFIIZH</t>
  </si>
  <si>
    <t>KOL UNGU</t>
  </si>
  <si>
    <t>19 Juni 2026</t>
  </si>
  <si>
    <t>AYAM TEGALSARI 18 JUNI</t>
  </si>
  <si>
    <t>ROTI TAWAR BAKUNG 02</t>
  </si>
  <si>
    <t>EDAMAME BAKUNG 01 18 JUNI</t>
  </si>
  <si>
    <t>TEMPE BAKUNG 02 18 JUNI</t>
  </si>
  <si>
    <t>TEMPE KALIKOA 18 JUNI</t>
  </si>
  <si>
    <t>DIMSUM AYAM 500GR</t>
  </si>
  <si>
    <t>PISANG AMBON A WERKUDARA</t>
  </si>
  <si>
    <t>DAGING AYAM FILLET TANPA KULIT BINAWAN 17 JUNI</t>
  </si>
  <si>
    <t>DAGING AYAM FILLET TANPA KULIT WERKUDARA 17 JUNI</t>
  </si>
  <si>
    <t>TAHU PUTIH TEGALSARI 17 JUNI</t>
  </si>
  <si>
    <t>TEMPE TEGALSARI 18 JUNI</t>
  </si>
  <si>
    <t>MELON MADU BAKUNG 01 19 JUNI</t>
  </si>
  <si>
    <t>ANGGUR BAKUNG 19 JUNI</t>
  </si>
  <si>
    <t>SEMANGKA NON BIJI BAKUNG 02 18 JUNI</t>
  </si>
  <si>
    <t>APEL FUJI PREMIUM BAKUNG 02 19 JUNI</t>
  </si>
  <si>
    <t>JERUK BINAWAN 18 JUNI</t>
  </si>
  <si>
    <t>DAGING AYAM FILLET TANPA KULIT BAKUNG 2 18 JUNI</t>
  </si>
  <si>
    <t xml:space="preserve">DAGING AYAM POTONG WERKUDARA 18 JUNI </t>
  </si>
  <si>
    <t>AYAM UTUH KALIKOA 18 JUNI</t>
  </si>
  <si>
    <t>ROTI CASINO WERKUDARA 18 JUNI</t>
  </si>
  <si>
    <t>PASAR</t>
  </si>
  <si>
    <t>TULANG IGA</t>
  </si>
  <si>
    <t>TAHU PONG BINAWAN 18 JUNI</t>
  </si>
  <si>
    <t>TAHU ISI WERKUDARA 18 JUNI</t>
  </si>
  <si>
    <t>PISANG KALIKOA 17 JUNI</t>
  </si>
  <si>
    <t>SEMNAGKA KALIKOA 17 JUNI</t>
  </si>
  <si>
    <t>SEMANGKA INUL</t>
  </si>
  <si>
    <t>PISANG AMBON TEGALSARI 18 JUNI</t>
  </si>
  <si>
    <t>JERUK TEGALSARI 18 JUNI</t>
  </si>
  <si>
    <t>MANGGIS TEGALSARI 18 JUNI</t>
  </si>
  <si>
    <t>PEPAYA KALIKOA 18 JUNI</t>
  </si>
  <si>
    <t>SEMANGKA KALIKOA 18 JUNI</t>
  </si>
  <si>
    <t xml:space="preserve"> Juni 2026</t>
  </si>
  <si>
    <t>LAPORAN BELANJA OPERASIONAL</t>
  </si>
  <si>
    <t>TK JAYA</t>
  </si>
  <si>
    <t>HIT SEMPROT BESAR</t>
  </si>
  <si>
    <t>TISU MUKA PASEO</t>
  </si>
  <si>
    <t>WIPOL BOTOL BESAR</t>
  </si>
  <si>
    <t>KIT SABUN MOTOR</t>
  </si>
  <si>
    <t>SOKLIN PEL SEREH</t>
  </si>
  <si>
    <t>TK ANYAR</t>
  </si>
  <si>
    <t>STIK ESKRIM</t>
  </si>
  <si>
    <t>PLASTIK PP 10X25 02</t>
  </si>
  <si>
    <t>PLASTIK ES 15X35</t>
  </si>
  <si>
    <t>CUP SAMBAL 35 ML</t>
  </si>
  <si>
    <t>TK SINAR JAYA</t>
  </si>
  <si>
    <t>ALAT KUPAS WORTEL</t>
  </si>
  <si>
    <t>ALAT KOCOKAN TELOR</t>
  </si>
  <si>
    <t>LAP MICROFIBER ISI 10 KLEANER</t>
  </si>
  <si>
    <t>LAP KANEBO</t>
  </si>
  <si>
    <t>PAYUNG</t>
  </si>
  <si>
    <t>TK SANITAS</t>
  </si>
  <si>
    <t>KAPORIT BUBUK (15 kg)</t>
  </si>
  <si>
    <t>EMBER</t>
  </si>
  <si>
    <t>TK EKA KNMN</t>
  </si>
  <si>
    <t>PLASTIK HDPLONG</t>
  </si>
  <si>
    <t>THINWAL KOTAK 500 ML (500 PCS)</t>
  </si>
  <si>
    <t>KARDUS</t>
  </si>
  <si>
    <t>THINWAL KOTAK 500 ML</t>
  </si>
  <si>
    <t>PLASTIK ES 12X25 (4 PACK)</t>
  </si>
  <si>
    <t>IKAT</t>
  </si>
  <si>
    <t>PLASTIK ES 10X26</t>
  </si>
  <si>
    <t>STIK ES KRIM</t>
  </si>
  <si>
    <t>PLASTIK PP 40X60 RAMAYANA</t>
  </si>
  <si>
    <t>TK SAMUDRA</t>
  </si>
  <si>
    <t>SARUNG TANGAN KAIN</t>
  </si>
  <si>
    <t>LUSIN</t>
  </si>
  <si>
    <t>TK SEMARANG</t>
  </si>
  <si>
    <t>JENGKOK PLASTIK LION STAR</t>
  </si>
  <si>
    <t>RIZKI FADILLAH</t>
  </si>
  <si>
    <t>GAS 50KG TEGALSARI</t>
  </si>
  <si>
    <t>TABUNG</t>
  </si>
  <si>
    <t>GAS 50KG BAKUNG 01</t>
  </si>
  <si>
    <t>NUR AISYAH</t>
  </si>
  <si>
    <t>SESER IKAN 30 CM</t>
  </si>
  <si>
    <t>SESER IKAN 15 CM</t>
  </si>
  <si>
    <t>EMBER 69CM</t>
  </si>
  <si>
    <t>GELAS PLASTIK HAWAI</t>
  </si>
  <si>
    <t>GAS 50KG BAKUNG 02</t>
  </si>
  <si>
    <t>GAS 50KG BINAWAN</t>
  </si>
  <si>
    <t>GAS 50KG WERKUDARA</t>
  </si>
  <si>
    <t>GAS 12KG WERKUDARA</t>
  </si>
  <si>
    <t>1 JUNI 2026</t>
  </si>
  <si>
    <t>GAS 50KG TEGALSARI 29 MEI</t>
  </si>
  <si>
    <t>GAS 50KG BAKUNG 02 29 MEI</t>
  </si>
  <si>
    <t>GAS 50KG KALIKOA 30 MEI</t>
  </si>
  <si>
    <t>GAS 50KG BINAWAN 30 MEI</t>
  </si>
  <si>
    <t>EKA MAJU</t>
  </si>
  <si>
    <t>KLIR SAUCE 25ML (40)</t>
  </si>
  <si>
    <t>ALUMUNIUM FOIL 45CM (24)</t>
  </si>
  <si>
    <t>ROLL</t>
  </si>
  <si>
    <t>KERTAS ROTI</t>
  </si>
  <si>
    <t>LEMBAR</t>
  </si>
  <si>
    <t>TOKO ANYAR</t>
  </si>
  <si>
    <t>200ML</t>
  </si>
  <si>
    <t>P 02</t>
  </si>
  <si>
    <t>OX 100</t>
  </si>
  <si>
    <t>PELASTIK ES</t>
  </si>
  <si>
    <t>JUANITA</t>
  </si>
  <si>
    <t>PLESTER HANSAPLAS ISI 100</t>
  </si>
  <si>
    <t>CV. CARMELIA</t>
  </si>
  <si>
    <t>SARUNG TANGAN NITRIL M BIRU</t>
  </si>
  <si>
    <t>SAMUDRA</t>
  </si>
  <si>
    <t>SARUNG TANGAN SB</t>
  </si>
  <si>
    <t>TOKO SEMARANG</t>
  </si>
  <si>
    <t>IRUS LUBANG 6.5</t>
  </si>
  <si>
    <t>IRUS SS SML</t>
  </si>
  <si>
    <t>PEMANTIK API GAS TEMBAK</t>
  </si>
  <si>
    <t>LAP SERBET KAIN KOTAK HAND APPLE</t>
  </si>
  <si>
    <t>PLASTIK PLONG MIX PACKING</t>
  </si>
  <si>
    <t>PELASTIK SAMPAH 90X120 (50)</t>
  </si>
  <si>
    <t>PELASTIK SAMPAH 60X100</t>
  </si>
  <si>
    <t>KERESEK HD MINO PUTIH UK 2</t>
  </si>
  <si>
    <t>KERESEK ANIMA 35 HITAM 6</t>
  </si>
  <si>
    <t>SINAR JAYA</t>
  </si>
  <si>
    <t>SUSHI ROLL CYPRUS</t>
  </si>
  <si>
    <t>GAYUNG MANDI</t>
  </si>
  <si>
    <t>KARBOL SHUNTON BULAT</t>
  </si>
  <si>
    <t>SABUN KIT CUCI MOBIL</t>
  </si>
  <si>
    <t>PEACE KARBOL SEREH</t>
  </si>
  <si>
    <t>SO KLIN APEL DRIGEN</t>
  </si>
  <si>
    <t>KOPI GOODDAY MOCCACINO</t>
  </si>
  <si>
    <t>KOPI GOODDAY FREEZE</t>
  </si>
  <si>
    <t>MIE SEDAP GORENG</t>
  </si>
  <si>
    <t>KOPI KAPAL API SPECIAL</t>
  </si>
  <si>
    <t>MAP TULANG PLASTIK A4</t>
  </si>
  <si>
    <t>ASIYAH</t>
  </si>
  <si>
    <t>SABUN CUCI SUNLIGHT</t>
  </si>
  <si>
    <t>PLASTIK ES UK 12X25</t>
  </si>
  <si>
    <t>KLIR BOWL 200ML (20)</t>
  </si>
  <si>
    <t>SPOND</t>
  </si>
  <si>
    <t>KLIR SAUCE 25ML(40)</t>
  </si>
  <si>
    <t>SANITAS</t>
  </si>
  <si>
    <t>TAWAS</t>
  </si>
  <si>
    <t>PENGURAI IPAL BIO L 500GR</t>
  </si>
  <si>
    <t>SPATULA D.K SILIKON FULL WR 2D BRY M-781</t>
  </si>
  <si>
    <t>BALON WISH SUBRON</t>
  </si>
  <si>
    <t>CV.CARMELIA</t>
  </si>
  <si>
    <t>SARUNG TANGAN  NITRIL</t>
  </si>
  <si>
    <t>NUR ASIYAH</t>
  </si>
  <si>
    <t>MAP PLASTIK KANCING</t>
  </si>
  <si>
    <t>KLIE 500ML(20)</t>
  </si>
  <si>
    <t>KLIR 500 ML(20</t>
  </si>
  <si>
    <t xml:space="preserve">GAS 50KG BAKUNG 01 </t>
  </si>
  <si>
    <t>GAS 50KG BAKUNG 02 2 JUNI</t>
  </si>
  <si>
    <t>GAS 50KG TEGALSARI 2 JUNI</t>
  </si>
  <si>
    <t>GAS 50KG BINAWAN 3 JUNI</t>
  </si>
  <si>
    <t>GAS 12KG BINAWAN 3 JUNI</t>
  </si>
  <si>
    <t>GAS 50KG TEGALSARI 3 JUNI</t>
  </si>
  <si>
    <t>GAS 12KG TEGALSARI 03 JUNI</t>
  </si>
  <si>
    <t>GAS 50KG BAKUNG 02 3 JUNI</t>
  </si>
  <si>
    <t>GAS 12KG BAKUNG 02 3 JUNI</t>
  </si>
  <si>
    <t>CV.LIDAH BUAYA</t>
  </si>
  <si>
    <t>MEMBER SABUN CUCI PIRING LIME 5 LT BANDED</t>
  </si>
  <si>
    <t>GIYAS FAHMI</t>
  </si>
  <si>
    <t>AQUA GALON 02 MEI</t>
  </si>
  <si>
    <t>AQUA GALON 04 MEI</t>
  </si>
  <si>
    <t>AQUA GALON 06 MEI</t>
  </si>
  <si>
    <t>AQUA GALON 07 MEI</t>
  </si>
  <si>
    <t>AQUA GALON 08 MEI</t>
  </si>
  <si>
    <t>AQUA GALON 09 MEI</t>
  </si>
  <si>
    <t>AQUA GALON 11 MEI</t>
  </si>
  <si>
    <t>AQUA GALON 12 MEI</t>
  </si>
  <si>
    <t>AQUA GALON 13 MEI</t>
  </si>
  <si>
    <t>AQUA GALON 16 MEI</t>
  </si>
  <si>
    <t>AQUA GALON 19 MEI</t>
  </si>
  <si>
    <t>AQUA GALON 21 MEI</t>
  </si>
  <si>
    <t>AQUA GALON 22 MEI</t>
  </si>
  <si>
    <t>AQUA GALON 25 MEI</t>
  </si>
  <si>
    <t>AQUA GALON 26 MEI</t>
  </si>
  <si>
    <t>AQUA GALON 30 MEI</t>
  </si>
  <si>
    <t>07 Juni 2026</t>
  </si>
  <si>
    <t>PELASTIK SAMPAH 90X120</t>
  </si>
  <si>
    <t>SARUNG TANGAN</t>
  </si>
  <si>
    <t>TISUE DAPUR</t>
  </si>
  <si>
    <t>GAS 50KG BINAWAN 4 JUNI</t>
  </si>
  <si>
    <t>GAS 50KG WERKUDARA 4 JUNI</t>
  </si>
  <si>
    <t>GAS 50KG BAKUNG 02 4 JUNI</t>
  </si>
  <si>
    <t>GAS 12KG BAKUNG 02 4 JUNI</t>
  </si>
  <si>
    <t xml:space="preserve">GAS 50KG TEGALSARI 04 JUNI </t>
  </si>
  <si>
    <t>GAS 50KG BAKUNG 01 4 JUNI</t>
  </si>
  <si>
    <t>GAS 50KG TEGALSARI 05 JUNI</t>
  </si>
  <si>
    <t>GAS 50KG KALIKOA 05 JUNI</t>
  </si>
  <si>
    <t>GAS 50KG BAKUNG 02 05 JUNI</t>
  </si>
  <si>
    <t>PELASTIK 12X25</t>
  </si>
  <si>
    <t>GAS 50KG BINAWAN 07 JUNI</t>
  </si>
  <si>
    <t>GAS 50KG TEGALSARI 08 JUNI</t>
  </si>
  <si>
    <t>GAS 50KG BINAWAN 08 JUNI</t>
  </si>
  <si>
    <t>AL BAROKAH</t>
  </si>
  <si>
    <t>THINWALL 500 ML</t>
  </si>
  <si>
    <t>PLASTIK 12X25</t>
  </si>
  <si>
    <t>TISU CLEAN PLUS</t>
  </si>
  <si>
    <t>PLASTIK SEGITIGA</t>
  </si>
  <si>
    <t>THINWALL 200 ML</t>
  </si>
  <si>
    <t xml:space="preserve">PLASTIK 12X25 </t>
  </si>
  <si>
    <t>THINWALL 25ML</t>
  </si>
  <si>
    <t>TALI RAFIA MERAH</t>
  </si>
  <si>
    <t>PT. DAWAM LESTARI JAYA</t>
  </si>
  <si>
    <t>HANDGLOVE KARET HITAM XL</t>
  </si>
  <si>
    <t>TALI RAFIA HITAM</t>
  </si>
  <si>
    <t>RAFIA M</t>
  </si>
  <si>
    <t>HIT AER FRESH CITRUS 400ML</t>
  </si>
  <si>
    <t>HIT AER LAVENDER 400ML</t>
  </si>
  <si>
    <t>MR. MUSCLE CLEAR PUMP BLUE 500 ML</t>
  </si>
  <si>
    <t>MR. MUSCLE CLEAR PUMP LAVENDER 500 ML</t>
  </si>
  <si>
    <t>BAYGON AER JAPANES PEACH 600ML</t>
  </si>
  <si>
    <t>BAYGON AER SILKY LAVENDER 600ML</t>
  </si>
  <si>
    <t>BAYGON AER SILKY LAVENDER 400ML</t>
  </si>
  <si>
    <t>TJIWI KAPORIT 60%</t>
  </si>
  <si>
    <t>PT.PANDI MAKMUR ABADI</t>
  </si>
  <si>
    <t>CAPLANG 210ML</t>
  </si>
  <si>
    <t>HANSAPLAST 100</t>
  </si>
  <si>
    <t>KOYO CABE</t>
  </si>
  <si>
    <t>KOYO SALONPAS</t>
  </si>
  <si>
    <t>TOLAK ANGIN CAIR</t>
  </si>
  <si>
    <t>ENERGEN COKLAT 32GR 16'S</t>
  </si>
  <si>
    <t>HVS PAPERONE</t>
  </si>
  <si>
    <t>RIM</t>
  </si>
  <si>
    <t>SOKLIN PL JRG SEREH</t>
  </si>
  <si>
    <t>VINDIA DELUXE TOILET</t>
  </si>
  <si>
    <t>KARET</t>
  </si>
  <si>
    <t>NOTA</t>
  </si>
  <si>
    <t>HANDGLOVE</t>
  </si>
  <si>
    <t>POLYTEX SABUT SPONGE</t>
  </si>
  <si>
    <t>SEE U HANDTOWEL RED</t>
  </si>
  <si>
    <t>GAS 50KG BINAWAN 10 JUNI</t>
  </si>
  <si>
    <t>GAS 50KG WERKUDARA 10 JUNI</t>
  </si>
  <si>
    <t xml:space="preserve">GAS 50KG TEGALSARI 10 JUNI </t>
  </si>
  <si>
    <t>GAS 12KG TEGALSARI 10 JUNI</t>
  </si>
  <si>
    <t>GAS 50KG BAKUNG 02 JUNI</t>
  </si>
  <si>
    <t>ENERVON C STRIP ISI 4</t>
  </si>
  <si>
    <t>TISSUE JOLLY</t>
  </si>
  <si>
    <t>POLYTX MTP SPON EXT</t>
  </si>
  <si>
    <t>TABUNG GAS KALENG</t>
  </si>
  <si>
    <t>GELAS TAKARAN MILI 2L</t>
  </si>
  <si>
    <t>GELAS TAKARAN MILI 1L</t>
  </si>
  <si>
    <t>HIT AER LAVENDER BREEZE 600ML</t>
  </si>
  <si>
    <t>HIT AER ORANGE 400ML</t>
  </si>
  <si>
    <t>HIT AER PINK BLOSSOM 400ML</t>
  </si>
  <si>
    <t>CAUSTIC SODA API FLAKE</t>
  </si>
  <si>
    <t>APOTEK MOROAMAN</t>
  </si>
  <si>
    <t>PARACETAMOL 500 MG</t>
  </si>
  <si>
    <t>STR</t>
  </si>
  <si>
    <t>BETADINE SOL 60ML</t>
  </si>
  <si>
    <t>BTL</t>
  </si>
  <si>
    <t>IMPULSE SEALER PS 200</t>
  </si>
  <si>
    <t>DAHLIA KAMPER BALL 5PCS</t>
  </si>
  <si>
    <t>PARKIR MOBIL</t>
  </si>
  <si>
    <t>MORGEN</t>
  </si>
  <si>
    <t>PLONG 30X40</t>
  </si>
  <si>
    <t>THINWALL 25 ML</t>
  </si>
  <si>
    <t>PE 15X35 DUKU</t>
  </si>
  <si>
    <t>PE 12X25</t>
  </si>
  <si>
    <t>GAS 50KG BAKUNG 02 11 JUNI</t>
  </si>
  <si>
    <t>GAS 50KG KALIKOA 11 JUNI</t>
  </si>
  <si>
    <t>GAS 50KG BINAWAN 11 JUNI</t>
  </si>
  <si>
    <t>GAS 50KG TEGALSARI 11 JUNI</t>
  </si>
  <si>
    <t>THIN WALL 100ML</t>
  </si>
  <si>
    <t>35ML</t>
  </si>
  <si>
    <t>100ML RB</t>
  </si>
  <si>
    <t>PARTY PLONG 15</t>
  </si>
  <si>
    <t>ALSAKI</t>
  </si>
  <si>
    <t>SARUNG TANGAN SENSI M</t>
  </si>
  <si>
    <t>SABUN CUCI PIRING LIME 5 LITER BANDED</t>
  </si>
  <si>
    <t>GAS 50KG BAKUNG 02 12 JUNI</t>
  </si>
  <si>
    <t>GAS 50KG BINAWAN 12 JUNI</t>
  </si>
  <si>
    <t>GAS 12KG BINAWAN 12 JUNI</t>
  </si>
  <si>
    <t xml:space="preserve">GAS 50KG TEGALSARI 12 JUNI </t>
  </si>
  <si>
    <t>AL-BAROKAH</t>
  </si>
  <si>
    <t>ALUMINIUM FOIL 0X 100</t>
  </si>
  <si>
    <t>PE 10X15</t>
  </si>
  <si>
    <t>PLASTIK SAMPAH 90X120</t>
  </si>
  <si>
    <t>MILO MALAYSIA ACT 900GR</t>
  </si>
  <si>
    <t>KAPAL API SPECIAL MIX 10X25GR</t>
  </si>
  <si>
    <t>GOODDAY MOCACHINO 5X20GR</t>
  </si>
  <si>
    <t>GOODDAY FREEZE 10X20GR</t>
  </si>
  <si>
    <t>MILO ACTIV 60 22GR</t>
  </si>
  <si>
    <t>RENTENG</t>
  </si>
  <si>
    <t>DAVID</t>
  </si>
  <si>
    <t>CUP 50ML</t>
  </si>
  <si>
    <t>STYROFOM BUAH</t>
  </si>
  <si>
    <t>IMAN</t>
  </si>
  <si>
    <t>PLASTIK ES 10X25</t>
  </si>
  <si>
    <t xml:space="preserve">GAS 50KG BAKUNG 01 13 JUNI </t>
  </si>
  <si>
    <t>Gas 50kg BAKUNG 01 15 JUNI</t>
  </si>
  <si>
    <t>GAS 50KG BAKUNG 02 15 JUNI</t>
  </si>
  <si>
    <t>GAS 50KG TEGALSARI 15 JUNI</t>
  </si>
  <si>
    <t>THINWALL KOKUKU 500ML</t>
  </si>
  <si>
    <t>KLIP 4X6</t>
  </si>
  <si>
    <t>ALUMUNIUM 0X 100</t>
  </si>
  <si>
    <t>PE DUKU 12X25</t>
  </si>
  <si>
    <t>klip bening 10X15</t>
  </si>
  <si>
    <t>RETUR ALUMUNIU, OX100</t>
  </si>
  <si>
    <t>KAPORIT 60%</t>
  </si>
  <si>
    <t>GLADE SPRAY VAN WOOD 225ML</t>
  </si>
  <si>
    <t>MUSCLE CLEAR PUMP APPLE 500M</t>
  </si>
  <si>
    <t>MUSCLE CLEAR PUMP LAV 500M</t>
  </si>
  <si>
    <t>MUSCLE CLEAR PUMP LEMON 500M</t>
  </si>
  <si>
    <t>WIPOL CLASSIC PINE PCH 750ML</t>
  </si>
  <si>
    <t>GAS 50KG BINAWAN 16 JUNI</t>
  </si>
  <si>
    <t>GAS 50KG BAKUNG 02 18 JUNI</t>
  </si>
  <si>
    <t>GAS 50KG TEGALSARI 17 JUNI</t>
  </si>
  <si>
    <t>GAS 50KG WERKUDARA 17 JUNI</t>
  </si>
  <si>
    <t>GAS 50KG KALIKOA 17 JUNI</t>
  </si>
  <si>
    <t>GAS 50KG BINAWAN 17 JUNI</t>
  </si>
  <si>
    <t>GAS 12KG BINAWAN 17 JUNI</t>
  </si>
  <si>
    <t>GAS 50KG TEGALSARI 18 JUNI</t>
  </si>
  <si>
    <t>GAS 12KG TEGALSARI 18 JUNI</t>
  </si>
  <si>
    <t>KURANG TF GAS TGL 15 JUNI</t>
  </si>
  <si>
    <t>KURANG TF GAS TGL 16 JUNI</t>
  </si>
  <si>
    <t>KURANG TF GAS TGL 18 JUNI</t>
  </si>
  <si>
    <t xml:space="preserve"> 20 Juni 2026</t>
  </si>
  <si>
    <t>AQUA GALON 02/06</t>
  </si>
  <si>
    <t>AQUA GALON 03/06</t>
  </si>
  <si>
    <t>AQUA GALON 04/06</t>
  </si>
  <si>
    <t>AQUA GALON 08/06</t>
  </si>
  <si>
    <t>AQUA GALON 10/06</t>
  </si>
  <si>
    <t>AQUA GALON 11/06</t>
  </si>
  <si>
    <t>AQUA GALON 12/06</t>
  </si>
  <si>
    <t>AQUA GALON 13/06</t>
  </si>
  <si>
    <t>AQUA GALON 15/06</t>
  </si>
  <si>
    <t>AQUA GALON 18/06</t>
  </si>
  <si>
    <t>AQUA GALON 19/06</t>
  </si>
  <si>
    <t>LIST REIMBURSE</t>
  </si>
  <si>
    <t>FIA BINAWAN</t>
  </si>
  <si>
    <t>AYAM</t>
  </si>
  <si>
    <t>25 Mei</t>
  </si>
  <si>
    <t>WERKUDARA</t>
  </si>
  <si>
    <t>GULA</t>
  </si>
  <si>
    <t>GUNADI KALIKOA</t>
  </si>
  <si>
    <t>1 Juni 2026</t>
  </si>
  <si>
    <t>BAKUNG 2</t>
  </si>
  <si>
    <t>PARKIR</t>
  </si>
  <si>
    <t>TEFLON</t>
  </si>
  <si>
    <t>23 Mei</t>
  </si>
  <si>
    <t>ULVI KALIKOA</t>
  </si>
  <si>
    <t>26 mei</t>
  </si>
  <si>
    <t>29 Mei</t>
  </si>
  <si>
    <t>BERAS PREMIUM</t>
  </si>
  <si>
    <t>29 MEI</t>
  </si>
  <si>
    <t>MC LEWIS TOMATO</t>
  </si>
  <si>
    <t>TAHU</t>
  </si>
  <si>
    <t>HASBI BAKUNG 1</t>
  </si>
  <si>
    <t>PLASTIK</t>
  </si>
  <si>
    <t>KECAP SEDAP</t>
  </si>
  <si>
    <t>TEGALSARI</t>
  </si>
  <si>
    <t>TELUR 03 JUNI</t>
  </si>
  <si>
    <t>TELUR 04 JUNI</t>
  </si>
  <si>
    <t>NORI 04 JUNI</t>
  </si>
  <si>
    <t>DELMONTE TOMAT 04 JUNI</t>
  </si>
  <si>
    <t>MC LEWIS MAYO 04 JUNI</t>
  </si>
  <si>
    <t>POUCH</t>
  </si>
  <si>
    <t>ROTI WIJEN 05 JUNI</t>
  </si>
  <si>
    <t>08 JUNI</t>
  </si>
  <si>
    <t xml:space="preserve">WORTEL </t>
  </si>
  <si>
    <t>09 JUNI</t>
  </si>
  <si>
    <t>KECAP BANGO 700GR</t>
  </si>
  <si>
    <t>KUNCI BIRU TEPUNG</t>
  </si>
  <si>
    <t>MINYAK</t>
  </si>
  <si>
    <t>LITER</t>
  </si>
  <si>
    <t>PARSLEY SAYUR</t>
  </si>
  <si>
    <t>DAGING SAPI</t>
  </si>
  <si>
    <t>PP 10X20X02</t>
  </si>
  <si>
    <t>CINTAMI WEERKUDARA</t>
  </si>
  <si>
    <t>KEJU PROCHIZ SPREADY 2KG</t>
  </si>
  <si>
    <t xml:space="preserve">SEMANGKA </t>
  </si>
  <si>
    <t>KEJU OLES 2KG</t>
  </si>
  <si>
    <t>DELMONTE SAOS TOMAT</t>
  </si>
  <si>
    <t>10 JUNI</t>
  </si>
  <si>
    <t>KECAP BANGO 950GR</t>
  </si>
  <si>
    <t>KP</t>
  </si>
  <si>
    <t>DIS</t>
  </si>
  <si>
    <t>MINYAK KITA</t>
  </si>
  <si>
    <t xml:space="preserve">TELUR </t>
  </si>
  <si>
    <t>MINYAK KUNCI MAS</t>
  </si>
  <si>
    <t>TROPICAL MINYAK 1LT</t>
  </si>
  <si>
    <t>11 JUNI</t>
  </si>
  <si>
    <t>SEMANGKA</t>
  </si>
  <si>
    <t>12 JUNI</t>
  </si>
  <si>
    <t>AYAM DADA FILLET</t>
  </si>
  <si>
    <t>TEMPE</t>
  </si>
  <si>
    <t>WJ EDAMAME 1KG</t>
  </si>
  <si>
    <t>MINYAK MASKU 2L</t>
  </si>
  <si>
    <t>GULA 1KG</t>
  </si>
  <si>
    <t>KECAP 700G</t>
  </si>
  <si>
    <t>KL</t>
  </si>
  <si>
    <t>GR</t>
  </si>
  <si>
    <t>17 JUNI</t>
  </si>
  <si>
    <t>CHINTAMI WERKUDARA</t>
  </si>
  <si>
    <t>JERUK</t>
  </si>
  <si>
    <t>FORTUNE MINYAK 2L</t>
  </si>
  <si>
    <t>TOMAT MERAH</t>
  </si>
  <si>
    <t>TOMAT HIJAU</t>
  </si>
  <si>
    <t>CABE IJO</t>
  </si>
  <si>
    <t>KALIKOA</t>
  </si>
  <si>
    <t>MINYAK GORENG SUNCO</t>
  </si>
  <si>
    <t>Disc</t>
  </si>
  <si>
    <t>Pengecekan Invoice</t>
  </si>
  <si>
    <t>REKENING</t>
  </si>
  <si>
    <t>20-21 April</t>
  </si>
  <si>
    <t>Fandy Sumantri</t>
  </si>
  <si>
    <t>Bahan Baku Beras Dan Minyak</t>
  </si>
  <si>
    <t>SUDAH APPROVE</t>
  </si>
  <si>
    <t xml:space="preserve">Widia </t>
  </si>
  <si>
    <t>Semangka</t>
  </si>
  <si>
    <t>Santang</t>
  </si>
  <si>
    <t>Ambon Super</t>
  </si>
  <si>
    <t>Jaena</t>
  </si>
  <si>
    <t>Ayam Potong</t>
  </si>
  <si>
    <t>Ayam Fillet</t>
  </si>
  <si>
    <t>Filet tanpa kulit</t>
  </si>
  <si>
    <t>01 Mei</t>
  </si>
  <si>
    <t>Ayam Utuh</t>
  </si>
  <si>
    <t>tempe tegalsari</t>
  </si>
  <si>
    <t>tahu tegalsari</t>
  </si>
  <si>
    <t>Tahu Tegalsari</t>
  </si>
  <si>
    <t>26-29 April</t>
  </si>
  <si>
    <t>Ishma</t>
  </si>
  <si>
    <t>tahu bakung, binawan, werkudara</t>
  </si>
  <si>
    <t>Tempe bakung 1</t>
  </si>
  <si>
    <t>Tempe bakung 2</t>
  </si>
  <si>
    <t>1 Mei 2026</t>
  </si>
  <si>
    <t>Dwinanto Basarah</t>
  </si>
  <si>
    <t>04 Mei</t>
  </si>
  <si>
    <t>Tempe Werkudara</t>
  </si>
  <si>
    <t>Rizki Fadillah</t>
  </si>
  <si>
    <t>Gas Werkudara</t>
  </si>
  <si>
    <t xml:space="preserve">Yudi </t>
  </si>
  <si>
    <t>Ayam Fillet Tegalsari</t>
  </si>
  <si>
    <t>782002200300 RADEN YUDI PRAMANTO
CIMB Niaga</t>
  </si>
  <si>
    <t>03 Mei</t>
  </si>
  <si>
    <t>Ayam Potong Tegalsari</t>
  </si>
  <si>
    <t>Riski Fadilah</t>
  </si>
  <si>
    <t>Pisang Kalikoa</t>
  </si>
  <si>
    <t>RIZKY FADILLAH</t>
  </si>
  <si>
    <t>Jeruk Medan Tegalsari</t>
  </si>
  <si>
    <t>Jeruk Medan Werkudara</t>
  </si>
  <si>
    <t>Semangka Tegalsari</t>
  </si>
  <si>
    <t>Buah Naga Werkudara</t>
  </si>
  <si>
    <t>Sunkis Tegalsari</t>
  </si>
  <si>
    <t>Jeruk Medan Kalikoa</t>
  </si>
  <si>
    <t>Pisang Binawan</t>
  </si>
  <si>
    <t>Anggur Tegalsari</t>
  </si>
  <si>
    <t>Jeruk Kino</t>
  </si>
  <si>
    <t>Pisang</t>
  </si>
  <si>
    <t>1 Mei</t>
  </si>
  <si>
    <t>Anggur Kalikoa</t>
  </si>
  <si>
    <t>Jambu Kalikoa</t>
  </si>
  <si>
    <t>Jeruk Medan Binawan</t>
  </si>
  <si>
    <t xml:space="preserve">04 Mei </t>
  </si>
  <si>
    <t>Syahrudin</t>
  </si>
  <si>
    <t>Tempe Bakung 2</t>
  </si>
  <si>
    <t>Daging ayam fillet werkudara</t>
  </si>
  <si>
    <t>fillet kalikoa</t>
  </si>
  <si>
    <t>ayam poton bakung 2</t>
  </si>
  <si>
    <t>Siti Khumaedah</t>
  </si>
  <si>
    <t>Beras Bakung</t>
  </si>
  <si>
    <t>7745291091 Siti khumaedah</t>
  </si>
  <si>
    <t>Widia</t>
  </si>
  <si>
    <t>Melon Madu</t>
  </si>
  <si>
    <t>Semingka no biji</t>
  </si>
  <si>
    <t>ambon super</t>
  </si>
  <si>
    <t>Jeruk Wogam</t>
  </si>
  <si>
    <t>Jeruk Malang</t>
  </si>
  <si>
    <t>05 Mei</t>
  </si>
  <si>
    <t>.</t>
  </si>
  <si>
    <t>Riski Fadillah</t>
  </si>
  <si>
    <t>Gas Kalikoa 50Kg</t>
  </si>
  <si>
    <t>Tabung</t>
  </si>
  <si>
    <t>Gas Bakung 2 50kg</t>
  </si>
  <si>
    <t>Gas Tegalsari 50Kg</t>
  </si>
  <si>
    <t>Gas Bakung 1 50Kg</t>
  </si>
  <si>
    <t>Gas Bakung 2 50Kg</t>
  </si>
  <si>
    <t>Gas Bakung 2 12Kg</t>
  </si>
  <si>
    <t>Gas Binawan 50Kg</t>
  </si>
  <si>
    <t>Gas Tegalsari 12Kg</t>
  </si>
  <si>
    <t>Gas Werkudara 50Kg</t>
  </si>
  <si>
    <t>Gas Werkudara 12Kg</t>
  </si>
  <si>
    <t>revisi invoice dapur 12kg binawan</t>
  </si>
  <si>
    <t xml:space="preserve">3 Mei </t>
  </si>
  <si>
    <t>Wahid Hidayat</t>
  </si>
  <si>
    <t>Tahu Putih Bakung 1</t>
  </si>
  <si>
    <t>SEABANK WAHID HIDAYAT 901730792357</t>
  </si>
  <si>
    <t>5 Mei</t>
  </si>
  <si>
    <t>Tahu Putih Bakung 2</t>
  </si>
  <si>
    <t>Pandi</t>
  </si>
  <si>
    <t>Daging Ayam Fillet Werkudara</t>
  </si>
  <si>
    <t>BRI PANDI 413301001051502</t>
  </si>
  <si>
    <t>Tempe Binawan</t>
  </si>
  <si>
    <t>08 Mei</t>
  </si>
  <si>
    <t>4 Mei</t>
  </si>
  <si>
    <t>Daging Ayam Potog</t>
  </si>
  <si>
    <t>Daging Ayam Fillet</t>
  </si>
  <si>
    <t>Daging Ayam Potong</t>
  </si>
  <si>
    <t>6 MEI</t>
  </si>
  <si>
    <t>Daging ayam fillet Bakung 2</t>
  </si>
  <si>
    <t>Daging Ayam Filet Bakung 1</t>
  </si>
  <si>
    <t>7 Mei</t>
  </si>
  <si>
    <t>6 Mei</t>
  </si>
  <si>
    <t>Wogam 70</t>
  </si>
  <si>
    <t>Box</t>
  </si>
  <si>
    <t>Apel Fuji</t>
  </si>
  <si>
    <t>Semangka non biji</t>
  </si>
  <si>
    <t>Salak Super Werkudara</t>
  </si>
  <si>
    <t>Semangka non biji Binawan</t>
  </si>
  <si>
    <t>Semangka non biji Bakung 1</t>
  </si>
  <si>
    <t>Melon Madu Bakung 2</t>
  </si>
  <si>
    <t>8 Mei</t>
  </si>
  <si>
    <t>Apel fuji</t>
  </si>
  <si>
    <t>Fandi Sumantri</t>
  </si>
  <si>
    <t>Roti Burger Bakung1</t>
  </si>
  <si>
    <t>Alana</t>
  </si>
  <si>
    <t>Frozenland Vegetable Mix 1Kg</t>
  </si>
  <si>
    <t>Pak</t>
  </si>
  <si>
    <t>werkudara</t>
  </si>
  <si>
    <t>Jagung Pipil</t>
  </si>
  <si>
    <t>tgs 5</t>
  </si>
  <si>
    <t>Bartoz Beef Burger Mini</t>
  </si>
  <si>
    <t>kalikoa tgl 6</t>
  </si>
  <si>
    <t>bakung 1 tgl 6</t>
  </si>
  <si>
    <t>Kacang Polong</t>
  </si>
  <si>
    <t>Kalikoa tgl 7 bakung 2 6</t>
  </si>
  <si>
    <t>Kentang</t>
  </si>
  <si>
    <t>Anggur tegalsari</t>
  </si>
  <si>
    <t>Sunkis Tegal sari</t>
  </si>
  <si>
    <t>Jambu Tegalsari</t>
  </si>
  <si>
    <t>Salak</t>
  </si>
  <si>
    <t>Salak Kalikoa</t>
  </si>
  <si>
    <t>Jeruk Medan</t>
  </si>
  <si>
    <t>Pisang Werkudara</t>
  </si>
  <si>
    <t>KlengkengKalikoa</t>
  </si>
  <si>
    <t>Buah Naga Kalikoa</t>
  </si>
  <si>
    <t>3 Mei</t>
  </si>
  <si>
    <t>Tahu Sumedang Bakung</t>
  </si>
  <si>
    <t>Tahu Kuning Binawan</t>
  </si>
  <si>
    <t>Tahu Isi Werkudara</t>
  </si>
  <si>
    <t>Tahu Pong Bakung 1</t>
  </si>
  <si>
    <t>Tahu Sumedang Binawan</t>
  </si>
  <si>
    <t>Tahu isi Werkudara</t>
  </si>
  <si>
    <t>Tahu Mentah</t>
  </si>
  <si>
    <t>Tahu Sumedang Tegalsari</t>
  </si>
  <si>
    <t>06 Mei</t>
  </si>
  <si>
    <t>07 Mei</t>
  </si>
  <si>
    <t>Tahu Mentah Tegalsari</t>
  </si>
  <si>
    <t>Rizki fadilah</t>
  </si>
  <si>
    <t>Gas 50kg Binawan</t>
  </si>
  <si>
    <t>9 Mei</t>
  </si>
  <si>
    <t>Gas 50Kg Bakung 02</t>
  </si>
  <si>
    <t>Gas 12Kg Binawan</t>
  </si>
  <si>
    <t>Gas 50Kg Bakung 01</t>
  </si>
  <si>
    <t>Gas 50kg Werkudara</t>
  </si>
  <si>
    <t>Gas 12Kg Werkudara</t>
  </si>
  <si>
    <t>Gas 50Kg Tegalsari</t>
  </si>
  <si>
    <t>Gas 12Kg Tegalsari</t>
  </si>
  <si>
    <t>Gas 12Kg Bakung 02</t>
  </si>
  <si>
    <t xml:space="preserve">5 Mei </t>
  </si>
  <si>
    <t>Gas 50Kg Kalikoa</t>
  </si>
  <si>
    <t>10 Mei</t>
  </si>
  <si>
    <t>Daging Ayam Utuh Kalikoa</t>
  </si>
  <si>
    <t>Ayam Daging Fillet Paha Bakung 1</t>
  </si>
  <si>
    <t>Ayam Potong Binawan</t>
  </si>
  <si>
    <t>11 Mei</t>
  </si>
  <si>
    <t>12 Mei</t>
  </si>
  <si>
    <t>Edamame Bakung 02</t>
  </si>
  <si>
    <t>Bakung 02</t>
  </si>
  <si>
    <t>Abon BInawan</t>
  </si>
  <si>
    <t>(sesuai realisasi)</t>
  </si>
  <si>
    <t>Edamame Binawan</t>
  </si>
  <si>
    <t>belum</t>
  </si>
  <si>
    <t>Roti Tawar Casino Werkudara</t>
  </si>
  <si>
    <t>Wogam</t>
  </si>
  <si>
    <t>Werkudara</t>
  </si>
  <si>
    <t>Bakung 01</t>
  </si>
  <si>
    <t>B1, B2, Bn, Wkd</t>
  </si>
  <si>
    <t>Salak Pondoh Kalikoa</t>
  </si>
  <si>
    <t>Pisang Tegalsari</t>
  </si>
  <si>
    <t>Semangka Merah Kalikoa</t>
  </si>
  <si>
    <t>Jeruk Santang Tegalsari</t>
  </si>
  <si>
    <t>Pisang Ambon Cavandes Binawan</t>
  </si>
  <si>
    <t>Anggur Australia</t>
  </si>
  <si>
    <t>Pisang Cavendis Werkudara</t>
  </si>
  <si>
    <t>Jeruk Binawan</t>
  </si>
  <si>
    <t xml:space="preserve">11 Mei </t>
  </si>
  <si>
    <t>Wempi</t>
  </si>
  <si>
    <t>Baso Aziip 50</t>
  </si>
  <si>
    <t>Kalikoa</t>
  </si>
  <si>
    <t>Frozen Vegetabele Mix</t>
  </si>
  <si>
    <t>Yona Beef Chicken</t>
  </si>
  <si>
    <t>Tahu Pong</t>
  </si>
  <si>
    <t xml:space="preserve">Tempe Tegalsari </t>
  </si>
  <si>
    <t>Bandeng Presto Bakung 1</t>
  </si>
  <si>
    <t>Roti Buger Bakung 2</t>
  </si>
  <si>
    <t>Daging Ayam Potong Utuh 215 Ekor</t>
  </si>
  <si>
    <t>Gas 50kg Bakung 01</t>
  </si>
  <si>
    <t>Rizki Fadilah</t>
  </si>
  <si>
    <t>13 Mei</t>
  </si>
  <si>
    <t>Gas 50 Kg Werkudara</t>
  </si>
  <si>
    <t>11 Met</t>
  </si>
  <si>
    <t>Gas 50Kg Binawan</t>
  </si>
  <si>
    <t>16 Mei</t>
  </si>
  <si>
    <t>Melon Tegalsari</t>
  </si>
  <si>
    <t>Anggur Werkudara</t>
  </si>
  <si>
    <t>Jeruk Tegalsari</t>
  </si>
  <si>
    <t>v tgl 11</t>
  </si>
  <si>
    <t>Melon Kalikoa</t>
  </si>
  <si>
    <t>14 Mei</t>
  </si>
  <si>
    <t>15 Mei</t>
  </si>
  <si>
    <t>DWINANTO BASARAH</t>
  </si>
  <si>
    <t>TEMPE BAKUNG 02</t>
  </si>
  <si>
    <t>TEMPE WERKUDARA</t>
  </si>
  <si>
    <t>17 Mei</t>
  </si>
  <si>
    <t>Daging Aayam Potong</t>
  </si>
  <si>
    <t>Daging Ayam Utuh/ Glondongan 162 Ekor</t>
  </si>
  <si>
    <t>Ati Ampela</t>
  </si>
  <si>
    <t>18 Mei</t>
  </si>
  <si>
    <t>Daging Ayam Potong Bakung 1</t>
  </si>
  <si>
    <t>Malang Super</t>
  </si>
  <si>
    <t>Ambon super</t>
  </si>
  <si>
    <t>Semangka Non Biji</t>
  </si>
  <si>
    <t>19 Mei</t>
  </si>
  <si>
    <t>Semangka non biji Werkudara</t>
  </si>
  <si>
    <t>Melon Madu Super</t>
  </si>
  <si>
    <t>Pepaya Super</t>
  </si>
  <si>
    <t>Melon Madu Super Bakung 2</t>
  </si>
  <si>
    <t>20 Mei</t>
  </si>
  <si>
    <t>Semangka Non Biji Bakung 2</t>
  </si>
  <si>
    <t>Semangka Non Biji Bakung 1</t>
  </si>
  <si>
    <t>Semangka Non Biji Binawan</t>
  </si>
  <si>
    <t>Jeruk Malang Werkudara</t>
  </si>
  <si>
    <t>21 Mei</t>
  </si>
  <si>
    <t>580, 2080, 2025,</t>
  </si>
  <si>
    <t>Jeruk Malang Bakung 1</t>
  </si>
  <si>
    <t>22 Mei</t>
  </si>
  <si>
    <t>Rindi</t>
  </si>
  <si>
    <t>Telur Puyuh</t>
  </si>
  <si>
    <t>98(invoice 27 aprl)</t>
  </si>
  <si>
    <t>Tahu Putih</t>
  </si>
  <si>
    <t>Tahu Kuning</t>
  </si>
  <si>
    <t>Tahu Isi</t>
  </si>
  <si>
    <t>Yudi</t>
  </si>
  <si>
    <t>Daging Ayam Utuh Glondongan kalikoa</t>
  </si>
  <si>
    <t>Daging Ayam Fillet Binawan</t>
  </si>
  <si>
    <t>Dada Fillet Tanpa Kulit Bakung II</t>
  </si>
  <si>
    <t>Dwinanto</t>
  </si>
  <si>
    <t>Tempe Binawam</t>
  </si>
  <si>
    <t>Tempa Bakung 2</t>
  </si>
  <si>
    <t>Edamame</t>
  </si>
  <si>
    <t>Rizki Fdilah</t>
  </si>
  <si>
    <t>Anggur Aussie Tegalsari</t>
  </si>
  <si>
    <t>Semangka Inul Tegalsari</t>
  </si>
  <si>
    <t>Apel tegalsari</t>
  </si>
  <si>
    <t>Jeruk Medan Tegalsaei</t>
  </si>
  <si>
    <t>PisangTegalsari</t>
  </si>
  <si>
    <t>23 mei</t>
  </si>
  <si>
    <t>Alana Frozen</t>
  </si>
  <si>
    <t>Mix Vegetable</t>
  </si>
  <si>
    <t>60 (b1), 35 (b2), 44 (wer)</t>
  </si>
  <si>
    <t>Baso Azip</t>
  </si>
  <si>
    <t>Ikan Dori</t>
  </si>
  <si>
    <t>Apipah</t>
  </si>
  <si>
    <t>Ikan Nila</t>
  </si>
  <si>
    <t>IKAN PATIN BINAWAN (21 MEI)</t>
  </si>
  <si>
    <t>Gas 12kg Werkudara</t>
  </si>
  <si>
    <t>Gas 50kg Tegalsari</t>
  </si>
  <si>
    <t>Gas 50kg Kalikoa</t>
  </si>
  <si>
    <t>Gas 50Kg Bakung 2</t>
  </si>
  <si>
    <t>Gas 50Kg Werkudara</t>
  </si>
  <si>
    <t>Gas 50Kg Bakung 1</t>
  </si>
  <si>
    <t>Gas 50kg Bakung 1</t>
  </si>
  <si>
    <t>Gas 12kg Tegalsari</t>
  </si>
  <si>
    <t>Gas 50kg Bakung 2</t>
  </si>
  <si>
    <t>Gas 12Kg Bakung 2</t>
  </si>
  <si>
    <t>Gad 50kg Binawan</t>
  </si>
  <si>
    <t xml:space="preserve">23 Mei </t>
  </si>
  <si>
    <t>Gas 50kg kalikoa</t>
  </si>
  <si>
    <t>Fandi Sumanti</t>
  </si>
  <si>
    <t>Prochiz Keju</t>
  </si>
  <si>
    <t>dus</t>
  </si>
  <si>
    <t>SYAHRUDIN</t>
  </si>
  <si>
    <t>TEMPE BAKUNG 2</t>
  </si>
  <si>
    <t>TEMPE BAKUNG 1</t>
  </si>
  <si>
    <t>Tahu coklat Werkudara</t>
  </si>
  <si>
    <t>pcs</t>
  </si>
  <si>
    <t>Tahu kuning Bakung 1</t>
  </si>
  <si>
    <t>Tahu kuning Bakung 2</t>
  </si>
  <si>
    <t>Tahu Werkudara isi</t>
  </si>
  <si>
    <t>Tahu kuning bakung 1</t>
  </si>
  <si>
    <t>Tahu pong Binawan</t>
  </si>
  <si>
    <t>Tahu kuning Binawan</t>
  </si>
  <si>
    <t>Tahu pong Bakung 1</t>
  </si>
  <si>
    <t>Tahu pong Bakung 2</t>
  </si>
  <si>
    <t>Tahu Putih Binawan</t>
  </si>
  <si>
    <t>Telor</t>
  </si>
  <si>
    <t>Roti Tawar Toast</t>
  </si>
  <si>
    <t>21 mei</t>
  </si>
  <si>
    <t>Ayam werkudara 21 mei</t>
  </si>
  <si>
    <t>22 mei</t>
  </si>
  <si>
    <t>Ayam Kalikoa 22 mei</t>
  </si>
  <si>
    <t xml:space="preserve">17 Mei </t>
  </si>
  <si>
    <t>26 Mei</t>
  </si>
  <si>
    <t>28 Mei</t>
  </si>
  <si>
    <t>24 MEI</t>
  </si>
  <si>
    <t>25 MEI</t>
  </si>
  <si>
    <t>ATI AMPELA KALIKOA</t>
  </si>
  <si>
    <t>DAGING AYAM POTONG WERKUDARA</t>
  </si>
  <si>
    <t>AYAM FILLET TANPA KULIT KALIKOA</t>
  </si>
  <si>
    <t>CEKER</t>
  </si>
  <si>
    <t>AYAM FILLET TANPA KULIT BAKUNG 2</t>
  </si>
  <si>
    <t>2600 (b1) + 2960 wer</t>
  </si>
  <si>
    <t>AYAM POTONG TEGALSARI</t>
  </si>
  <si>
    <t>EDAMAME</t>
  </si>
  <si>
    <t>30 Mei</t>
  </si>
  <si>
    <t>GAS 50KG KALIKOA</t>
  </si>
  <si>
    <t>KLENGKENG KALIKOA</t>
  </si>
  <si>
    <t>ANGGUR TEGALSARI</t>
  </si>
  <si>
    <t>APEL TEGALSARI</t>
  </si>
  <si>
    <t>PISANG TEGALSARI</t>
  </si>
  <si>
    <t>ANGGUR KALIKOA</t>
  </si>
  <si>
    <t>24 Mei</t>
  </si>
  <si>
    <t>TAHU PUTIH BINAWAN</t>
  </si>
  <si>
    <t>TAHU ISI WERKUDARA</t>
  </si>
  <si>
    <t>TAHU PUTIH BAKUNG 1</t>
  </si>
  <si>
    <t>TAHU PUTIH BAKUNG 2</t>
  </si>
  <si>
    <t>IKAN BANDENG PRESTO WERKUDARA</t>
  </si>
  <si>
    <t>TAHU PUTIH MENTAH TEGALSARI</t>
  </si>
  <si>
    <t xml:space="preserve">TEMPE TEGALSARI </t>
  </si>
  <si>
    <t>1 JUNI</t>
  </si>
  <si>
    <t>176,4 (Werkudara)</t>
  </si>
  <si>
    <t>2 JUNI</t>
  </si>
  <si>
    <t>SEMANGKA SUPER BINAWAN</t>
  </si>
  <si>
    <t>MELON MADU</t>
  </si>
  <si>
    <t>PISANG AMBON WERKUDARA</t>
  </si>
  <si>
    <t>3 JUNI</t>
  </si>
  <si>
    <t>233.1 (werkudara)</t>
  </si>
  <si>
    <t>1120 (bakung 2)</t>
  </si>
  <si>
    <t>03 JUNI</t>
  </si>
  <si>
    <t>04 JUNI</t>
  </si>
  <si>
    <t>01 JUNI</t>
  </si>
  <si>
    <t>02 JUNI</t>
  </si>
  <si>
    <t>TAHU BACEM (BAKUNG 2) 3 JUNI</t>
  </si>
  <si>
    <t>03 Juni</t>
  </si>
  <si>
    <t>IKAN BANDENG PRESTO TEGALSARI</t>
  </si>
  <si>
    <t>DAGING GILING BAKUNG O1</t>
  </si>
  <si>
    <t>01 Juni</t>
  </si>
  <si>
    <t>22 (TGS), 13 (WKD) 20 (TGS)</t>
  </si>
  <si>
    <t>60(B1 TGL 2), 68+68 (wkd tgl2+4)</t>
  </si>
  <si>
    <t>AYAM FILLET TANPA KULIT</t>
  </si>
  <si>
    <t>30 MEI</t>
  </si>
  <si>
    <t>04  JUNI</t>
  </si>
  <si>
    <t>04 Juni</t>
  </si>
  <si>
    <t>Rizal Fauzuddin</t>
  </si>
  <si>
    <t>Susu FF UHT Plan 115 ml</t>
  </si>
  <si>
    <t>AMBON SUPER BAKUNG 01 04 JUNI</t>
  </si>
  <si>
    <t>05  JUNI</t>
  </si>
  <si>
    <t>TAHU PUTIH WERKUDARA</t>
  </si>
  <si>
    <t>05 JUNI</t>
  </si>
  <si>
    <t>07 JUNI</t>
  </si>
  <si>
    <t>LEBIH BAYAR</t>
  </si>
  <si>
    <t>KULIT FINA PASTRY BESAR</t>
  </si>
  <si>
    <t>35 (b2)  + 64 (wkd)</t>
  </si>
  <si>
    <t>TAHU KUNING BINAWAN</t>
  </si>
  <si>
    <t>2050+300</t>
  </si>
  <si>
    <t>JERUK MALANG</t>
  </si>
  <si>
    <t>11JUNI</t>
  </si>
  <si>
    <t>DAGING AYAM FILLET TANPA KULIT WERKUDARA</t>
  </si>
  <si>
    <t>a</t>
  </si>
  <si>
    <t>14 JUNI</t>
  </si>
  <si>
    <t>13 JUNI</t>
  </si>
  <si>
    <t>15 Juni</t>
  </si>
  <si>
    <t>15 JUNI</t>
  </si>
  <si>
    <t>16 JUNI</t>
  </si>
  <si>
    <t>SYDAH APPROVE</t>
  </si>
  <si>
    <t>16 Juni</t>
  </si>
  <si>
    <t>IKAN BANDENG PRESTO BAKUNG 01 16 JUNI</t>
  </si>
  <si>
    <t>17 Juni</t>
  </si>
  <si>
    <t>18 Juni</t>
  </si>
  <si>
    <t>18 JUNI</t>
  </si>
  <si>
    <t>KEKURANGAN TF GAS TEGALSARI TGL 18 JUNI</t>
  </si>
  <si>
    <t>19 JUNI</t>
  </si>
  <si>
    <t>PENERIMA</t>
  </si>
  <si>
    <t>ITEM</t>
  </si>
  <si>
    <t>HARGA SATUAN</t>
  </si>
  <si>
    <t>KETERANGAN</t>
  </si>
  <si>
    <t>LISMA</t>
  </si>
  <si>
    <t>PETTY CASH</t>
  </si>
  <si>
    <t>02 JUNI 2026</t>
  </si>
  <si>
    <t>05 JUNI 2026</t>
  </si>
  <si>
    <t>BAMBANG SETIAWAN</t>
  </si>
  <si>
    <t>PENGAJUAN BIAYA SEWA MOBIL SPPG 24 MEI-6 JUNI 2026</t>
  </si>
  <si>
    <t>UNIT</t>
  </si>
  <si>
    <t>PENGAJUAN BIATA KOORDINASI WILAYAH</t>
  </si>
  <si>
    <t>PENGAJUAN BIAYA SEWA MOBIL OPRASIONAL KOPRASI 24 MEI- 6 JUNI 2026</t>
  </si>
  <si>
    <t>16 JUNI 2026</t>
  </si>
  <si>
    <t>PETTYCASH</t>
  </si>
  <si>
    <t>19 JUNI 2026</t>
  </si>
  <si>
    <t>PENGAJUAN BIAYA SEWA MOBIL SPPG 7-20 JUNI 2026</t>
  </si>
  <si>
    <t>PENGAJUAN BIATA KOORDINASI WILAYAH 7-20 JUNI 2026</t>
  </si>
  <si>
    <t>PENGAJUAN BIAYA SEWA MOBIL OPRASIONAL KOPRASI 7- 20  JUNI 2026</t>
  </si>
  <si>
    <t xml:space="preserve"> JUNI 2026</t>
  </si>
  <si>
    <t>💰 DAFTAR HARGA REFERENSI (Sumber: Rekap Mei 2026) — BISA DIEDIT</t>
  </si>
  <si>
    <t>⚠️ Harga BIRU = input manual. Ubah di sini → otomatis update semua invoice.</t>
  </si>
  <si>
    <t>No</t>
  </si>
  <si>
    <t>Nama Barang</t>
  </si>
  <si>
    <t>Satuan</t>
  </si>
  <si>
    <t>Harga Beli (Rp)</t>
  </si>
  <si>
    <t>Harga Jual (Rp)</t>
  </si>
  <si>
    <t>Margin (Rp)</t>
  </si>
  <si>
    <t>Margin (%)</t>
  </si>
  <si>
    <t>Anggur</t>
  </si>
  <si>
    <t>Apel</t>
  </si>
  <si>
    <t>Asam Jawa</t>
  </si>
  <si>
    <t>Ayam Dada Fillet</t>
  </si>
  <si>
    <t>Ayam Potong Sayap</t>
  </si>
  <si>
    <t>Bandeng presto</t>
  </si>
  <si>
    <t>Bawang Bombay</t>
  </si>
  <si>
    <t>Bawang merah</t>
  </si>
  <si>
    <t>Bawang merah kupas</t>
  </si>
  <si>
    <t>Bawang putih</t>
  </si>
  <si>
    <t>Bawang putih kupas</t>
  </si>
  <si>
    <t>Beras</t>
  </si>
  <si>
    <t>Blimbing</t>
  </si>
  <si>
    <t>Buah pir</t>
  </si>
  <si>
    <t>Buah Plum</t>
  </si>
  <si>
    <t>Bubuk Gochugaru</t>
  </si>
  <si>
    <t>Bubuk Ngohiong</t>
  </si>
  <si>
    <t>Bubuk Paprika</t>
  </si>
  <si>
    <t>Buncis</t>
  </si>
  <si>
    <t>Cabai merah</t>
  </si>
  <si>
    <t>Cabai merah besar</t>
  </si>
  <si>
    <t>Cabai rawit merah</t>
  </si>
  <si>
    <t>Daging Ayam Giling</t>
  </si>
  <si>
    <t>Daun bawang</t>
  </si>
  <si>
    <t>Daun jeruk</t>
  </si>
  <si>
    <t>Daun pandan</t>
  </si>
  <si>
    <t>Daun Salam</t>
  </si>
  <si>
    <t>Garam</t>
  </si>
  <si>
    <t>Gula merah</t>
  </si>
  <si>
    <t>Gula pasir</t>
  </si>
  <si>
    <t>Ikan Tongkol</t>
  </si>
  <si>
    <t>Jagung pipil</t>
  </si>
  <si>
    <t>Jahe</t>
  </si>
  <si>
    <t>Jeruk</t>
  </si>
  <si>
    <t>Jeruk Limau</t>
  </si>
  <si>
    <t>Jinten</t>
  </si>
  <si>
    <t>Kacang panjang</t>
  </si>
  <si>
    <t>Kacang Sambal</t>
  </si>
  <si>
    <t>Kacang tanah giling</t>
  </si>
  <si>
    <t>Kaldu jamur</t>
  </si>
  <si>
    <t>Kecap Inggris</t>
  </si>
  <si>
    <t>Botol</t>
  </si>
  <si>
    <t>Kecap manis</t>
  </si>
  <si>
    <t>Dirigen</t>
  </si>
  <si>
    <t>Keju Slice</t>
  </si>
  <si>
    <t>Kelapa parut</t>
  </si>
  <si>
    <t>Kelengkeng</t>
  </si>
  <si>
    <t>Kemiri</t>
  </si>
  <si>
    <t>Kencur</t>
  </si>
  <si>
    <t>Ketumbar</t>
  </si>
  <si>
    <t>Knorr</t>
  </si>
  <si>
    <t>Kol</t>
  </si>
  <si>
    <t>Kulit Kebab</t>
  </si>
  <si>
    <t>Kunyit</t>
  </si>
  <si>
    <t>Labu Siam</t>
  </si>
  <si>
    <t>Lada</t>
  </si>
  <si>
    <t>Lada hitam</t>
  </si>
  <si>
    <t>Lada putih bubuk</t>
  </si>
  <si>
    <t>Lengkuas</t>
  </si>
  <si>
    <t>Margarin</t>
  </si>
  <si>
    <t>Mayonaise</t>
  </si>
  <si>
    <t>Mentega</t>
  </si>
  <si>
    <t>Minyak</t>
  </si>
  <si>
    <t>Liter</t>
  </si>
  <si>
    <t>Minyak wijen</t>
  </si>
  <si>
    <t>Roti Burger</t>
  </si>
  <si>
    <t>Roti Tawar</t>
  </si>
  <si>
    <t>Pack</t>
  </si>
  <si>
    <t>Royko</t>
  </si>
  <si>
    <t>Saus BBQ</t>
  </si>
  <si>
    <t>Saus Bulgogi</t>
  </si>
  <si>
    <t>Saus Pedas</t>
  </si>
  <si>
    <t>Saus Sambal Sachet</t>
  </si>
  <si>
    <t>Saus tiram</t>
  </si>
  <si>
    <t>Saus tomat</t>
  </si>
  <si>
    <t>Saus Tomat Sachet</t>
  </si>
  <si>
    <t>Sawi hijau</t>
  </si>
  <si>
    <t>Sawi putih</t>
  </si>
  <si>
    <t>Selada</t>
  </si>
  <si>
    <t>Sereh</t>
  </si>
  <si>
    <t>Susu UHT</t>
  </si>
  <si>
    <t>Tahu</t>
  </si>
  <si>
    <t>Tahu Bulat</t>
  </si>
  <si>
    <t>Tahu Coklat</t>
  </si>
  <si>
    <t>Telur Ayam</t>
  </si>
  <si>
    <t>Tempe</t>
  </si>
  <si>
    <t>Tepung Cakra</t>
  </si>
  <si>
    <t>Tepung Serbaguna</t>
  </si>
  <si>
    <t>Tepung Tapioka</t>
  </si>
  <si>
    <t>Tepung Terigu</t>
  </si>
  <si>
    <t>Terasi</t>
  </si>
  <si>
    <t>Timun</t>
  </si>
  <si>
    <t>Tomat</t>
  </si>
  <si>
    <t>Wortel</t>
  </si>
  <si>
    <t>🧾 DRAFT INVOICE — BAKUNG 01</t>
  </si>
  <si>
    <t>Periode:  Mei-Juni 2026  |  🟢 Hijau = linked Daftar Harga  |  🔵 Biru = input manual (isi setelah nota datang)</t>
  </si>
  <si>
    <t>Kolom G (Harga Beli Nota) dikosongkan — isi saat barang tiba. Margin: pakai Nota jika ada, fallback ke Estimasi.</t>
  </si>
  <si>
    <t>📅  Sunday, 24 May 2026</t>
  </si>
  <si>
    <t>Qty</t>
  </si>
  <si>
    <t>📊 ESTIMASI</t>
  </si>
  <si>
    <t>🧾 REALISASI BELI</t>
  </si>
  <si>
    <t>💰 PENJUALAN</t>
  </si>
  <si>
    <t>📈 MARGIN</t>
  </si>
  <si>
    <t>Keterangan</t>
  </si>
  <si>
    <t>Est. Harga
Beli (Rp)</t>
  </si>
  <si>
    <t>Total
Estimasi (Rp)</t>
  </si>
  <si>
    <t>Harga Beli
Nota (Rp)</t>
  </si>
  <si>
    <t>Total Beli
Nota (Rp)</t>
  </si>
  <si>
    <t>Harga Jual
(Rp)</t>
  </si>
  <si>
    <t>Total Jual
(Rp)</t>
  </si>
  <si>
    <t>Margin
(Rp)</t>
  </si>
  <si>
    <t>Margin
(%)</t>
  </si>
  <si>
    <t>SUBTOTAL 24 May 2026</t>
  </si>
  <si>
    <t>📅  Monday, 25 May 2026</t>
  </si>
  <si>
    <t>Kecap Sedap 720Ml</t>
  </si>
  <si>
    <t>Kecap Bango 700 Gr</t>
  </si>
  <si>
    <t>SUBTOTAL 25 May 2026</t>
  </si>
  <si>
    <t>📅  Thursday, 28 May 2026</t>
  </si>
  <si>
    <t>Pisang Ambon</t>
  </si>
  <si>
    <t>SUBTOTAL 28 May 2026</t>
  </si>
  <si>
    <t>📅   Friday, 29 May 2026</t>
  </si>
  <si>
    <t>Saos Tomat</t>
  </si>
  <si>
    <t>Susu Uht</t>
  </si>
  <si>
    <t>📅  Monday, 01 June 2026</t>
  </si>
  <si>
    <t>Bawang Merah Kupas</t>
  </si>
  <si>
    <t>Bawang Putih Kupas</t>
  </si>
  <si>
    <t>Daun Bawang</t>
  </si>
  <si>
    <t>Kecap Manis</t>
  </si>
  <si>
    <t>Sawi Hijau</t>
  </si>
  <si>
    <t>Tepung Roti</t>
  </si>
  <si>
    <t>SUBTOTAL 01 Jun 2026</t>
  </si>
  <si>
    <t>📅  Tuesday, 02 June 2026</t>
  </si>
  <si>
    <t>Kacang Edamame</t>
  </si>
  <si>
    <t>Keju Parut</t>
  </si>
  <si>
    <t>Lada Bubuk</t>
  </si>
  <si>
    <t>Melon</t>
  </si>
  <si>
    <t>Smoke Beef</t>
  </si>
  <si>
    <t>SUBTOTAL 02 Jun 2026</t>
  </si>
  <si>
    <t>📅  Wednesday, 03 June 2026</t>
  </si>
  <si>
    <t>Gula Pasir</t>
  </si>
  <si>
    <t>Jeruk Wokam</t>
  </si>
  <si>
    <t>Minyak Wijen</t>
  </si>
  <si>
    <t>Nori</t>
  </si>
  <si>
    <t>SUBTOTAL 03 Jun 2026</t>
  </si>
  <si>
    <t>📅  Thursday, 04 June 2026</t>
  </si>
  <si>
    <t>Kacang Kulit</t>
  </si>
  <si>
    <t>Balok</t>
  </si>
  <si>
    <t>Susu Kental Manis ff</t>
  </si>
  <si>
    <t>Kaleng</t>
  </si>
  <si>
    <t>Maizena</t>
  </si>
  <si>
    <t>SUBTOTAL 04 Jun 2026</t>
  </si>
  <si>
    <t>📅 Friday, 05 June 2026</t>
  </si>
  <si>
    <t>Susu Plain Putih</t>
  </si>
  <si>
    <t>Leci</t>
  </si>
  <si>
    <t>SUBTOTAL 05 Jun 2026</t>
  </si>
  <si>
    <t>📅 Sunday, 07 June 2026</t>
  </si>
  <si>
    <t>SUBTOTAL 07 Jun 2026</t>
  </si>
  <si>
    <t>📅  Monday, 08 June 2026</t>
  </si>
  <si>
    <t>Cabe Merah</t>
  </si>
  <si>
    <t xml:space="preserve"> Saos Pedas</t>
  </si>
  <si>
    <t>Drigen</t>
  </si>
  <si>
    <t>Kecap</t>
  </si>
  <si>
    <t>Serai</t>
  </si>
  <si>
    <t>Salam</t>
  </si>
  <si>
    <t>Gula Merah</t>
  </si>
  <si>
    <t>Minyak Goreng</t>
  </si>
  <si>
    <t>SUBTOTAL 08 Jun 2026</t>
  </si>
  <si>
    <t>📅  Tuesday, 09 June 2026</t>
  </si>
  <si>
    <t>Daging Sapi</t>
  </si>
  <si>
    <t>Cabe Merah Besar</t>
  </si>
  <si>
    <t>Cabe Hijau Besar</t>
  </si>
  <si>
    <t>Paprika Hijau Besar</t>
  </si>
  <si>
    <t>Saos Sambal</t>
  </si>
  <si>
    <t>Lt</t>
  </si>
  <si>
    <t>Sawi Putih</t>
  </si>
  <si>
    <t>Kentang FF</t>
  </si>
  <si>
    <t>Nanas Madu</t>
  </si>
  <si>
    <t>Daging Sapi Tambahan</t>
  </si>
  <si>
    <t>SUBTOTAL 09 Jun 2026</t>
  </si>
  <si>
    <t>📅  Wednesday, 10 June 2026</t>
  </si>
  <si>
    <t>Cabai Merah Besar</t>
  </si>
  <si>
    <t>Cabai Hijau Besar</t>
  </si>
  <si>
    <t>SUBTOTAL 10 Jun 2026</t>
  </si>
  <si>
    <t>📅  Thursday, 11 June 2026</t>
  </si>
  <si>
    <t>Patty Ayam</t>
  </si>
  <si>
    <t>SUBTOTAL 11 Jun 2026</t>
  </si>
  <si>
    <t>📅 Friday, 12 June 2026</t>
  </si>
  <si>
    <t>Agar-agar Swallaw</t>
  </si>
  <si>
    <t>SUBTOTAL 12 Jun 2026</t>
  </si>
  <si>
    <t>📅  Sunday, 14 June 2026</t>
  </si>
  <si>
    <t>Ayam Potong isi 10</t>
  </si>
  <si>
    <t>Tahu Kuning (Kulir yg ada isinya)</t>
  </si>
  <si>
    <t>SUBTOTAL 14 Jun 2026</t>
  </si>
  <si>
    <t>📅  Tuesday, 16 June 2026</t>
  </si>
  <si>
    <t>Ikan Bandeng Presto</t>
  </si>
  <si>
    <t>Cabai Hijau</t>
  </si>
  <si>
    <t>Pakcoy</t>
  </si>
  <si>
    <t>Lada Putih Bubuk</t>
  </si>
  <si>
    <t>Ltr</t>
  </si>
  <si>
    <t>SUBTOTAL 16 Jun 2026</t>
  </si>
  <si>
    <t>📅  Wednesday, 17 June 2026</t>
  </si>
  <si>
    <t>Daun Kucai</t>
  </si>
  <si>
    <t>Kecap Sachet ABC</t>
  </si>
  <si>
    <t>Cabai Merah Keriting</t>
  </si>
  <si>
    <t>Ebi Udang</t>
  </si>
  <si>
    <t>SUBTOTAL 17 Jun 2026</t>
  </si>
  <si>
    <t>📅  Thursday, 18 June 2026</t>
  </si>
  <si>
    <t>Kentang Glondongan</t>
  </si>
  <si>
    <t>kg</t>
  </si>
  <si>
    <t>Dimsum</t>
  </si>
  <si>
    <t>Tepung Jagung</t>
  </si>
  <si>
    <t>Saos Tomat Sachet</t>
  </si>
  <si>
    <t>Liiter</t>
  </si>
  <si>
    <t>SUBTOTAL 18 Jun 2026</t>
  </si>
  <si>
    <t>📅 Friday, 19 June 2026</t>
  </si>
  <si>
    <t>Susu</t>
  </si>
  <si>
    <t>SUBTOTAL 19 Jun 2026</t>
  </si>
  <si>
    <t>🏆 GRAND TOTAL — Bakung 01</t>
  </si>
  <si>
    <t>Periode: Mei-Juni 2026  |  🟢 Hijau = linked Daftar Harga  |  🔵 Biru = input manual (isi setelah nota datang)</t>
  </si>
  <si>
    <t>Sarung Tangan Finnil</t>
  </si>
  <si>
    <t>Plastik Es Wayang</t>
  </si>
  <si>
    <t>Gas 50Kg</t>
  </si>
  <si>
    <t>Payung</t>
  </si>
  <si>
    <t>Kaporit Bubuk</t>
  </si>
  <si>
    <t>Ember</t>
  </si>
  <si>
    <t>Baygon</t>
  </si>
  <si>
    <t>Sabun Cuci Piring</t>
  </si>
  <si>
    <t>Gelas Plastik</t>
  </si>
  <si>
    <t>Lusin</t>
  </si>
  <si>
    <t xml:space="preserve">Plastik Es wayang </t>
  </si>
  <si>
    <t>Gas 50kg</t>
  </si>
  <si>
    <t>Sushi Roll</t>
  </si>
  <si>
    <t>MieSedap Goreng</t>
  </si>
  <si>
    <t>Dud</t>
  </si>
  <si>
    <t>Kopi Hitam Kapal api + gula</t>
  </si>
  <si>
    <t>Gooday Merah</t>
  </si>
  <si>
    <t>Gooday Freeze</t>
  </si>
  <si>
    <t>Galon Aqua</t>
  </si>
  <si>
    <t>Galon</t>
  </si>
  <si>
    <t>Thin Wall 200ml Bulat</t>
  </si>
  <si>
    <t>Plester</t>
  </si>
  <si>
    <t>Karbol Untuk Toilet</t>
  </si>
  <si>
    <t>Gayung</t>
  </si>
  <si>
    <t>Thinwall Saos</t>
  </si>
  <si>
    <t>SUBTOTAL 3 JUN</t>
  </si>
  <si>
    <t>Sewa Traga</t>
  </si>
  <si>
    <t>unit</t>
  </si>
  <si>
    <t>Map Plastik</t>
  </si>
  <si>
    <t>SUBTOTAL 5 JUN</t>
  </si>
  <si>
    <t>Tisu</t>
  </si>
  <si>
    <t>Thinwall 500 ml</t>
  </si>
  <si>
    <t>Gelas Ujur 2000 Ml</t>
  </si>
  <si>
    <t>Gelas Ukur 1000 Ml</t>
  </si>
  <si>
    <t>Kaporit</t>
  </si>
  <si>
    <t>Tali Rapia Hitam</t>
  </si>
  <si>
    <t>Roll Besar</t>
  </si>
  <si>
    <t>Tali Rapia Pink</t>
  </si>
  <si>
    <t>Roll Sedang</t>
  </si>
  <si>
    <t>Karet</t>
  </si>
  <si>
    <t>Bungkus</t>
  </si>
  <si>
    <t>Goodie Bag</t>
  </si>
  <si>
    <t>Soda Api</t>
  </si>
  <si>
    <t>Karung</t>
  </si>
  <si>
    <t>SUBTOTAL 11 JUN</t>
  </si>
  <si>
    <t>Masker Hijab</t>
  </si>
  <si>
    <t>Kopi Hitam Kapal Api + Gula</t>
  </si>
  <si>
    <t>Kopi Gooday Merah</t>
  </si>
  <si>
    <t>Kopi Gooday Freeze</t>
  </si>
  <si>
    <t>Sabun Pel</t>
  </si>
  <si>
    <t>Milo</t>
  </si>
  <si>
    <t>Bungks</t>
  </si>
  <si>
    <t>Thin Wall Saos</t>
  </si>
  <si>
    <t>SUBTOTAL 16 JUN</t>
  </si>
  <si>
    <t>📅 Thursday, 18 June 2026</t>
  </si>
  <si>
    <t>Sewa Daihatsu Grand Max</t>
  </si>
  <si>
    <t>SUBTOTAL 18 JUN</t>
  </si>
  <si>
    <t>Plastik Clip</t>
  </si>
  <si>
    <t>🧾 DRAFT INVOICE — BAKUNG 02</t>
  </si>
  <si>
    <t>Bubuk Cabe</t>
  </si>
  <si>
    <t>Bubuk Pprika</t>
  </si>
  <si>
    <t>Saua Sambal Sachet Indofood</t>
  </si>
  <si>
    <t>Saus Tomat Sachet Delmonte</t>
  </si>
  <si>
    <t>Susu Plan</t>
  </si>
  <si>
    <t>Karton</t>
  </si>
  <si>
    <t>Apel Porsi Kecil</t>
  </si>
  <si>
    <t>Pear Porsi Besar</t>
  </si>
  <si>
    <t>Garam Masala</t>
  </si>
  <si>
    <t>Ketumbar Bubuk</t>
  </si>
  <si>
    <t>Apel (Porsi Kecil)</t>
  </si>
  <si>
    <t>Bawang Goreng</t>
  </si>
  <si>
    <t>Belimbing</t>
  </si>
  <si>
    <t>Pear (Porsi Besar)</t>
  </si>
  <si>
    <t>Saus Tomat</t>
  </si>
  <si>
    <t>Tahu Bacem</t>
  </si>
  <si>
    <t>Teri Nasi</t>
  </si>
  <si>
    <t>Royco</t>
  </si>
  <si>
    <t>box</t>
  </si>
  <si>
    <t>Bawang Putih Bubuk</t>
  </si>
  <si>
    <t>Daun Pandan</t>
  </si>
  <si>
    <t>Jamur Kuping</t>
  </si>
  <si>
    <t>Saus Sambal Sachet indofood</t>
  </si>
  <si>
    <t>Seledri</t>
  </si>
  <si>
    <t>Tepung Maizena</t>
  </si>
  <si>
    <t>Salam Sereh</t>
  </si>
  <si>
    <t>Creamer</t>
  </si>
  <si>
    <t>Kacang Hijau</t>
  </si>
  <si>
    <t>Susu Full Cream</t>
  </si>
  <si>
    <t>Susu Kental Manis</t>
  </si>
  <si>
    <t>Pouch</t>
  </si>
  <si>
    <t>📅  Friday, 05 June 2026</t>
  </si>
  <si>
    <t>Susu Plan Putih</t>
  </si>
  <si>
    <t>Pear</t>
  </si>
  <si>
    <t>SUBTOTAL 05 JUN 2026</t>
  </si>
  <si>
    <t>Cabe Rawit Merah</t>
  </si>
  <si>
    <t>Cabe Merah Keriting</t>
  </si>
  <si>
    <t>Susu Plain Putih (Porsi Kecil)</t>
  </si>
  <si>
    <t>Bubur Mutiara Merah</t>
  </si>
  <si>
    <t>Terigu</t>
  </si>
  <si>
    <t>Kental Manis</t>
  </si>
  <si>
    <t>Margarine</t>
  </si>
  <si>
    <t>Kentang Frozen</t>
  </si>
  <si>
    <t>Bun Burger</t>
  </si>
  <si>
    <t>Dada Ayam Fillet</t>
  </si>
  <si>
    <t>Tepung Panir</t>
  </si>
  <si>
    <t>Mix Vege</t>
  </si>
  <si>
    <t>📅  Friday, 12 June 2026</t>
  </si>
  <si>
    <t>Ayam Potong 10</t>
  </si>
  <si>
    <t>Kembang Kol</t>
  </si>
  <si>
    <t>Cabai Merah</t>
  </si>
  <si>
    <t>Jamur Enoki</t>
  </si>
  <si>
    <t>Saus Tiram</t>
  </si>
  <si>
    <t>Saus Lea Perrins</t>
  </si>
  <si>
    <t>Bakso (UMKM)</t>
  </si>
  <si>
    <t>Bawang Merah Goreng</t>
  </si>
  <si>
    <t>Pala</t>
  </si>
  <si>
    <t>Tulang Iga</t>
  </si>
  <si>
    <t>Tahu Cina Besar</t>
  </si>
  <si>
    <t>Soun</t>
  </si>
  <si>
    <t>Ball</t>
  </si>
  <si>
    <t>Bihun Jagung</t>
  </si>
  <si>
    <t>📅  Wednesday, 18 June 2026</t>
  </si>
  <si>
    <t>Sambal Saos Indofood sachet 8 gram</t>
  </si>
  <si>
    <t>Dark Soy Sauce/Mushroom Soy Sauce</t>
  </si>
  <si>
    <t>Tepung Beras</t>
  </si>
  <si>
    <t>Kunyit Bubuk</t>
  </si>
  <si>
    <t>Ons</t>
  </si>
  <si>
    <t>Kol Ungu</t>
  </si>
  <si>
    <t>Kol Putih</t>
  </si>
  <si>
    <t>📅  Friday, 19 June 2026</t>
  </si>
  <si>
    <t>🏆 GRAND TOTAL — Bakung 02</t>
  </si>
  <si>
    <t>Periode: 24–29 Mei 2026  |  🟢 Hijau = linked Daftar Harga  |  🔵 Biru = input manual (isi setelah nota datang)</t>
  </si>
  <si>
    <t>Trashbag</t>
  </si>
  <si>
    <t>Wipol</t>
  </si>
  <si>
    <t>Soklin Lantai</t>
  </si>
  <si>
    <t>Air Mineral Galon</t>
  </si>
  <si>
    <t>Dingklik/Jengkok</t>
  </si>
  <si>
    <t>Plastik Es 12x25</t>
  </si>
  <si>
    <t>Tisu Dapur</t>
  </si>
  <si>
    <t>Tisu Wajah</t>
  </si>
  <si>
    <t>Teflon Maxim 28CM</t>
  </si>
  <si>
    <t>📅  Friday, 29 May 2026</t>
  </si>
  <si>
    <t>So Klin Lantai Sereh</t>
  </si>
  <si>
    <t>Cup Sambal 25 ml</t>
  </si>
  <si>
    <t>Plastik Es Ukuran 12x25 100's</t>
  </si>
  <si>
    <t>Spons Cuci Piring Scotch Brite</t>
  </si>
  <si>
    <t>01 June SUBTOTAL</t>
  </si>
  <si>
    <t>Sabun Cuci Ompreng Mama Lemon/Ekonomi</t>
  </si>
  <si>
    <t>Sabun Khusus Cuci Mobil</t>
  </si>
  <si>
    <t>Hit Pink Blossom</t>
  </si>
  <si>
    <t>Lap/Serbet Dapur</t>
  </si>
  <si>
    <t>Map Tulang</t>
  </si>
  <si>
    <t>Plastik Packing MBG uk 25x30cm (isi 100)</t>
  </si>
  <si>
    <t>02 June SUBTOTAL</t>
  </si>
  <si>
    <t>Gas 12Kg</t>
  </si>
  <si>
    <t>Thinwall UK 200 ml</t>
  </si>
  <si>
    <t>Obat IPAL BIO-L</t>
  </si>
  <si>
    <t>03 June SUBTOTAL</t>
  </si>
  <si>
    <t>04 June SUBTOTAL</t>
  </si>
  <si>
    <t>05 June SUBTOTAL</t>
  </si>
  <si>
    <t>📅 Tuesday, 09 June 2026</t>
  </si>
  <si>
    <t>Plastik Es Ukuran 12x25 cm isi 100</t>
  </si>
  <si>
    <t>Thinwall 200 Ml</t>
  </si>
  <si>
    <t>Goodday</t>
  </si>
  <si>
    <t>09 June SUBTOTAL</t>
  </si>
  <si>
    <t>Soklin Lantai Sereh</t>
  </si>
  <si>
    <t>Kertas</t>
  </si>
  <si>
    <t>Rim</t>
  </si>
  <si>
    <t>Tisu Toilet</t>
  </si>
  <si>
    <t>Roll</t>
  </si>
  <si>
    <t>Tolak Angin Cair</t>
  </si>
  <si>
    <t>Hansaplas</t>
  </si>
  <si>
    <t>Minyak Kayu Putih Besar</t>
  </si>
  <si>
    <t>Koyo Cabe</t>
  </si>
  <si>
    <t>Salonpas</t>
  </si>
  <si>
    <t>Spons Cuci</t>
  </si>
  <si>
    <t>Energen</t>
  </si>
  <si>
    <t>Gas 50KG</t>
  </si>
  <si>
    <t>SUBTOTAL 10 JUNI</t>
  </si>
  <si>
    <t>📅 Thursday, 11 June 2026</t>
  </si>
  <si>
    <t>Plastik Packing Uk 30 Cm</t>
  </si>
  <si>
    <t>Kabel Roll</t>
  </si>
  <si>
    <t>Karbol</t>
  </si>
  <si>
    <t>Paracetamol</t>
  </si>
  <si>
    <t>Strip</t>
  </si>
  <si>
    <t>Betadine</t>
  </si>
  <si>
    <t>11 June SUBTOTAL</t>
  </si>
  <si>
    <t>📅 Sunday, 14 June 2026</t>
  </si>
  <si>
    <t>Cup Sambal 35 ML</t>
  </si>
  <si>
    <t>Plastik Es uk 12x25</t>
  </si>
  <si>
    <t>Thinwall Bulat 200ml</t>
  </si>
  <si>
    <t>Plastik Packing MBG uk 15x25</t>
  </si>
  <si>
    <t xml:space="preserve"> 14 June SUBTOTAL</t>
  </si>
  <si>
    <t>Cling</t>
  </si>
  <si>
    <t>Pelindung Kepala</t>
  </si>
  <si>
    <t>🧾 DRAFT INVOICE — WERKUDARA</t>
  </si>
  <si>
    <t>Jeruk Super</t>
  </si>
  <si>
    <t>Gula Pasir (Tambahan)</t>
  </si>
  <si>
    <t>Mayonaise Mc Lewis Biru</t>
  </si>
  <si>
    <t>Bawang Merah</t>
  </si>
  <si>
    <t>Bawang Putih</t>
  </si>
  <si>
    <t>Kaldu Jamur</t>
  </si>
  <si>
    <t>SUBTOTAL 29 May 2026</t>
  </si>
  <si>
    <t>pouch</t>
  </si>
  <si>
    <t xml:space="preserve">Minyak </t>
  </si>
  <si>
    <t>pisang</t>
  </si>
  <si>
    <t>Jeruk Nipis</t>
  </si>
  <si>
    <t>Kemangi</t>
  </si>
  <si>
    <t>📅 Monday, 08 June 2026</t>
  </si>
  <si>
    <t>Labuh Siam</t>
  </si>
  <si>
    <t>Wortel Tambahan</t>
  </si>
  <si>
    <t>Kecap Tambahan</t>
  </si>
  <si>
    <t>Ayam Giling</t>
  </si>
  <si>
    <t>Kecap Inggris Sedap Wangi</t>
  </si>
  <si>
    <t>Keju Oles Prochiz (Tambahan)</t>
  </si>
  <si>
    <t>Semangka (Tambahan)</t>
  </si>
  <si>
    <t>📅 Wednesday, 10 June 2026</t>
  </si>
  <si>
    <t>Ayam</t>
  </si>
  <si>
    <t>Knorr Beef Powder</t>
  </si>
  <si>
    <t>Kecap 950gr (Tambahan)</t>
  </si>
  <si>
    <t>Kecap 70gr (Tambahan)</t>
  </si>
  <si>
    <t>Ayam Fillet Tanpa Kulit</t>
  </si>
  <si>
    <t>Telur Asin</t>
  </si>
  <si>
    <t>Knorr Ayam</t>
  </si>
  <si>
    <t>Kelapa Parut</t>
  </si>
  <si>
    <t>Ayam Potong Tanpa Kulit</t>
  </si>
  <si>
    <t>Royco Sapi</t>
  </si>
  <si>
    <t>Kecap Manis 1,5</t>
  </si>
  <si>
    <t>📅 Tuesday, 16 June 2026</t>
  </si>
  <si>
    <t>Knorr Chicken powder</t>
  </si>
  <si>
    <t>📅 Wednesday, 17 June 2026</t>
  </si>
  <si>
    <t>Jagung Putren</t>
  </si>
  <si>
    <t>lt</t>
  </si>
  <si>
    <t>Minyak Goreng (Tambahan)</t>
  </si>
  <si>
    <t>Jeruk (Tambahan)</t>
  </si>
  <si>
    <t>📅 Wednesday, 18 June 2026</t>
  </si>
  <si>
    <t>Roti Tawar Monas Casino</t>
  </si>
  <si>
    <t>Susu UHT FF Plain</t>
  </si>
  <si>
    <t>Bawang Merah (Tidak Kupas)</t>
  </si>
  <si>
    <t>Bawang Putih (Tidak Kupas)</t>
  </si>
  <si>
    <t xml:space="preserve"> Timun (Tambahan)</t>
  </si>
  <si>
    <t>Knorr Chicken Powder</t>
  </si>
  <si>
    <t>Mayonase Mc Lewis Biru</t>
  </si>
  <si>
    <t>🏆 GRAND TOTAL — Werkudara</t>
  </si>
  <si>
    <t>Cup Sambel 35ml</t>
  </si>
  <si>
    <t>Sarung Tangan Karet Warna Biru</t>
  </si>
  <si>
    <t>Sarung Tangan Karet Warna Hitam</t>
  </si>
  <si>
    <t>Sarung Tangan Pastik</t>
  </si>
  <si>
    <t>Kanebo</t>
  </si>
  <si>
    <t>Lap Microfiber isi 10</t>
  </si>
  <si>
    <t>Thinwall 500ml</t>
  </si>
  <si>
    <t>📅  Tuesday, 26 May 2026</t>
  </si>
  <si>
    <t>Seser Diameter 30cm panjang pegangan 40cm</t>
  </si>
  <si>
    <t>Seser Diameter 15cm panjang pegangan 40cm</t>
  </si>
  <si>
    <t>Plastik Es Ukuran 12x25</t>
  </si>
  <si>
    <t>Cup Kotak Alumininum Foil Ox 100</t>
  </si>
  <si>
    <t>So Klin Lantin</t>
  </si>
  <si>
    <t>Karbol Bulat</t>
  </si>
  <si>
    <t>Karbol Cair Peace</t>
  </si>
  <si>
    <t>Trashbag 60x100</t>
  </si>
  <si>
    <t>Trashbag 100x120</t>
  </si>
  <si>
    <t>Sarung Tangan Karet Biru Ukuran M</t>
  </si>
  <si>
    <t>Sarung Tangan Plastik</t>
  </si>
  <si>
    <t>SUBTOTAL 02 JUN 2026</t>
  </si>
  <si>
    <t>Tawas</t>
  </si>
  <si>
    <t>SUBTOTAL 3 JUN 2026</t>
  </si>
  <si>
    <t>SUBTOTAL 04 JUN 2026</t>
  </si>
  <si>
    <t>Pelastik Es Ukuran 12x25</t>
  </si>
  <si>
    <t>Pelastik Segitiga/Papping bag uk 20x33 cm</t>
  </si>
  <si>
    <t>SUBTOTAL 09 JUN 2026</t>
  </si>
  <si>
    <t>Gas Portable</t>
  </si>
  <si>
    <t>Enervon C</t>
  </si>
  <si>
    <t>SUBTOTAL 10 JUN 2026</t>
  </si>
  <si>
    <t>Spons Cuci Piring Polytex</t>
  </si>
  <si>
    <t>Spons Cuci Piring Susemi</t>
  </si>
  <si>
    <t>Sarung Tangan Karet Biru (s)</t>
  </si>
  <si>
    <t>SUBTOTAL 11 JUN 2026</t>
  </si>
  <si>
    <t>📅 Thuesday, 16 June 2026</t>
  </si>
  <si>
    <t>Thinwall 500 Ml</t>
  </si>
  <si>
    <t>Plastik Klip Kecil Ukuran 4x6</t>
  </si>
  <si>
    <t>Cup Kotak Aluminium OX 100</t>
  </si>
  <si>
    <t>SUBTOTAL 16 JUN 2026</t>
  </si>
  <si>
    <t>SUBTOTAL 17 JUN 2026</t>
  </si>
  <si>
    <t>Sarung Tangan Karet Biru Uk m</t>
  </si>
  <si>
    <t>🧾 DRAFT INVOICE — BINAWAN</t>
  </si>
  <si>
    <t>Ayam Tambahan</t>
  </si>
  <si>
    <t>Gula</t>
  </si>
  <si>
    <t>Bawang Merah (Tambahan)</t>
  </si>
  <si>
    <t>Gula Pasir (Taambahan)</t>
  </si>
  <si>
    <t>SUBTOTAL 26 May 2026</t>
  </si>
  <si>
    <t>Brokoli</t>
  </si>
  <si>
    <t>Lada Hitam Bubuk</t>
  </si>
  <si>
    <t>Biji Wijen</t>
  </si>
  <si>
    <t>Saus Teriyaki</t>
  </si>
  <si>
    <t>📅  Sunday, 07 June 2026</t>
  </si>
  <si>
    <t>Mayones</t>
  </si>
  <si>
    <t>Madu</t>
  </si>
  <si>
    <t>Lemon</t>
  </si>
  <si>
    <t>Daun Peterseli(Persley)</t>
  </si>
  <si>
    <t>Tempe Goreng</t>
  </si>
  <si>
    <t>Ikan Patin</t>
  </si>
  <si>
    <t>Cabe Ijo Besar</t>
  </si>
  <si>
    <t>Saus Sambal</t>
  </si>
  <si>
    <t>Minyak Tambahan</t>
  </si>
  <si>
    <t>📅  Wesnesday, 10 June 2026</t>
  </si>
  <si>
    <t>Beef Slice</t>
  </si>
  <si>
    <t>Saos Teriyaki</t>
  </si>
  <si>
    <t>Telur</t>
  </si>
  <si>
    <t>Kacang Panjang</t>
  </si>
  <si>
    <t>Kecap 700</t>
  </si>
  <si>
    <t>Daun Pisang</t>
  </si>
  <si>
    <t>Iket</t>
  </si>
  <si>
    <t>Tepung beras</t>
  </si>
  <si>
    <t>Santan Kara</t>
  </si>
  <si>
    <t>Bubur Mutiara</t>
  </si>
  <si>
    <t>Telur Rebus</t>
  </si>
  <si>
    <t>Kecap 700gr</t>
  </si>
  <si>
    <t>📅  Sunday, 16 June 2026</t>
  </si>
  <si>
    <t>Kecap Inggris 620ml</t>
  </si>
  <si>
    <t>Minyak Wijen 600ml</t>
  </si>
  <si>
    <t>Cuka 150ml</t>
  </si>
  <si>
    <t>📅  Tuesday, 17 June 2026</t>
  </si>
  <si>
    <t>Kecap 1,5</t>
  </si>
  <si>
    <t>Kacang Tanah Giling</t>
  </si>
  <si>
    <t>Cabe Ijo</t>
  </si>
  <si>
    <t>Tomat Ijo</t>
  </si>
  <si>
    <t>Tomat merah</t>
  </si>
  <si>
    <t>🏆 GRAND TOTAL — Binawan</t>
  </si>
  <si>
    <t>Sabun Ompreng</t>
  </si>
  <si>
    <t>Tissue Dapur</t>
  </si>
  <si>
    <t>Tissue Wajah</t>
  </si>
  <si>
    <t>Sarung Tangan Nitril</t>
  </si>
  <si>
    <t>Pengupas Wortel</t>
  </si>
  <si>
    <t>Plastik 12x25</t>
  </si>
  <si>
    <t>Plastik 10x25</t>
  </si>
  <si>
    <t>Plastik 40x60</t>
  </si>
  <si>
    <t>Stik Ice Cream</t>
  </si>
  <si>
    <t>📅  28 Mei 2026</t>
  </si>
  <si>
    <t>Pck</t>
  </si>
  <si>
    <t>Sarung Tangan Kain</t>
  </si>
  <si>
    <t>SUBTOTAL 28 Mei</t>
  </si>
  <si>
    <t>📅  Sunday, 30 May 2026</t>
  </si>
  <si>
    <t>Alumunium Foil</t>
  </si>
  <si>
    <t>Baking Paper</t>
  </si>
  <si>
    <t>Sarung Tangan Nitril UK.M</t>
  </si>
  <si>
    <t>SUBTOTAL 01 Juni</t>
  </si>
  <si>
    <t>Pematik Api</t>
  </si>
  <si>
    <t>Centong Sayur</t>
  </si>
  <si>
    <t>Centong Sayur Bolong</t>
  </si>
  <si>
    <t>📅 Wednesday, 03 June 2026</t>
  </si>
  <si>
    <t>SUBTOTAL 03 JUN 2026</t>
  </si>
  <si>
    <t>📅 Thrusday, 04 June 2026</t>
  </si>
  <si>
    <t>Handglove Plastik</t>
  </si>
  <si>
    <t>Plastik Uk 12x25</t>
  </si>
  <si>
    <t>Handglove nitril uk M</t>
  </si>
  <si>
    <t>SUBTOTAL 07 June 2026</t>
  </si>
  <si>
    <t>📅 Monday. 08 June 2026</t>
  </si>
  <si>
    <t>SUBTOTAL 08 June 2026</t>
  </si>
  <si>
    <t>Tali Rapia</t>
  </si>
  <si>
    <t>Rill</t>
  </si>
  <si>
    <t>SUBTOTAL 09 June 2026</t>
  </si>
  <si>
    <t>SUBTOTAL 10 June 2026</t>
  </si>
  <si>
    <t>📅 Tuesday. 11 June 2026</t>
  </si>
  <si>
    <t>Cup Sambel</t>
  </si>
  <si>
    <t>Plastik 15x35</t>
  </si>
  <si>
    <t>Sealer Plastik</t>
  </si>
  <si>
    <t>SUBTOTAL 11 June 2026</t>
  </si>
  <si>
    <t>SUBTOTAL 12 June 2026</t>
  </si>
  <si>
    <t>Sabun Cuci Tangan</t>
  </si>
  <si>
    <t>SUBTOTAL 14 June 2026</t>
  </si>
  <si>
    <t>📅 Tuesday. 16 June 2026</t>
  </si>
  <si>
    <t>Foam Tray</t>
  </si>
  <si>
    <t>Galon aqua</t>
  </si>
  <si>
    <t>Plastik 11x25</t>
  </si>
  <si>
    <t>SUBTOTAL 16 June 2026</t>
  </si>
  <si>
    <t>📅 Wednesday 17 June 2026</t>
  </si>
  <si>
    <t>SUBTOTAL 17 June 2026</t>
  </si>
  <si>
    <t>Aqua Galon</t>
  </si>
  <si>
    <t>Aluminium Foil Ox 250</t>
  </si>
  <si>
    <t>🧾 DRAFT INVOICE — TEGALSARI</t>
  </si>
  <si>
    <t>Beras Cap Bangkit Jaya</t>
  </si>
  <si>
    <t>Jeruk Sunkist</t>
  </si>
  <si>
    <t>Daun Jeruk</t>
  </si>
  <si>
    <t>Caisim</t>
  </si>
  <si>
    <t>Ikan Bandeng</t>
  </si>
  <si>
    <t>Cabe Bubuk</t>
  </si>
  <si>
    <t>Cabai Rawit</t>
  </si>
  <si>
    <t>Telur Ayam (Tambahan)</t>
  </si>
  <si>
    <t>Susu UHT Plan</t>
  </si>
  <si>
    <t>Klengkeng</t>
  </si>
  <si>
    <t>Beras cap bangkit jaya</t>
  </si>
  <si>
    <t>Paprika Bubuk</t>
  </si>
  <si>
    <t>Tempe (UMKM)</t>
  </si>
  <si>
    <t>Jeruk Sunkis</t>
  </si>
  <si>
    <t>Telor Tambahan</t>
  </si>
  <si>
    <t>Ayam Potong (UMKM)</t>
  </si>
  <si>
    <t>Tahu Sumedang (UMKM)</t>
  </si>
  <si>
    <t>Cabe Merah Besar (Tambahan)</t>
  </si>
  <si>
    <t>Ikan Lele</t>
  </si>
  <si>
    <t>Tempe UMKM</t>
  </si>
  <si>
    <t>Tomat Merah</t>
  </si>
  <si>
    <t>Telur (Tambahan)</t>
  </si>
  <si>
    <t>Garam (Tambahan)</t>
  </si>
  <si>
    <t>Tempe (Tambahan)</t>
  </si>
  <si>
    <t>Tepung Segitiga</t>
  </si>
  <si>
    <t>Saos Cabe</t>
  </si>
  <si>
    <t>Saos Tiram</t>
  </si>
  <si>
    <t>Ayam Fillet (UMKM)</t>
  </si>
  <si>
    <t>Tahu Kuning (UMKM)</t>
  </si>
  <si>
    <t>Putren</t>
  </si>
  <si>
    <t>Kentang (Tambahan)</t>
  </si>
  <si>
    <t>Tahu Putih (UMKM)</t>
  </si>
  <si>
    <t>Cabe Rwit Merah</t>
  </si>
  <si>
    <t>Kentang (Alergi Nasi)</t>
  </si>
  <si>
    <t>Ayam (Tambahan)</t>
  </si>
  <si>
    <t>Gr</t>
  </si>
  <si>
    <t>Gula (Tambahan)</t>
  </si>
  <si>
    <t>Kecap Bango (Tambahan)</t>
  </si>
  <si>
    <t>Saos Cili</t>
  </si>
  <si>
    <t>Mayonise</t>
  </si>
  <si>
    <t>Aida Bubuk</t>
  </si>
  <si>
    <t>Dimsum (UMKM)</t>
  </si>
  <si>
    <t>Tahu Pong (UMKM)</t>
  </si>
  <si>
    <t>Tepung Roti Bubble Crumble</t>
  </si>
  <si>
    <t>Ayam Giling (UMKM)</t>
  </si>
  <si>
    <t>Jagung</t>
  </si>
  <si>
    <t>🏆 GRAND TOTAL — Tegalsari</t>
  </si>
  <si>
    <t>Plastik PP Bukan Plastik es 10x25x02</t>
  </si>
  <si>
    <t>Kabel Termial 10m</t>
  </si>
  <si>
    <t>Termos Es 6 Liter</t>
  </si>
  <si>
    <t>Stik Eskrim</t>
  </si>
  <si>
    <t>Tali Rafia</t>
  </si>
  <si>
    <t>Bal</t>
  </si>
  <si>
    <t>Aqua</t>
  </si>
  <si>
    <t>Lap Microfiber Biru</t>
  </si>
  <si>
    <t>Plastik pp Bukan es 12x25</t>
  </si>
  <si>
    <t>Sarung Tangan Karet Hitam Uk M</t>
  </si>
  <si>
    <t>Boto</t>
  </si>
  <si>
    <t>Sabun Mobil</t>
  </si>
  <si>
    <t>Tissu Paseo</t>
  </si>
  <si>
    <t>Wisker</t>
  </si>
  <si>
    <t>Plastik Sampah uk 90</t>
  </si>
  <si>
    <t>Plstik PP Uk 10x20x02</t>
  </si>
  <si>
    <t>Sarung Tukang Bangunan</t>
  </si>
  <si>
    <t>Pasang</t>
  </si>
  <si>
    <t>SUBTOTAL 01 JUN</t>
  </si>
  <si>
    <t>📅 Tuesday, 02 June 2026</t>
  </si>
  <si>
    <t>Kertas HVS</t>
  </si>
  <si>
    <t>Sarung Tangan Ukuran M</t>
  </si>
  <si>
    <t xml:space="preserve">Tisu Wajah </t>
  </si>
  <si>
    <t>Spatula Silikon</t>
  </si>
  <si>
    <t>Whisker</t>
  </si>
  <si>
    <t>Galon Mei</t>
  </si>
  <si>
    <t>📅 Saturday, 06 June 2026</t>
  </si>
  <si>
    <t>SUBTOTAL 06 JUN 2026</t>
  </si>
  <si>
    <t>SUBTOTAL 08 JUN 2026</t>
  </si>
  <si>
    <t>Pelastik PP 10X20X02 (Tambahan)</t>
  </si>
  <si>
    <t>Plastik Sampah uk 60</t>
  </si>
  <si>
    <t>Pelastik Sampah Uk 90</t>
  </si>
  <si>
    <t>SUBTOTAL 12 JUN 2026</t>
  </si>
  <si>
    <t>Spons Hijau Kasar</t>
  </si>
  <si>
    <t>Tissu Wajah Paseo</t>
  </si>
  <si>
    <t>Spons Kawat</t>
  </si>
  <si>
    <t>Sarung Tangan Uk M</t>
  </si>
  <si>
    <t>Tisu Dapur/Minyak</t>
  </si>
  <si>
    <t>📅 Saturday, 20 June 2026</t>
  </si>
  <si>
    <t>SUBTOTAL 20 JUN 2026</t>
  </si>
  <si>
    <t>🧾 DRAFT INVOICE — KALIKOA</t>
  </si>
  <si>
    <t>Cabe Rawit</t>
  </si>
  <si>
    <t>Minyak Sania 2L</t>
  </si>
  <si>
    <t>Chicken Powder</t>
  </si>
  <si>
    <t>Ati Ayam</t>
  </si>
  <si>
    <t>Pecay (Tambahan)</t>
  </si>
  <si>
    <t>wortel (Tanbahan)</t>
  </si>
  <si>
    <t>Bombay (Tambahan)</t>
  </si>
  <si>
    <t>Kacang Merah</t>
  </si>
  <si>
    <t>Bubble Crumble</t>
  </si>
  <si>
    <t>Ceker Ayam</t>
  </si>
  <si>
    <t>Beras Premium (Tambahan)</t>
  </si>
  <si>
    <t>Minyak Sunco 2L</t>
  </si>
  <si>
    <t>Anggur Merah</t>
  </si>
  <si>
    <t>Mc Lewis Tomat Drigen(Tambahan</t>
  </si>
  <si>
    <t>Tahu (Tambahan)</t>
  </si>
  <si>
    <t>Bayam</t>
  </si>
  <si>
    <t>Kunci</t>
  </si>
  <si>
    <t>ons</t>
  </si>
  <si>
    <t>Pisang Cavendish</t>
  </si>
  <si>
    <t>Sawi</t>
  </si>
  <si>
    <t>Keju Balok</t>
  </si>
  <si>
    <t>Saus Mayonise 1kg</t>
  </si>
  <si>
    <t>Tepung Crumble</t>
  </si>
  <si>
    <t>Tepung Mayzena</t>
  </si>
  <si>
    <t>Nori (Tambahan)</t>
  </si>
  <si>
    <t>Saos tomat (Tambahan)</t>
  </si>
  <si>
    <t>Mayones (Tambahan)</t>
  </si>
  <si>
    <t>📅 Thursday, 04 June 2026</t>
  </si>
  <si>
    <t>Oregano</t>
  </si>
  <si>
    <t>Selada Hidroponik</t>
  </si>
  <si>
    <t>Kentamg</t>
  </si>
  <si>
    <t>Minyak Sunco (2L)</t>
  </si>
  <si>
    <t>Bernadi Roti (Tambahan)</t>
  </si>
  <si>
    <t>Saus Tomat Levis</t>
  </si>
  <si>
    <t>Cuka</t>
  </si>
  <si>
    <t>Ayam Utuh Gelondongan</t>
  </si>
  <si>
    <t>Ayam 1 Ekor</t>
  </si>
  <si>
    <t>Chicen Powder</t>
  </si>
  <si>
    <t>Cabe Hijau</t>
  </si>
  <si>
    <t>Terong Ungu</t>
  </si>
  <si>
    <t>Kulit Lumpia</t>
  </si>
  <si>
    <t>Minyak Tropical 1L(Tambahan)</t>
  </si>
  <si>
    <t>Kecap Ikan</t>
  </si>
  <si>
    <t>Kecap Asin</t>
  </si>
  <si>
    <t>Mayonnaise</t>
  </si>
  <si>
    <t>Oyong</t>
  </si>
  <si>
    <t>Ayam Dada Fillet Tambahan</t>
  </si>
  <si>
    <t>Ayam Ekor</t>
  </si>
  <si>
    <t>Minyak Sunco</t>
  </si>
  <si>
    <t>📅 Sundy, 14 June 2026</t>
  </si>
  <si>
    <t>WJ Edamame (Tambahan)</t>
  </si>
  <si>
    <t>Minyak Masku 2L (Tambahan)</t>
  </si>
  <si>
    <t>Kacang Tanah Kupas</t>
  </si>
  <si>
    <t>Cuka (Kecil)</t>
  </si>
  <si>
    <t>Minyak Fortune 1L</t>
  </si>
  <si>
    <t>Chiken Powder</t>
  </si>
  <si>
    <t>Pepaya</t>
  </si>
  <si>
    <t>📅 Thursday 18 June 2026</t>
  </si>
  <si>
    <t>🏆 GRAND TOTAL — Kalikoa</t>
  </si>
  <si>
    <t>SUBTOTAL 30 May 2026</t>
  </si>
  <si>
    <t>05 JUNI SUBTOTAL</t>
  </si>
  <si>
    <t>tabung</t>
  </si>
  <si>
    <t>SUBTOTAL 11 JUNI</t>
  </si>
  <si>
    <t>SUBTOTAL 16 JUNI</t>
  </si>
  <si>
    <t>📊 RINGKASAN MARGIN — SEMUA DAPUR AKTIF (24 Mei - 20 Juni 2026)</t>
  </si>
  <si>
    <t>Dapur</t>
  </si>
  <si>
    <t>Total Beli Est. (Rp)</t>
  </si>
  <si>
    <t>Total Jual Est. (Rp)</t>
  </si>
  <si>
    <t>BELI</t>
  </si>
  <si>
    <t>JUAL</t>
  </si>
  <si>
    <t>MAR</t>
  </si>
  <si>
    <t>BB Bakung 01</t>
  </si>
  <si>
    <t>BK 1</t>
  </si>
  <si>
    <t>OPS Bakung 01</t>
  </si>
  <si>
    <t>BK 2</t>
  </si>
  <si>
    <t>BB Bakung 02</t>
  </si>
  <si>
    <t>WER</t>
  </si>
  <si>
    <t>OPS Bakung 02</t>
  </si>
  <si>
    <t>BIN</t>
  </si>
  <si>
    <t>BB Werkudara</t>
  </si>
  <si>
    <t>TEG</t>
  </si>
  <si>
    <t>OPS Werkudara</t>
  </si>
  <si>
    <t>KAL</t>
  </si>
  <si>
    <t>BB Binawan</t>
  </si>
  <si>
    <t>OPS Binawan</t>
  </si>
  <si>
    <t>BB Tegalsari</t>
  </si>
  <si>
    <t>OPS Tegalsari</t>
  </si>
  <si>
    <t>BB Kalikoa</t>
  </si>
  <si>
    <t>OPS Kalikoa</t>
  </si>
  <si>
    <t>TOTAL SEMUA DAPUR</t>
  </si>
  <si>
    <t>Tanggal</t>
  </si>
  <si>
    <t>DEBIT</t>
  </si>
  <si>
    <t>CREDIT</t>
  </si>
  <si>
    <t>Cash in BANK</t>
  </si>
  <si>
    <t>BENSIN</t>
  </si>
  <si>
    <t>SISA UANG</t>
  </si>
  <si>
    <t>Tunai</t>
  </si>
  <si>
    <t>Token Listrik</t>
  </si>
  <si>
    <t>KULI</t>
  </si>
  <si>
    <t>MASIMAN</t>
  </si>
  <si>
    <t>MASBAR MASRAES</t>
  </si>
  <si>
    <t>SAPU LIDI</t>
  </si>
  <si>
    <t>GARAB</t>
  </si>
  <si>
    <t>GRAB</t>
  </si>
  <si>
    <t>ADMIN BANK</t>
  </si>
  <si>
    <t>GRAB (PERUM-BINAWAN)</t>
  </si>
  <si>
    <t>GRAB (SILIWANGI-BINAWAN)</t>
  </si>
  <si>
    <t>GOSEND</t>
  </si>
  <si>
    <t>ONGKOS (JAGASATRU-SLW)</t>
  </si>
  <si>
    <t>TARJA</t>
  </si>
  <si>
    <t>GOSEN (SILIWANGI -KK)</t>
  </si>
  <si>
    <t>GAS 12KG</t>
  </si>
  <si>
    <t>TOKEN</t>
  </si>
  <si>
    <t>ISI ANGIN MOBIL</t>
  </si>
  <si>
    <t>NANAS MUDA</t>
  </si>
  <si>
    <t>SAMPAH</t>
  </si>
  <si>
    <t>BENSIN BARA</t>
  </si>
  <si>
    <t>BENSIN RAES</t>
  </si>
  <si>
    <t>GRAB MOTOR BINAWAN SILIWANGI</t>
  </si>
  <si>
    <t>KULI 2X</t>
  </si>
  <si>
    <t>GANTI LAMPU</t>
  </si>
  <si>
    <t>GRAB JGS-SLW</t>
  </si>
  <si>
    <t>GRAB MOBIL SLW-KALIKOA</t>
  </si>
  <si>
    <t>WIFI</t>
  </si>
  <si>
    <t>GRAB SLW-TGS</t>
  </si>
  <si>
    <t xml:space="preserve">PARKIR </t>
  </si>
  <si>
    <t>GRAB JGS, SLW, KALIKOA</t>
  </si>
  <si>
    <t>BENSIN MOBIL</t>
  </si>
  <si>
    <t>GRAB SILIWANGI BAKUNG 2</t>
  </si>
  <si>
    <t>KULI 3</t>
  </si>
  <si>
    <t>GRAB MOTOR</t>
  </si>
  <si>
    <t>ADMIN TOKEN</t>
  </si>
  <si>
    <t>BENSIN PA ADI</t>
  </si>
  <si>
    <t>GOSEND KALIKOA</t>
  </si>
  <si>
    <t>GOSEND BAKUNG 01</t>
  </si>
  <si>
    <t>GRAB MOBIL</t>
  </si>
  <si>
    <t>PARKIR 4</t>
  </si>
  <si>
    <t>GOSEND WERKUDARA</t>
  </si>
  <si>
    <t xml:space="preserve">BENSIN </t>
  </si>
  <si>
    <t>BENSIN MOTOR</t>
  </si>
  <si>
    <t>GOSEND BINAWAN</t>
  </si>
  <si>
    <t>MAXIM</t>
  </si>
  <si>
    <t>IURAN SAMPAH</t>
  </si>
  <si>
    <t>MAXIM BINAWAN</t>
  </si>
  <si>
    <t>ADMIN PETTYCASH</t>
  </si>
  <si>
    <t>UANG SELADA</t>
  </si>
  <si>
    <t>PENJUALAN</t>
  </si>
  <si>
    <t>BECAK</t>
  </si>
  <si>
    <t>PENJUALAN SELADA</t>
  </si>
  <si>
    <t>PENJUALAN BUNCIS</t>
  </si>
  <si>
    <t>BAYAR KELAPA PARUD</t>
  </si>
  <si>
    <t>WIFI KOPRASI</t>
  </si>
  <si>
    <t>BAYAR SELADA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</si>
</sst>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]#,##0"/>
    <numFmt numFmtId="165" formatCode="d mmmm"/>
    <numFmt numFmtId="166" formatCode="d mmmm yyyy"/>
    <numFmt numFmtId="167" formatCode="0.0%"/>
    <numFmt numFmtId="168" formatCode="#,##0.##"/>
    <numFmt numFmtId="169" formatCode="dd/MM/yyyy"/>
    <numFmt numFmtId="170" formatCode="dd/mm/yyyy"/>
  </numFmts>
  <fonts count="6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b/>
      <sz val="13.0"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Arial"/>
    </font>
    <font>
      <sz val="9.0"/>
      <color theme="1"/>
      <name val="Arial"/>
    </font>
    <font>
      <color rgb="FF000000"/>
      <name val="Calibri"/>
      <scheme val="minor"/>
    </font>
    <font>
      <b/>
      <color theme="1"/>
      <name val="Calibri"/>
      <scheme val="minor"/>
    </font>
    <font>
      <color rgb="FFFF0000"/>
      <name val="Calibri"/>
      <scheme val="minor"/>
    </font>
    <font>
      <sz val="11.0"/>
      <color rgb="FFFF0000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9.0"/>
      <color theme="1"/>
      <name val="Arial"/>
    </font>
    <font>
      <color rgb="FFFF0000"/>
      <name val="Arial"/>
    </font>
    <font>
      <color rgb="FF000000"/>
      <name val="Arial"/>
    </font>
    <font>
      <b/>
      <sz val="13.0"/>
      <color rgb="FFFFFFFF"/>
      <name val="Arial"/>
    </font>
    <font/>
    <font>
      <i/>
      <sz val="9.0"/>
      <color rgb="FFCC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5.0"/>
      <color rgb="FFFFFFFF"/>
      <name val="Arial"/>
    </font>
    <font>
      <i/>
      <sz val="9.0"/>
      <color rgb="FF2E6DA4"/>
      <name val="Arial"/>
    </font>
    <font>
      <b/>
      <sz val="9.0"/>
      <color rgb="FF333333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10.0"/>
      <color rgb="FF0000AA"/>
      <name val="Arial"/>
    </font>
    <font>
      <sz val="10.0"/>
      <color rgb="FF006400"/>
      <name val="Arial"/>
    </font>
    <font>
      <color rgb="FF0000FF"/>
      <name val="Arial"/>
    </font>
    <font>
      <sz val="10.0"/>
      <color rgb="FF0000AA"/>
      <name val="Arial"/>
    </font>
    <font>
      <color rgb="FFCC5500"/>
      <name val="Arial"/>
    </font>
    <font>
      <b/>
      <sz val="10.0"/>
      <color rgb="FFCC5500"/>
      <name val="Arial"/>
    </font>
    <font>
      <b/>
      <sz val="10.0"/>
      <color theme="1"/>
      <name val="Arial"/>
    </font>
    <font>
      <b/>
      <color rgb="FF0000AA"/>
      <name val="Arial"/>
    </font>
    <font>
      <sz val="11.0"/>
      <color rgb="FF0000FF"/>
      <name val="Arial"/>
    </font>
    <font>
      <sz val="10.0"/>
      <color rgb="FFCC5500"/>
      <name val="Arial"/>
    </font>
    <font>
      <color rgb="FF006400"/>
      <name val="Arial"/>
    </font>
    <font>
      <color rgb="FF0000AA"/>
      <name val="Arial"/>
    </font>
    <font>
      <b/>
      <color rgb="FFCC5500"/>
      <name val="Arial"/>
    </font>
    <font>
      <b/>
      <color rgb="FF000000"/>
      <name val="Arial"/>
    </font>
    <font>
      <b/>
      <sz val="12.0"/>
      <color rgb="FFFFFFFF"/>
      <name val="Arial"/>
    </font>
    <font>
      <b/>
      <sz val="11.0"/>
      <color rgb="FFFFD700"/>
      <name val="Arial"/>
    </font>
    <font>
      <b/>
      <sz val="11.0"/>
      <color rgb="FFF9CA24"/>
      <name val="Arial"/>
    </font>
    <font>
      <sz val="12.0"/>
      <color rgb="FF0000FF"/>
      <name val="Arial"/>
    </font>
    <font>
      <sz val="11.0"/>
      <color rgb="FF0000FF"/>
      <name val="Calibri"/>
    </font>
    <font>
      <sz val="11.0"/>
      <color rgb="FF000000"/>
      <name val="Calibri"/>
    </font>
    <font>
      <sz val="11.0"/>
      <color rgb="FF0000AA"/>
      <name val="Arial"/>
    </font>
    <font>
      <sz val="11.0"/>
      <color rgb="FFCC5500"/>
      <name val="Arial"/>
    </font>
    <font>
      <b/>
      <sz val="11.0"/>
      <color rgb="FF0000AA"/>
      <name val="Arial"/>
    </font>
    <font>
      <b/>
      <sz val="11.0"/>
      <color rgb="FF000000"/>
      <name val="Arial"/>
    </font>
    <font>
      <b/>
      <sz val="14.0"/>
      <color rgb="FFFFFFFF"/>
      <name val="Arial"/>
    </font>
    <font>
      <sz val="11.0"/>
      <color rgb="FF000000"/>
      <name val="Arial"/>
    </font>
    <font>
      <b/>
      <sz val="12.0"/>
      <color rgb="FFF9CA24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D5B4"/>
        <bgColor rgb="FFFCD5B4"/>
      </patternFill>
    </fill>
    <fill>
      <patternFill patternType="solid">
        <fgColor rgb="FFFEF9E7"/>
        <bgColor rgb="FFFEF9E7"/>
      </patternFill>
    </fill>
    <fill>
      <patternFill patternType="solid">
        <fgColor rgb="FFFFE599"/>
        <bgColor rgb="FFFFE599"/>
      </patternFill>
    </fill>
    <fill>
      <patternFill patternType="solid">
        <fgColor rgb="FFFF6F31"/>
        <bgColor rgb="FFFF6F31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1C4587"/>
        <bgColor rgb="FF1C4587"/>
      </patternFill>
    </fill>
    <fill>
      <patternFill patternType="solid">
        <fgColor rgb="FF1B3A5C"/>
        <bgColor rgb="FF1B3A5C"/>
      </patternFill>
    </fill>
    <fill>
      <patternFill patternType="solid">
        <fgColor rgb="FFFFF3CD"/>
        <bgColor rgb="FFFFF3CD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  <fill>
      <patternFill patternType="solid">
        <fgColor rgb="FFFFFDE7"/>
        <bgColor rgb="FFFFFDE7"/>
      </patternFill>
    </fill>
    <fill>
      <patternFill patternType="solid">
        <fgColor rgb="FF1A6B3A"/>
        <bgColor rgb="FF1A6B3A"/>
      </patternFill>
    </fill>
    <fill>
      <patternFill patternType="solid">
        <fgColor rgb="FF1A3A6B"/>
        <bgColor rgb="FF1A3A6B"/>
      </patternFill>
    </fill>
    <fill>
      <patternFill patternType="solid">
        <fgColor rgb="FFE67E22"/>
        <bgColor rgb="FFE67E22"/>
      </patternFill>
    </fill>
    <fill>
      <patternFill patternType="solid">
        <fgColor rgb="FF6B1A6B"/>
        <bgColor rgb="FF6B1A6B"/>
      </patternFill>
    </fill>
    <fill>
      <patternFill patternType="solid">
        <fgColor rgb="FF27AE60"/>
        <bgColor rgb="FF27AE60"/>
      </patternFill>
    </fill>
    <fill>
      <patternFill patternType="solid">
        <fgColor rgb="FF2E86C1"/>
        <bgColor rgb="FF2E86C1"/>
      </patternFill>
    </fill>
    <fill>
      <patternFill patternType="solid">
        <fgColor rgb="FF8E44AD"/>
        <bgColor rgb="FF8E44AD"/>
      </patternFill>
    </fill>
    <fill>
      <patternFill patternType="solid">
        <fgColor rgb="FFE8F8F0"/>
        <bgColor rgb="FFE8F8F0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2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</border>
    <border>
      <top style="thin">
        <color rgb="FFBDC3C7"/>
      </top>
      <bottom style="thin">
        <color rgb="FFBDC3C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medium">
        <color rgb="FF1B3A5C"/>
      </left>
      <top style="medium">
        <color rgb="FF1B3A5C"/>
      </top>
      <bottom style="medium">
        <color rgb="FF1B3A5C"/>
      </bottom>
    </border>
    <border>
      <top style="medium">
        <color rgb="FF1B3A5C"/>
      </top>
      <bottom style="medium">
        <color rgb="FF1B3A5C"/>
      </bottom>
    </border>
    <border>
      <right/>
      <top style="medium">
        <color rgb="FF1B3A5C"/>
      </top>
      <bottom style="medium">
        <color rgb="FF1B3A5C"/>
      </bottom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</border>
    <border>
      <left style="thin">
        <color rgb="FFBDC3C7"/>
      </left>
      <right style="thin">
        <color rgb="FFBDC3C7"/>
      </right>
      <bottom style="thin">
        <color rgb="FFBDC3C7"/>
      </bottom>
    </border>
    <border>
      <left style="thin">
        <color rgb="FFBDC3C7"/>
      </left>
      <bottom style="thin">
        <color rgb="FFBDC3C7"/>
      </bottom>
    </border>
    <border>
      <right/>
      <bottom style="thin">
        <color rgb="FFBDC3C7"/>
      </bottom>
    </border>
    <border>
      <top style="thin">
        <color rgb="FFBDC3C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0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left" vertical="bottom"/>
    </xf>
    <xf borderId="1" fillId="2" fontId="3" numFmtId="164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3" fontId="0" numFmtId="0" xfId="0" applyAlignment="1" applyFill="1" applyFont="1">
      <alignment vertical="bottom"/>
    </xf>
    <xf borderId="0" fillId="3" fontId="0" numFmtId="0" xfId="0" applyAlignment="1" applyFont="1">
      <alignment horizontal="left" vertical="bottom"/>
    </xf>
    <xf borderId="0" fillId="3" fontId="0" numFmtId="0" xfId="0" applyAlignment="1" applyFont="1">
      <alignment horizontal="center" vertical="bottom"/>
    </xf>
    <xf borderId="0" fillId="3" fontId="0" numFmtId="164" xfId="0" applyAlignment="1" applyFont="1" applyNumberFormat="1">
      <alignment horizontal="right" vertical="bottom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horizontal="center" vertical="bottom"/>
    </xf>
    <xf borderId="0" fillId="0" fontId="0" numFmtId="164" xfId="0" applyAlignment="1" applyFont="1" applyNumberFormat="1">
      <alignment horizontal="right"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left" readingOrder="0" vertical="bottom"/>
    </xf>
    <xf borderId="0" fillId="0" fontId="0" numFmtId="164" xfId="0" applyAlignment="1" applyFont="1" applyNumberFormat="1">
      <alignment vertical="bottom"/>
    </xf>
    <xf borderId="0" fillId="0" fontId="0" numFmtId="0" xfId="0" applyAlignment="1" applyFont="1">
      <alignment horizontal="center" readingOrder="0" vertical="bottom"/>
    </xf>
    <xf borderId="0" fillId="0" fontId="0" numFmtId="164" xfId="0" applyAlignment="1" applyFont="1" applyNumberFormat="1">
      <alignment readingOrder="0" vertical="bottom"/>
    </xf>
    <xf borderId="0" fillId="0" fontId="0" numFmtId="164" xfId="0" applyFont="1" applyNumberFormat="1"/>
    <xf borderId="0" fillId="3" fontId="0" numFmtId="164" xfId="0" applyAlignment="1" applyFont="1" applyNumberFormat="1">
      <alignment vertical="bottom"/>
    </xf>
    <xf borderId="0" fillId="0" fontId="0" numFmtId="164" xfId="0" applyAlignment="1" applyFont="1" applyNumberFormat="1">
      <alignment horizontal="right" readingOrder="0" vertical="bottom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center" readingOrder="0"/>
    </xf>
    <xf borderId="0" fillId="0" fontId="0" numFmtId="164" xfId="0" applyAlignment="1" applyFont="1" applyNumberFormat="1">
      <alignment readingOrder="0"/>
    </xf>
    <xf borderId="0" fillId="0" fontId="0" numFmtId="0" xfId="0" applyAlignment="1" applyFont="1">
      <alignment horizontal="left"/>
    </xf>
    <xf borderId="0" fillId="0" fontId="0" numFmtId="164" xfId="0" applyAlignment="1" applyFont="1" applyNumberFormat="1">
      <alignment horizontal="right" readingOrder="0"/>
    </xf>
    <xf borderId="0" fillId="0" fontId="0" numFmtId="164" xfId="0" applyAlignment="1" applyFont="1" applyNumberFormat="1">
      <alignment horizontal="right"/>
    </xf>
    <xf borderId="0" fillId="3" fontId="0" numFmtId="0" xfId="0" applyAlignment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5" numFmtId="164" xfId="0" applyFont="1" applyNumberFormat="1"/>
    <xf borderId="0" fillId="4" fontId="4" numFmtId="0" xfId="0" applyAlignment="1" applyFill="1" applyFont="1">
      <alignment readingOrder="0"/>
    </xf>
    <xf borderId="0" fillId="4" fontId="4" numFmtId="164" xfId="0" applyFont="1" applyNumberFormat="1"/>
    <xf borderId="0" fillId="0" fontId="4" numFmtId="0" xfId="0" applyFont="1"/>
    <xf borderId="0" fillId="0" fontId="4" numFmtId="0" xfId="0" applyAlignment="1" applyFont="1">
      <alignment horizontal="center" readingOrder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3" fontId="6" numFmtId="164" xfId="0" applyAlignment="1" applyFont="1" applyNumberFormat="1">
      <alignment vertical="bottom"/>
    </xf>
    <xf borderId="0" fillId="3" fontId="7" numFmtId="164" xfId="0" applyAlignment="1" applyFont="1" applyNumberFormat="1">
      <alignment horizontal="right" vertical="bottom"/>
    </xf>
    <xf borderId="0" fillId="3" fontId="6" numFmtId="164" xfId="0" applyAlignment="1" applyFont="1" applyNumberFormat="1">
      <alignment horizontal="right" vertical="bottom"/>
    </xf>
    <xf borderId="0" fillId="4" fontId="8" numFmtId="0" xfId="0" applyAlignment="1" applyFont="1">
      <alignment readingOrder="0"/>
    </xf>
    <xf borderId="0" fillId="4" fontId="8" numFmtId="164" xfId="0" applyFont="1" applyNumberFormat="1"/>
    <xf borderId="0" fillId="0" fontId="9" numFmtId="164" xfId="0" applyFont="1" applyNumberForma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readingOrder="0"/>
    </xf>
    <xf borderId="0" fillId="0" fontId="11" numFmtId="164" xfId="0" applyAlignment="1" applyFont="1" applyNumberFormat="1">
      <alignment horizontal="right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right"/>
    </xf>
    <xf borderId="0" fillId="0" fontId="9" numFmtId="0" xfId="0" applyAlignment="1" applyFont="1">
      <alignment horizontal="center" readingOrder="0"/>
    </xf>
    <xf borderId="0" fillId="3" fontId="12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13" numFmtId="0" xfId="0" applyAlignment="1" applyFont="1">
      <alignment horizontal="center" vertical="bottom"/>
    </xf>
    <xf borderId="0" fillId="3" fontId="13" numFmtId="164" xfId="0" applyAlignment="1" applyFont="1" applyNumberFormat="1">
      <alignment vertical="bottom"/>
    </xf>
    <xf borderId="0" fillId="3" fontId="12" numFmtId="164" xfId="0" applyAlignment="1" applyFont="1" applyNumberFormat="1">
      <alignment horizontal="right" vertical="bottom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3" fontId="13" numFmtId="0" xfId="0" applyAlignment="1" applyFont="1">
      <alignment readingOrder="0" vertical="bottom"/>
    </xf>
    <xf borderId="0" fillId="3" fontId="13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1" fillId="2" fontId="18" numFmtId="0" xfId="0" applyAlignment="1" applyBorder="1" applyFont="1">
      <alignment horizontal="center" vertical="bottom"/>
    </xf>
    <xf borderId="1" fillId="2" fontId="18" numFmtId="164" xfId="0" applyAlignment="1" applyBorder="1" applyFont="1" applyNumberFormat="1">
      <alignment horizontal="center" vertical="bottom"/>
    </xf>
    <xf borderId="2" fillId="2" fontId="18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/>
    </xf>
    <xf borderId="0" fillId="5" fontId="6" numFmtId="164" xfId="0" applyAlignment="1" applyFill="1" applyFont="1" applyNumberFormat="1">
      <alignment horizontal="right" vertical="bottom"/>
    </xf>
    <xf borderId="0" fillId="5" fontId="4" numFmtId="164" xfId="0" applyFont="1" applyNumberFormat="1"/>
    <xf borderId="0" fillId="5" fontId="9" numFmtId="164" xfId="0" applyFont="1" applyNumberFormat="1"/>
    <xf borderId="0" fillId="0" fontId="9" numFmtId="0" xfId="0" applyFont="1"/>
    <xf borderId="1" fillId="2" fontId="18" numFmtId="0" xfId="0" applyAlignment="1" applyBorder="1" applyFont="1">
      <alignment horizontal="right" vertical="bottom"/>
    </xf>
    <xf borderId="1" fillId="2" fontId="18" numFmtId="0" xfId="0" applyAlignment="1" applyBorder="1" applyFont="1">
      <alignment horizontal="center" readingOrder="0" vertical="bottom"/>
    </xf>
    <xf borderId="2" fillId="5" fontId="19" numFmtId="0" xfId="0" applyAlignment="1" applyBorder="1" applyFont="1">
      <alignment horizontal="right" vertical="bottom"/>
    </xf>
    <xf borderId="3" fillId="5" fontId="6" numFmtId="165" xfId="0" applyAlignment="1" applyBorder="1" applyFont="1" applyNumberFormat="1">
      <alignment vertical="bottom"/>
    </xf>
    <xf borderId="3" fillId="5" fontId="19" numFmtId="0" xfId="0" applyAlignment="1" applyBorder="1" applyFont="1">
      <alignment vertical="bottom"/>
    </xf>
    <xf borderId="4" fillId="5" fontId="6" numFmtId="165" xfId="0" applyAlignment="1" applyBorder="1" applyFont="1" applyNumberFormat="1">
      <alignment vertical="bottom"/>
    </xf>
    <xf borderId="1" fillId="5" fontId="6" numFmtId="0" xfId="0" applyAlignment="1" applyBorder="1" applyFont="1">
      <alignment horizontal="right" vertical="bottom"/>
    </xf>
    <xf borderId="1" fillId="5" fontId="20" numFmtId="164" xfId="0" applyAlignment="1" applyBorder="1" applyFont="1" applyNumberFormat="1">
      <alignment horizontal="center" vertical="bottom"/>
    </xf>
    <xf borderId="1" fillId="5" fontId="6" numFmtId="164" xfId="0" applyAlignment="1" applyBorder="1" applyFont="1" applyNumberFormat="1">
      <alignment vertical="bottom"/>
    </xf>
    <xf borderId="1" fillId="5" fontId="7" numFmtId="164" xfId="0" applyAlignment="1" applyBorder="1" applyFont="1" applyNumberFormat="1">
      <alignment horizontal="right" vertical="bottom"/>
    </xf>
    <xf borderId="1" fillId="6" fontId="6" numFmtId="164" xfId="0" applyAlignment="1" applyBorder="1" applyFill="1" applyFont="1" applyNumberFormat="1">
      <alignment horizontal="right" vertical="bottom"/>
    </xf>
    <xf borderId="0" fillId="5" fontId="6" numFmtId="0" xfId="0" applyAlignment="1" applyFont="1">
      <alignment vertical="bottom"/>
    </xf>
    <xf borderId="0" fillId="5" fontId="6" numFmtId="166" xfId="0" applyAlignment="1" applyFont="1" applyNumberFormat="1">
      <alignment horizontal="right" vertical="bottom"/>
    </xf>
    <xf borderId="0" fillId="5" fontId="6" numFmtId="0" xfId="0" applyAlignment="1" applyFont="1">
      <alignment horizontal="right" vertical="bottom"/>
    </xf>
    <xf borderId="0" fillId="5" fontId="6" numFmtId="164" xfId="0" applyAlignment="1" applyFont="1" applyNumberFormat="1">
      <alignment vertical="bottom"/>
    </xf>
    <xf borderId="0" fillId="5" fontId="6" numFmtId="165" xfId="0" applyAlignment="1" applyFont="1" applyNumberFormat="1">
      <alignment horizontal="right" vertical="bottom"/>
    </xf>
    <xf borderId="0" fillId="6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7" fontId="6" numFmtId="164" xfId="0" applyAlignment="1" applyFill="1" applyFont="1" applyNumberFormat="1">
      <alignment horizontal="right" vertical="bottom"/>
    </xf>
    <xf borderId="0" fillId="8" fontId="6" numFmtId="164" xfId="0" applyAlignment="1" applyFill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5" fontId="21" numFmtId="0" xfId="0" applyAlignment="1" applyFont="1">
      <alignment horizontal="right" vertical="bottom"/>
    </xf>
    <xf borderId="0" fillId="5" fontId="6" numFmtId="0" xfId="0" applyAlignment="1" applyFont="1">
      <alignment horizontal="center" vertical="bottom"/>
    </xf>
    <xf borderId="0" fillId="0" fontId="6" numFmtId="164" xfId="0" applyAlignment="1" applyFont="1" applyNumberFormat="1">
      <alignment vertical="bottom"/>
    </xf>
    <xf borderId="0" fillId="9" fontId="6" numFmtId="164" xfId="0" applyAlignment="1" applyFill="1" applyFont="1" applyNumberFormat="1">
      <alignment horizontal="right" vertical="bottom"/>
    </xf>
    <xf borderId="0" fillId="5" fontId="6" numFmtId="0" xfId="0" applyAlignment="1" applyFont="1">
      <alignment readingOrder="0" vertical="bottom"/>
    </xf>
    <xf borderId="0" fillId="10" fontId="6" numFmtId="164" xfId="0" applyAlignment="1" applyFill="1" applyFont="1" applyNumberFormat="1">
      <alignment horizontal="right" vertical="bottom"/>
    </xf>
    <xf borderId="0" fillId="5" fontId="21" numFmtId="165" xfId="0" applyAlignment="1" applyFont="1" applyNumberFormat="1">
      <alignment horizontal="right" vertical="bottom"/>
    </xf>
    <xf borderId="0" fillId="5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5" fontId="21" numFmtId="164" xfId="0" applyAlignment="1" applyFont="1" applyNumberFormat="1">
      <alignment horizontal="right" vertical="bottom"/>
    </xf>
    <xf borderId="0" fillId="11" fontId="21" numFmtId="0" xfId="0" applyAlignment="1" applyFill="1" applyFont="1">
      <alignment vertical="bottom"/>
    </xf>
    <xf borderId="0" fillId="11" fontId="21" numFmtId="0" xfId="0" applyAlignment="1" applyFont="1">
      <alignment horizontal="right" vertical="bottom"/>
    </xf>
    <xf borderId="0" fillId="11" fontId="21" numFmtId="164" xfId="0" applyAlignment="1" applyFont="1" applyNumberFormat="1">
      <alignment horizontal="right" vertical="bottom"/>
    </xf>
    <xf borderId="0" fillId="11" fontId="6" numFmtId="164" xfId="0" applyAlignment="1" applyFont="1" applyNumberFormat="1">
      <alignment vertical="bottom"/>
    </xf>
    <xf borderId="0" fillId="5" fontId="6" numFmtId="165" xfId="0" applyAlignment="1" applyFont="1" applyNumberFormat="1">
      <alignment vertical="bottom"/>
    </xf>
    <xf borderId="0" fillId="5" fontId="19" numFmtId="0" xfId="0" applyAlignment="1" applyFont="1">
      <alignment vertical="bottom"/>
    </xf>
    <xf borderId="0" fillId="5" fontId="19" numFmtId="0" xfId="0" applyAlignment="1" applyFont="1">
      <alignment horizontal="right" vertical="bottom"/>
    </xf>
    <xf borderId="0" fillId="5" fontId="19" numFmtId="164" xfId="0" applyAlignment="1" applyFont="1" applyNumberFormat="1">
      <alignment horizontal="right" vertical="bottom"/>
    </xf>
    <xf borderId="0" fillId="4" fontId="6" numFmtId="164" xfId="0" applyAlignment="1" applyFont="1" applyNumberFormat="1">
      <alignment horizontal="right" vertical="bottom"/>
    </xf>
    <xf borderId="0" fillId="12" fontId="6" numFmtId="164" xfId="0" applyAlignment="1" applyFill="1" applyFont="1" applyNumberFormat="1">
      <alignment horizontal="right" vertical="bottom"/>
    </xf>
    <xf borderId="0" fillId="4" fontId="6" numFmtId="0" xfId="0" applyAlignment="1" applyFont="1">
      <alignment horizontal="right" vertical="bottom"/>
    </xf>
    <xf borderId="0" fillId="4" fontId="6" numFmtId="164" xfId="0" applyAlignment="1" applyFont="1" applyNumberFormat="1">
      <alignment vertical="bottom"/>
    </xf>
    <xf borderId="0" fillId="5" fontId="22" numFmtId="0" xfId="0" applyAlignment="1" applyFont="1">
      <alignment vertical="bottom"/>
    </xf>
    <xf borderId="0" fillId="5" fontId="6" numFmtId="3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5" fontId="4" numFmtId="0" xfId="0" applyFont="1"/>
    <xf borderId="0" fillId="0" fontId="8" numFmtId="164" xfId="0" applyFont="1" applyNumberFormat="1"/>
    <xf borderId="0" fillId="0" fontId="10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4" numFmtId="164" xfId="0" applyFont="1" applyNumberFormat="1"/>
    <xf borderId="0" fillId="0" fontId="14" numFmtId="164" xfId="0" applyAlignment="1" applyFont="1" applyNumberFormat="1">
      <alignment readingOrder="0"/>
    </xf>
    <xf borderId="0" fillId="0" fontId="10" numFmtId="164" xfId="0" applyFont="1" applyNumberFormat="1"/>
    <xf borderId="0" fillId="5" fontId="4" numFmtId="0" xfId="0" applyAlignment="1" applyFont="1">
      <alignment horizontal="center"/>
    </xf>
    <xf borderId="0" fillId="5" fontId="18" numFmtId="0" xfId="0" applyAlignment="1" applyFont="1">
      <alignment horizontal="center" vertical="bottom"/>
    </xf>
    <xf borderId="0" fillId="5" fontId="18" numFmtId="164" xfId="0" applyAlignment="1" applyFont="1" applyNumberFormat="1">
      <alignment horizontal="center" vertical="bottom"/>
    </xf>
    <xf borderId="0" fillId="13" fontId="18" numFmtId="0" xfId="0" applyAlignment="1" applyFill="1" applyFont="1">
      <alignment horizontal="center" vertical="bottom"/>
    </xf>
    <xf borderId="0" fillId="13" fontId="18" numFmtId="164" xfId="0" applyAlignment="1" applyFont="1" applyNumberFormat="1">
      <alignment horizontal="center" vertical="bottom"/>
    </xf>
    <xf borderId="0" fillId="3" fontId="6" numFmtId="164" xfId="0" applyAlignment="1" applyFont="1" applyNumberFormat="1">
      <alignment readingOrder="0" vertical="bottom"/>
    </xf>
    <xf borderId="5" fillId="14" fontId="23" numFmtId="0" xfId="0" applyAlignment="1" applyBorder="1" applyFill="1" applyFont="1">
      <alignment horizontal="center" shrinkToFit="0" vertical="center" wrapText="1"/>
    </xf>
    <xf borderId="6" fillId="0" fontId="24" numFmtId="0" xfId="0" applyBorder="1" applyFont="1"/>
    <xf borderId="7" fillId="0" fontId="24" numFmtId="0" xfId="0" applyBorder="1" applyFont="1"/>
    <xf borderId="5" fillId="15" fontId="25" numFmtId="0" xfId="0" applyAlignment="1" applyBorder="1" applyFill="1" applyFont="1">
      <alignment horizontal="center" shrinkToFit="0" vertical="center" wrapText="1"/>
    </xf>
    <xf borderId="8" fillId="16" fontId="26" numFmtId="0" xfId="0" applyAlignment="1" applyBorder="1" applyFill="1" applyFont="1">
      <alignment horizontal="center" shrinkToFit="0" vertical="center" wrapText="1"/>
    </xf>
    <xf borderId="8" fillId="17" fontId="27" numFmtId="0" xfId="0" applyAlignment="1" applyBorder="1" applyFill="1" applyFont="1">
      <alignment horizontal="center" shrinkToFit="0" vertical="center" wrapText="1"/>
    </xf>
    <xf borderId="8" fillId="17" fontId="28" numFmtId="0" xfId="0" applyAlignment="1" applyBorder="1" applyFont="1">
      <alignment horizontal="left" shrinkToFit="0" vertical="center" wrapText="1"/>
    </xf>
    <xf borderId="8" fillId="18" fontId="29" numFmtId="3" xfId="0" applyAlignment="1" applyBorder="1" applyFill="1" applyFont="1" applyNumberFormat="1">
      <alignment horizontal="center" shrinkToFit="0" vertical="center" wrapText="1"/>
    </xf>
    <xf borderId="8" fillId="17" fontId="30" numFmtId="3" xfId="0" applyAlignment="1" applyBorder="1" applyFont="1" applyNumberFormat="1">
      <alignment horizontal="center" shrinkToFit="0" vertical="center" wrapText="1"/>
    </xf>
    <xf borderId="8" fillId="17" fontId="30" numFmtId="167" xfId="0" applyAlignment="1" applyBorder="1" applyFont="1" applyNumberFormat="1">
      <alignment horizontal="center" shrinkToFit="0" vertical="center" wrapText="1"/>
    </xf>
    <xf borderId="8" fillId="5" fontId="27" numFmtId="0" xfId="0" applyAlignment="1" applyBorder="1" applyFont="1">
      <alignment horizontal="center" shrinkToFit="0" vertical="center" wrapText="1"/>
    </xf>
    <xf borderId="8" fillId="5" fontId="28" numFmtId="0" xfId="0" applyAlignment="1" applyBorder="1" applyFont="1">
      <alignment horizontal="left" shrinkToFit="0" vertical="center" wrapText="1"/>
    </xf>
    <xf borderId="8" fillId="5" fontId="30" numFmtId="3" xfId="0" applyAlignment="1" applyBorder="1" applyFont="1" applyNumberFormat="1">
      <alignment horizontal="center" shrinkToFit="0" vertical="center" wrapText="1"/>
    </xf>
    <xf borderId="8" fillId="5" fontId="30" numFmtId="167" xfId="0" applyAlignment="1" applyBorder="1" applyFont="1" applyNumberFormat="1">
      <alignment horizontal="center" shrinkToFit="0" vertical="center" wrapText="1"/>
    </xf>
    <xf borderId="5" fillId="14" fontId="31" numFmtId="0" xfId="0" applyAlignment="1" applyBorder="1" applyFont="1">
      <alignment horizontal="center" shrinkToFit="0" vertical="center" wrapText="1"/>
    </xf>
    <xf borderId="5" fillId="19" fontId="32" numFmtId="0" xfId="0" applyAlignment="1" applyBorder="1" applyFill="1" applyFont="1">
      <alignment horizontal="center" readingOrder="0" shrinkToFit="0" vertical="center" wrapText="1"/>
    </xf>
    <xf borderId="5" fillId="20" fontId="33" numFmtId="0" xfId="0" applyAlignment="1" applyBorder="1" applyFill="1" applyFont="1">
      <alignment horizontal="center" shrinkToFit="0" vertical="center" wrapText="1"/>
    </xf>
    <xf borderId="5" fillId="16" fontId="34" numFmtId="0" xfId="0" applyAlignment="1" applyBorder="1" applyFont="1">
      <alignment horizontal="center" shrinkToFit="0" vertical="center" wrapText="1"/>
    </xf>
    <xf borderId="8" fillId="14" fontId="35" numFmtId="0" xfId="0" applyAlignment="1" applyBorder="1" applyFont="1">
      <alignment horizontal="center" shrinkToFit="0" vertical="center" wrapText="1"/>
    </xf>
    <xf borderId="9" fillId="21" fontId="35" numFmtId="0" xfId="0" applyAlignment="1" applyBorder="1" applyFill="1" applyFont="1">
      <alignment horizontal="center" shrinkToFit="0" vertical="center" wrapText="1"/>
    </xf>
    <xf borderId="10" fillId="0" fontId="24" numFmtId="0" xfId="0" applyBorder="1" applyFont="1"/>
    <xf borderId="9" fillId="22" fontId="35" numFmtId="0" xfId="0" applyAlignment="1" applyBorder="1" applyFill="1" applyFont="1">
      <alignment horizontal="center" shrinkToFit="0" vertical="center" wrapText="1"/>
    </xf>
    <xf borderId="9" fillId="23" fontId="35" numFmtId="0" xfId="0" applyAlignment="1" applyBorder="1" applyFill="1" applyFont="1">
      <alignment horizontal="center" shrinkToFit="0" vertical="center" wrapText="1"/>
    </xf>
    <xf borderId="9" fillId="24" fontId="35" numFmtId="0" xfId="0" applyAlignment="1" applyBorder="1" applyFill="1" applyFont="1">
      <alignment horizontal="center" shrinkToFit="0" vertical="center" wrapText="1"/>
    </xf>
    <xf borderId="8" fillId="14" fontId="36" numFmtId="0" xfId="0" applyAlignment="1" applyBorder="1" applyFont="1">
      <alignment horizontal="center" shrinkToFit="0" vertical="center" wrapText="1"/>
    </xf>
    <xf borderId="8" fillId="25" fontId="36" numFmtId="0" xfId="0" applyAlignment="1" applyBorder="1" applyFill="1" applyFont="1">
      <alignment horizontal="center" shrinkToFit="0" vertical="center" wrapText="1"/>
    </xf>
    <xf borderId="8" fillId="26" fontId="36" numFmtId="0" xfId="0" applyAlignment="1" applyBorder="1" applyFill="1" applyFont="1">
      <alignment horizontal="center" shrinkToFit="0" vertical="center" wrapText="1"/>
    </xf>
    <xf borderId="8" fillId="23" fontId="36" numFmtId="0" xfId="0" applyAlignment="1" applyBorder="1" applyFont="1">
      <alignment horizontal="center" shrinkToFit="0" vertical="center" wrapText="1"/>
    </xf>
    <xf borderId="8" fillId="27" fontId="36" numFmtId="0" xfId="0" applyAlignment="1" applyBorder="1" applyFill="1" applyFont="1">
      <alignment horizontal="center" shrinkToFit="0" vertical="center" wrapText="1"/>
    </xf>
    <xf borderId="8" fillId="17" fontId="37" numFmtId="168" xfId="0" applyAlignment="1" applyBorder="1" applyFont="1" applyNumberFormat="1">
      <alignment horizontal="center" shrinkToFit="0" vertical="center" wrapText="1"/>
    </xf>
    <xf borderId="8" fillId="28" fontId="38" numFmtId="3" xfId="0" applyAlignment="1" applyBorder="1" applyFill="1" applyFont="1" applyNumberFormat="1">
      <alignment horizontal="center" shrinkToFit="0" vertical="center" wrapText="1"/>
    </xf>
    <xf borderId="8" fillId="29" fontId="38" numFmtId="3" xfId="0" applyAlignment="1" applyBorder="1" applyFill="1" applyFont="1" applyNumberFormat="1">
      <alignment horizontal="center" shrinkToFit="0" vertical="center" wrapText="1"/>
    </xf>
    <xf borderId="8" fillId="18" fontId="39" numFmtId="3" xfId="0" applyAlignment="1" applyBorder="1" applyFont="1" applyNumberFormat="1">
      <alignment horizontal="center" shrinkToFit="0" wrapText="1"/>
    </xf>
    <xf borderId="8" fillId="30" fontId="40" numFmtId="3" xfId="0" applyAlignment="1" applyBorder="1" applyFill="1" applyFont="1" applyNumberFormat="1">
      <alignment horizontal="center" shrinkToFit="0" vertical="center" wrapText="1"/>
    </xf>
    <xf borderId="8" fillId="8" fontId="41" numFmtId="3" xfId="0" applyAlignment="1" applyBorder="1" applyFont="1" applyNumberFormat="1">
      <alignment horizontal="center" shrinkToFit="0" wrapText="1"/>
    </xf>
    <xf borderId="8" fillId="31" fontId="42" numFmtId="3" xfId="0" applyAlignment="1" applyBorder="1" applyFill="1" applyFont="1" applyNumberFormat="1">
      <alignment horizontal="center" shrinkToFit="0" vertical="center" wrapText="1"/>
    </xf>
    <xf borderId="8" fillId="17" fontId="28" numFmtId="3" xfId="0" applyAlignment="1" applyBorder="1" applyFont="1" applyNumberFormat="1">
      <alignment horizontal="center" shrinkToFit="0" vertical="center" wrapText="1"/>
    </xf>
    <xf borderId="8" fillId="17" fontId="28" numFmtId="167" xfId="0" applyAlignment="1" applyBorder="1" applyFont="1" applyNumberFormat="1">
      <alignment horizontal="center" shrinkToFit="0" vertical="center" wrapText="1"/>
    </xf>
    <xf borderId="8" fillId="17" fontId="27" numFmtId="0" xfId="0" applyAlignment="1" applyBorder="1" applyFont="1">
      <alignment horizontal="left" shrinkToFit="0" vertical="center" wrapText="1"/>
    </xf>
    <xf borderId="8" fillId="5" fontId="37" numFmtId="168" xfId="0" applyAlignment="1" applyBorder="1" applyFont="1" applyNumberFormat="1">
      <alignment horizontal="center" shrinkToFit="0" vertical="center" wrapText="1"/>
    </xf>
    <xf borderId="8" fillId="5" fontId="28" numFmtId="3" xfId="0" applyAlignment="1" applyBorder="1" applyFont="1" applyNumberFormat="1">
      <alignment horizontal="center" shrinkToFit="0" vertical="center" wrapText="1"/>
    </xf>
    <xf borderId="8" fillId="5" fontId="28" numFmtId="167" xfId="0" applyAlignment="1" applyBorder="1" applyFont="1" applyNumberFormat="1">
      <alignment horizontal="center" shrinkToFit="0" vertical="center" wrapText="1"/>
    </xf>
    <xf borderId="8" fillId="5" fontId="27" numFmtId="0" xfId="0" applyAlignment="1" applyBorder="1" applyFont="1">
      <alignment horizontal="left" shrinkToFit="0" vertical="center" wrapText="1"/>
    </xf>
    <xf borderId="8" fillId="5" fontId="28" numFmtId="0" xfId="0" applyAlignment="1" applyBorder="1" applyFont="1">
      <alignment horizontal="left" readingOrder="0" shrinkToFit="0" vertical="center" wrapText="1"/>
    </xf>
    <xf borderId="8" fillId="5" fontId="37" numFmtId="168" xfId="0" applyAlignment="1" applyBorder="1" applyFont="1" applyNumberFormat="1">
      <alignment horizontal="center" readingOrder="0" shrinkToFit="0" vertical="center" wrapText="1"/>
    </xf>
    <xf borderId="8" fillId="18" fontId="39" numFmtId="3" xfId="0" applyAlignment="1" applyBorder="1" applyFont="1" applyNumberFormat="1">
      <alignment horizontal="center" readingOrder="0" shrinkToFit="0" wrapText="1"/>
    </xf>
    <xf borderId="8" fillId="8" fontId="41" numFmtId="3" xfId="0" applyAlignment="1" applyBorder="1" applyFont="1" applyNumberFormat="1">
      <alignment horizontal="center" readingOrder="0" shrinkToFit="0" wrapText="1"/>
    </xf>
    <xf borderId="9" fillId="5" fontId="28" numFmtId="0" xfId="0" applyAlignment="1" applyBorder="1" applyFont="1">
      <alignment horizontal="left" readingOrder="0" shrinkToFit="0" vertical="center" wrapText="1"/>
    </xf>
    <xf borderId="9" fillId="5" fontId="27" numFmtId="0" xfId="0" applyAlignment="1" applyBorder="1" applyFont="1">
      <alignment horizontal="center" readingOrder="0" shrinkToFit="0" vertical="center" wrapText="1"/>
    </xf>
    <xf borderId="9" fillId="5" fontId="37" numFmtId="168" xfId="0" applyAlignment="1" applyBorder="1" applyFont="1" applyNumberFormat="1">
      <alignment horizontal="center" readingOrder="0" shrinkToFit="0" vertical="center" wrapText="1"/>
    </xf>
    <xf borderId="11" fillId="31" fontId="42" numFmtId="3" xfId="0" applyAlignment="1" applyBorder="1" applyFont="1" applyNumberFormat="1">
      <alignment horizontal="center" shrinkToFit="0" vertical="center" wrapText="1"/>
    </xf>
    <xf borderId="9" fillId="19" fontId="26" numFmtId="0" xfId="0" applyAlignment="1" applyBorder="1" applyFont="1">
      <alignment horizontal="right" shrinkToFit="0" vertical="center" wrapText="0"/>
    </xf>
    <xf borderId="12" fillId="0" fontId="24" numFmtId="0" xfId="0" applyBorder="1" applyFont="1"/>
    <xf borderId="8" fillId="19" fontId="13" numFmtId="0" xfId="0" applyAlignment="1" applyBorder="1" applyFont="1">
      <alignment shrinkToFit="0" vertical="bottom" wrapText="0"/>
    </xf>
    <xf borderId="8" fillId="19" fontId="43" numFmtId="3" xfId="0" applyAlignment="1" applyBorder="1" applyFont="1" applyNumberFormat="1">
      <alignment horizontal="center" shrinkToFit="0" vertical="center" wrapText="1"/>
    </xf>
    <xf borderId="9" fillId="19" fontId="13" numFmtId="0" xfId="0" applyAlignment="1" applyBorder="1" applyFont="1">
      <alignment shrinkToFit="0" vertical="bottom" wrapText="0"/>
    </xf>
    <xf borderId="13" fillId="19" fontId="43" numFmtId="3" xfId="0" applyAlignment="1" applyBorder="1" applyFont="1" applyNumberFormat="1">
      <alignment horizontal="center" shrinkToFit="0" vertical="center" wrapText="1"/>
    </xf>
    <xf borderId="14" fillId="19" fontId="43" numFmtId="3" xfId="0" applyAlignment="1" applyBorder="1" applyFont="1" applyNumberFormat="1">
      <alignment horizontal="center" shrinkToFit="0" vertical="center" wrapText="1"/>
    </xf>
    <xf borderId="8" fillId="19" fontId="43" numFmtId="167" xfId="0" applyAlignment="1" applyBorder="1" applyFont="1" applyNumberFormat="1">
      <alignment horizontal="center" shrinkToFit="0" vertical="center" wrapText="1"/>
    </xf>
    <xf borderId="8" fillId="17" fontId="44" numFmtId="168" xfId="0" applyAlignment="1" applyBorder="1" applyFont="1" applyNumberFormat="1">
      <alignment horizontal="center" shrinkToFit="0" wrapText="1"/>
    </xf>
    <xf borderId="8" fillId="18" fontId="45" numFmtId="3" xfId="0" applyAlignment="1" applyBorder="1" applyFont="1" applyNumberFormat="1">
      <alignment horizontal="center" shrinkToFit="0" vertical="bottom" wrapText="1"/>
    </xf>
    <xf borderId="8" fillId="31" fontId="46" numFmtId="3" xfId="0" applyAlignment="1" applyBorder="1" applyFont="1" applyNumberFormat="1">
      <alignment horizontal="center" shrinkToFit="0" vertical="center" wrapText="1"/>
    </xf>
    <xf borderId="8" fillId="5" fontId="44" numFmtId="168" xfId="0" applyAlignment="1" applyBorder="1" applyFont="1" applyNumberFormat="1">
      <alignment horizontal="center" shrinkToFit="0" wrapText="1"/>
    </xf>
    <xf borderId="9" fillId="5" fontId="19" numFmtId="0" xfId="0" applyAlignment="1" applyBorder="1" applyFont="1">
      <alignment shrinkToFit="0" wrapText="1"/>
    </xf>
    <xf borderId="9" fillId="5" fontId="44" numFmtId="168" xfId="0" applyAlignment="1" applyBorder="1" applyFont="1" applyNumberFormat="1">
      <alignment horizontal="center" shrinkToFit="0" wrapText="1"/>
    </xf>
    <xf borderId="11" fillId="31" fontId="46" numFmtId="3" xfId="0" applyAlignment="1" applyBorder="1" applyFont="1" applyNumberFormat="1">
      <alignment horizontal="center" shrinkToFit="0" vertical="center" wrapText="1"/>
    </xf>
    <xf borderId="8" fillId="5" fontId="27" numFmtId="0" xfId="0" applyAlignment="1" applyBorder="1" applyFont="1">
      <alignment horizontal="center" readingOrder="0" shrinkToFit="0" vertical="center" wrapText="1"/>
    </xf>
    <xf borderId="8" fillId="18" fontId="29" numFmtId="3" xfId="0" applyAlignment="1" applyBorder="1" applyFont="1" applyNumberFormat="1">
      <alignment horizontal="center" readingOrder="0" shrinkToFit="0" vertical="center" wrapText="1"/>
    </xf>
    <xf borderId="8" fillId="8" fontId="46" numFmtId="3" xfId="0" applyAlignment="1" applyBorder="1" applyFont="1" applyNumberFormat="1">
      <alignment horizontal="center" readingOrder="0" shrinkToFit="0" vertical="center" wrapText="1"/>
    </xf>
    <xf borderId="8" fillId="17" fontId="27" numFmtId="0" xfId="0" applyAlignment="1" applyBorder="1" applyFont="1">
      <alignment horizontal="center" readingOrder="0" shrinkToFit="0" vertical="center" wrapText="1"/>
    </xf>
    <xf borderId="0" fillId="0" fontId="4" numFmtId="3" xfId="0" applyFont="1" applyNumberFormat="1"/>
    <xf borderId="5" fillId="16" fontId="34" numFmtId="0" xfId="0" applyAlignment="1" applyBorder="1" applyFont="1">
      <alignment horizontal="center" readingOrder="0" shrinkToFit="0" vertical="center" wrapText="1"/>
    </xf>
    <xf borderId="8" fillId="17" fontId="28" numFmtId="0" xfId="0" applyAlignment="1" applyBorder="1" applyFont="1">
      <alignment horizontal="left" readingOrder="0" shrinkToFit="0" vertical="center" wrapText="1"/>
    </xf>
    <xf borderId="8" fillId="17" fontId="37" numFmtId="168" xfId="0" applyAlignment="1" applyBorder="1" applyFont="1" applyNumberFormat="1">
      <alignment horizontal="center" readingOrder="0" shrinkToFit="0" vertical="center" wrapText="1"/>
    </xf>
    <xf borderId="5" fillId="16" fontId="34" numFmtId="0" xfId="0" applyAlignment="1" applyBorder="1" applyFont="1">
      <alignment horizontal="center" shrinkToFit="0" wrapText="1"/>
    </xf>
    <xf borderId="8" fillId="14" fontId="35" numFmtId="0" xfId="0" applyAlignment="1" applyBorder="1" applyFont="1">
      <alignment horizontal="center" shrinkToFit="0" wrapText="1"/>
    </xf>
    <xf borderId="9" fillId="21" fontId="35" numFmtId="0" xfId="0" applyAlignment="1" applyBorder="1" applyFont="1">
      <alignment horizontal="center" shrinkToFit="0" wrapText="1"/>
    </xf>
    <xf borderId="9" fillId="22" fontId="35" numFmtId="0" xfId="0" applyAlignment="1" applyBorder="1" applyFont="1">
      <alignment horizontal="center" shrinkToFit="0" wrapText="1"/>
    </xf>
    <xf borderId="9" fillId="23" fontId="35" numFmtId="0" xfId="0" applyAlignment="1" applyBorder="1" applyFont="1">
      <alignment horizontal="center" shrinkToFit="0" wrapText="1"/>
    </xf>
    <xf borderId="9" fillId="24" fontId="35" numFmtId="0" xfId="0" applyAlignment="1" applyBorder="1" applyFont="1">
      <alignment horizontal="center" shrinkToFit="0" wrapText="1"/>
    </xf>
    <xf borderId="8" fillId="14" fontId="36" numFmtId="0" xfId="0" applyAlignment="1" applyBorder="1" applyFont="1">
      <alignment horizontal="center" shrinkToFit="0" wrapText="1"/>
    </xf>
    <xf borderId="8" fillId="25" fontId="36" numFmtId="0" xfId="0" applyAlignment="1" applyBorder="1" applyFont="1">
      <alignment horizontal="center" shrinkToFit="0" wrapText="1"/>
    </xf>
    <xf borderId="8" fillId="26" fontId="36" numFmtId="0" xfId="0" applyAlignment="1" applyBorder="1" applyFont="1">
      <alignment horizontal="center" shrinkToFit="0" wrapText="1"/>
    </xf>
    <xf borderId="8" fillId="23" fontId="36" numFmtId="0" xfId="0" applyAlignment="1" applyBorder="1" applyFont="1">
      <alignment horizontal="center" shrinkToFit="0" wrapText="1"/>
    </xf>
    <xf borderId="8" fillId="27" fontId="36" numFmtId="0" xfId="0" applyAlignment="1" applyBorder="1" applyFont="1">
      <alignment horizontal="center" shrinkToFit="0" wrapText="1"/>
    </xf>
    <xf borderId="8" fillId="17" fontId="7" numFmtId="0" xfId="0" applyAlignment="1" applyBorder="1" applyFont="1">
      <alignment horizontal="center" shrinkToFit="0" wrapText="1"/>
    </xf>
    <xf borderId="8" fillId="17" fontId="19" numFmtId="0" xfId="0" applyAlignment="1" applyBorder="1" applyFont="1">
      <alignment shrinkToFit="0" wrapText="1"/>
    </xf>
    <xf borderId="8" fillId="28" fontId="47" numFmtId="3" xfId="0" applyAlignment="1" applyBorder="1" applyFont="1" applyNumberFormat="1">
      <alignment horizontal="center" shrinkToFit="0" wrapText="1"/>
    </xf>
    <xf borderId="8" fillId="29" fontId="47" numFmtId="3" xfId="0" applyAlignment="1" applyBorder="1" applyFont="1" applyNumberFormat="1">
      <alignment horizontal="center" shrinkToFit="0" wrapText="1"/>
    </xf>
    <xf borderId="8" fillId="30" fontId="48" numFmtId="3" xfId="0" applyAlignment="1" applyBorder="1" applyFont="1" applyNumberFormat="1">
      <alignment horizontal="center" shrinkToFit="0" wrapText="1"/>
    </xf>
    <xf borderId="8" fillId="31" fontId="41" numFmtId="3" xfId="0" applyAlignment="1" applyBorder="1" applyFont="1" applyNumberFormat="1">
      <alignment horizontal="center" shrinkToFit="0" wrapText="1"/>
    </xf>
    <xf borderId="8" fillId="17" fontId="19" numFmtId="3" xfId="0" applyAlignment="1" applyBorder="1" applyFont="1" applyNumberFormat="1">
      <alignment horizontal="center" shrinkToFit="0" wrapText="1"/>
    </xf>
    <xf borderId="8" fillId="17" fontId="19" numFmtId="167" xfId="0" applyAlignment="1" applyBorder="1" applyFont="1" applyNumberFormat="1">
      <alignment horizontal="center" shrinkToFit="0" wrapText="1"/>
    </xf>
    <xf borderId="8" fillId="17" fontId="13" numFmtId="0" xfId="0" applyBorder="1" applyFont="1"/>
    <xf borderId="8" fillId="5" fontId="7" numFmtId="0" xfId="0" applyAlignment="1" applyBorder="1" applyFont="1">
      <alignment horizontal="center" shrinkToFit="0" wrapText="1"/>
    </xf>
    <xf borderId="8" fillId="5" fontId="19" numFmtId="0" xfId="0" applyAlignment="1" applyBorder="1" applyFont="1">
      <alignment shrinkToFit="0" wrapText="1"/>
    </xf>
    <xf borderId="8" fillId="5" fontId="19" numFmtId="3" xfId="0" applyAlignment="1" applyBorder="1" applyFont="1" applyNumberFormat="1">
      <alignment horizontal="center" shrinkToFit="0" wrapText="1"/>
    </xf>
    <xf borderId="8" fillId="5" fontId="19" numFmtId="167" xfId="0" applyAlignment="1" applyBorder="1" applyFont="1" applyNumberFormat="1">
      <alignment horizontal="center" shrinkToFit="0" wrapText="1"/>
    </xf>
    <xf borderId="8" fillId="5" fontId="13" numFmtId="0" xfId="0" applyBorder="1" applyFont="1"/>
    <xf borderId="8" fillId="31" fontId="49" numFmtId="3" xfId="0" applyAlignment="1" applyBorder="1" applyFont="1" applyNumberFormat="1">
      <alignment horizontal="center" shrinkToFit="0" wrapText="1"/>
    </xf>
    <xf borderId="8" fillId="17" fontId="44" numFmtId="168" xfId="0" applyAlignment="1" applyBorder="1" applyFont="1" applyNumberFormat="1">
      <alignment horizontal="center" readingOrder="0" shrinkToFit="0" wrapText="1"/>
    </xf>
    <xf borderId="11" fillId="31" fontId="49" numFmtId="3" xfId="0" applyAlignment="1" applyBorder="1" applyFont="1" applyNumberFormat="1">
      <alignment horizontal="center" shrinkToFit="0" wrapText="1"/>
    </xf>
    <xf borderId="9" fillId="19" fontId="50" numFmtId="0" xfId="0" applyAlignment="1" applyBorder="1" applyFont="1">
      <alignment horizontal="right"/>
    </xf>
    <xf borderId="8" fillId="19" fontId="13" numFmtId="0" xfId="0" applyAlignment="1" applyBorder="1" applyFont="1">
      <alignment vertical="bottom"/>
    </xf>
    <xf borderId="8" fillId="19" fontId="19" numFmtId="3" xfId="0" applyAlignment="1" applyBorder="1" applyFont="1" applyNumberFormat="1">
      <alignment horizontal="center" shrinkToFit="0" wrapText="1"/>
    </xf>
    <xf borderId="9" fillId="19" fontId="13" numFmtId="0" xfId="0" applyAlignment="1" applyBorder="1" applyFont="1">
      <alignment vertical="bottom"/>
    </xf>
    <xf borderId="13" fillId="19" fontId="19" numFmtId="3" xfId="0" applyAlignment="1" applyBorder="1" applyFont="1" applyNumberFormat="1">
      <alignment horizontal="center" shrinkToFit="0" wrapText="1"/>
    </xf>
    <xf borderId="14" fillId="19" fontId="19" numFmtId="3" xfId="0" applyAlignment="1" applyBorder="1" applyFont="1" applyNumberFormat="1">
      <alignment horizontal="center" shrinkToFit="0" wrapText="1"/>
    </xf>
    <xf borderId="8" fillId="19" fontId="19" numFmtId="167" xfId="0" applyAlignment="1" applyBorder="1" applyFont="1" applyNumberFormat="1">
      <alignment horizontal="center" shrinkToFit="0" wrapText="1"/>
    </xf>
    <xf borderId="11" fillId="30" fontId="48" numFmtId="3" xfId="0" applyAlignment="1" applyBorder="1" applyFont="1" applyNumberFormat="1">
      <alignment horizontal="center" shrinkToFit="0" wrapText="1"/>
    </xf>
    <xf borderId="11" fillId="31" fontId="41" numFmtId="3" xfId="0" applyAlignment="1" applyBorder="1" applyFont="1" applyNumberFormat="1">
      <alignment horizontal="center" shrinkToFit="0" wrapText="1"/>
    </xf>
    <xf borderId="12" fillId="19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8" fillId="28" fontId="13" numFmtId="3" xfId="0" applyBorder="1" applyFont="1" applyNumberFormat="1"/>
    <xf borderId="8" fillId="29" fontId="13" numFmtId="3" xfId="0" applyBorder="1" applyFont="1" applyNumberFormat="1"/>
    <xf borderId="0" fillId="16" fontId="13" numFmtId="0" xfId="0" applyFont="1"/>
    <xf borderId="8" fillId="5" fontId="6" numFmtId="0" xfId="0" applyAlignment="1" applyBorder="1" applyFont="1">
      <alignment horizontal="center" shrinkToFit="0" wrapText="1"/>
    </xf>
    <xf borderId="8" fillId="17" fontId="6" numFmtId="0" xfId="0" applyAlignment="1" applyBorder="1" applyFont="1">
      <alignment horizontal="center" shrinkToFit="0" wrapText="1"/>
    </xf>
    <xf borderId="9" fillId="19" fontId="50" numFmtId="0" xfId="0" applyAlignment="1" applyBorder="1" applyFont="1">
      <alignment horizontal="right" readingOrder="0"/>
    </xf>
    <xf borderId="5" fillId="16" fontId="34" numFmtId="0" xfId="0" applyAlignment="1" applyBorder="1" applyFont="1">
      <alignment horizontal="center" readingOrder="0" shrinkToFit="0" wrapText="1"/>
    </xf>
    <xf borderId="8" fillId="17" fontId="6" numFmtId="0" xfId="0" applyAlignment="1" applyBorder="1" applyFont="1">
      <alignment horizontal="center" readingOrder="0" shrinkToFit="0" wrapText="1"/>
    </xf>
    <xf borderId="8" fillId="17" fontId="19" numFmtId="0" xfId="0" applyAlignment="1" applyBorder="1" applyFont="1">
      <alignment readingOrder="0" shrinkToFit="0" wrapText="1"/>
    </xf>
    <xf borderId="8" fillId="5" fontId="19" numFmtId="0" xfId="0" applyAlignment="1" applyBorder="1" applyFont="1">
      <alignment readingOrder="0" shrinkToFit="0" wrapText="1"/>
    </xf>
    <xf borderId="8" fillId="5" fontId="44" numFmtId="168" xfId="0" applyAlignment="1" applyBorder="1" applyFont="1" applyNumberFormat="1">
      <alignment horizontal="center" readingOrder="0" shrinkToFit="0" wrapText="1"/>
    </xf>
    <xf borderId="8" fillId="17" fontId="7" numFmtId="0" xfId="0" applyAlignment="1" applyBorder="1" applyFont="1">
      <alignment horizontal="center" readingOrder="0" shrinkToFit="0" wrapText="1"/>
    </xf>
    <xf borderId="9" fillId="19" fontId="22" numFmtId="0" xfId="0" applyAlignment="1" applyBorder="1" applyFont="1">
      <alignment horizontal="right" readingOrder="0"/>
    </xf>
    <xf borderId="8" fillId="5" fontId="7" numFmtId="0" xfId="0" applyAlignment="1" applyBorder="1" applyFont="1">
      <alignment horizontal="center" readingOrder="0" shrinkToFit="0" wrapText="1"/>
    </xf>
    <xf borderId="11" fillId="8" fontId="41" numFmtId="3" xfId="0" applyAlignment="1" applyBorder="1" applyFont="1" applyNumberFormat="1">
      <alignment horizontal="center" readingOrder="0" shrinkToFit="0" wrapText="1"/>
    </xf>
    <xf borderId="0" fillId="19" fontId="19" numFmtId="3" xfId="0" applyAlignment="1" applyFont="1" applyNumberFormat="1">
      <alignment horizontal="center" shrinkToFit="0" wrapText="1"/>
    </xf>
    <xf borderId="0" fillId="19" fontId="13" numFmtId="0" xfId="0" applyAlignment="1" applyFont="1">
      <alignment vertical="bottom"/>
    </xf>
    <xf borderId="15" fillId="14" fontId="51" numFmtId="0" xfId="0" applyAlignment="1" applyBorder="1" applyFont="1">
      <alignment horizontal="right" shrinkToFit="0" vertical="center" wrapText="0"/>
    </xf>
    <xf borderId="16" fillId="0" fontId="24" numFmtId="0" xfId="0" applyBorder="1" applyFont="1"/>
    <xf borderId="17" fillId="0" fontId="24" numFmtId="0" xfId="0" applyBorder="1" applyFont="1"/>
    <xf borderId="18" fillId="14" fontId="13" numFmtId="0" xfId="0" applyAlignment="1" applyBorder="1" applyFont="1">
      <alignment shrinkToFit="0" vertical="bottom" wrapText="0"/>
    </xf>
    <xf borderId="18" fillId="14" fontId="52" numFmtId="3" xfId="0" applyAlignment="1" applyBorder="1" applyFont="1" applyNumberFormat="1">
      <alignment horizontal="center" shrinkToFit="0" vertical="center" wrapText="1"/>
    </xf>
    <xf borderId="18" fillId="14" fontId="53" numFmtId="3" xfId="0" applyAlignment="1" applyBorder="1" applyFont="1" applyNumberFormat="1">
      <alignment horizontal="center" shrinkToFit="0" vertical="center" wrapText="1"/>
    </xf>
    <xf borderId="18" fillId="14" fontId="53" numFmtId="167" xfId="0" applyAlignment="1" applyBorder="1" applyFont="1" applyNumberFormat="1">
      <alignment horizontal="center" shrinkToFit="0" vertical="center" wrapText="1"/>
    </xf>
    <xf borderId="8" fillId="17" fontId="19" numFmtId="0" xfId="0" applyAlignment="1" applyBorder="1" applyFont="1">
      <alignment shrinkToFit="0" wrapText="1"/>
    </xf>
    <xf borderId="8" fillId="17" fontId="7" numFmtId="0" xfId="0" applyAlignment="1" applyBorder="1" applyFont="1">
      <alignment horizontal="center" shrinkToFit="0" wrapText="1"/>
    </xf>
    <xf borderId="8" fillId="18" fontId="29" numFmtId="3" xfId="0" applyAlignment="1" applyBorder="1" applyFont="1" applyNumberFormat="1">
      <alignment horizontal="center" shrinkToFit="0" wrapText="1"/>
    </xf>
    <xf borderId="8" fillId="30" fontId="40" numFmtId="3" xfId="0" applyAlignment="1" applyBorder="1" applyFont="1" applyNumberFormat="1">
      <alignment horizontal="center" shrinkToFit="0" wrapText="1"/>
    </xf>
    <xf borderId="8" fillId="8" fontId="46" numFmtId="3" xfId="0" applyAlignment="1" applyBorder="1" applyFont="1" applyNumberFormat="1">
      <alignment horizontal="center" shrinkToFit="0" wrapText="1"/>
    </xf>
    <xf borderId="8" fillId="31" fontId="46" numFmtId="3" xfId="0" applyAlignment="1" applyBorder="1" applyFont="1" applyNumberFormat="1">
      <alignment horizontal="center" shrinkToFit="0" wrapText="1"/>
    </xf>
    <xf borderId="8" fillId="5" fontId="19" numFmtId="0" xfId="0" applyAlignment="1" applyBorder="1" applyFont="1">
      <alignment shrinkToFit="0" wrapText="1"/>
    </xf>
    <xf borderId="8" fillId="5" fontId="7" numFmtId="0" xfId="0" applyAlignment="1" applyBorder="1" applyFont="1">
      <alignment horizontal="center" shrinkToFit="0" wrapText="1"/>
    </xf>
    <xf borderId="9" fillId="17" fontId="27" numFmtId="0" xfId="0" applyAlignment="1" applyBorder="1" applyFont="1">
      <alignment horizontal="center" readingOrder="0" shrinkToFit="0" vertical="center" wrapText="1"/>
    </xf>
    <xf borderId="9" fillId="19" fontId="26" numFmtId="0" xfId="0" applyAlignment="1" applyBorder="1" applyFont="1">
      <alignment horizontal="right" readingOrder="0" shrinkToFit="0" vertical="center" wrapText="0"/>
    </xf>
    <xf borderId="6" fillId="16" fontId="34" numFmtId="0" xfId="0" applyAlignment="1" applyBorder="1" applyFont="1">
      <alignment horizontal="center" readingOrder="0" shrinkToFit="0" wrapText="1"/>
    </xf>
    <xf borderId="19" fillId="14" fontId="35" numFmtId="0" xfId="0" applyAlignment="1" applyBorder="1" applyFont="1">
      <alignment horizontal="center" shrinkToFit="0" wrapText="1"/>
    </xf>
    <xf borderId="20" fillId="21" fontId="35" numFmtId="0" xfId="0" applyAlignment="1" applyBorder="1" applyFont="1">
      <alignment horizontal="center" shrinkToFit="0" wrapText="1"/>
    </xf>
    <xf borderId="21" fillId="0" fontId="24" numFmtId="0" xfId="0" applyBorder="1" applyFont="1"/>
    <xf borderId="20" fillId="22" fontId="35" numFmtId="0" xfId="0" applyAlignment="1" applyBorder="1" applyFont="1">
      <alignment horizontal="center" shrinkToFit="0" wrapText="1"/>
    </xf>
    <xf borderId="20" fillId="23" fontId="35" numFmtId="0" xfId="0" applyAlignment="1" applyBorder="1" applyFont="1">
      <alignment horizontal="center" shrinkToFit="0" wrapText="1"/>
    </xf>
    <xf borderId="20" fillId="24" fontId="35" numFmtId="0" xfId="0" applyAlignment="1" applyBorder="1" applyFont="1">
      <alignment horizontal="center" shrinkToFit="0" wrapText="1"/>
    </xf>
    <xf borderId="8" fillId="17" fontId="13" numFmtId="3" xfId="0" applyBorder="1" applyFont="1" applyNumberFormat="1"/>
    <xf borderId="8" fillId="5" fontId="6" numFmtId="0" xfId="0" applyAlignment="1" applyBorder="1" applyFont="1">
      <alignment horizontal="center" readingOrder="0" shrinkToFit="0" wrapText="1"/>
    </xf>
    <xf borderId="8" fillId="5" fontId="13" numFmtId="3" xfId="0" applyBorder="1" applyFont="1" applyNumberFormat="1"/>
    <xf borderId="8" fillId="18" fontId="54" numFmtId="3" xfId="0" applyAlignment="1" applyBorder="1" applyFont="1" applyNumberFormat="1">
      <alignment horizontal="center" readingOrder="0" shrinkToFit="0" wrapText="1"/>
    </xf>
    <xf borderId="9" fillId="17" fontId="7" numFmtId="0" xfId="0" applyAlignment="1" applyBorder="1" applyFont="1">
      <alignment horizontal="center" shrinkToFit="0" wrapText="1"/>
    </xf>
    <xf borderId="9" fillId="17" fontId="19" numFmtId="0" xfId="0" applyAlignment="1" applyBorder="1" applyFont="1">
      <alignment readingOrder="0" shrinkToFit="0" wrapText="1"/>
    </xf>
    <xf borderId="9" fillId="17" fontId="6" numFmtId="0" xfId="0" applyAlignment="1" applyBorder="1" applyFont="1">
      <alignment horizontal="center" readingOrder="0" shrinkToFit="0" wrapText="1"/>
    </xf>
    <xf borderId="9" fillId="17" fontId="7" numFmtId="0" xfId="0" applyAlignment="1" applyBorder="1" applyFont="1">
      <alignment horizontal="center" readingOrder="0" shrinkToFit="0" wrapText="1"/>
    </xf>
    <xf borderId="8" fillId="19" fontId="13" numFmtId="3" xfId="0" applyBorder="1" applyFont="1" applyNumberFormat="1"/>
    <xf borderId="9" fillId="19" fontId="13" numFmtId="3" xfId="0" applyBorder="1" applyFont="1" applyNumberFormat="1"/>
    <xf borderId="9" fillId="19" fontId="18" numFmtId="0" xfId="0" applyAlignment="1" applyBorder="1" applyFont="1">
      <alignment horizontal="right" readingOrder="0"/>
    </xf>
    <xf borderId="8" fillId="17" fontId="7" numFmtId="0" xfId="0" applyAlignment="1" applyBorder="1" applyFont="1">
      <alignment shrinkToFit="0" wrapText="1"/>
    </xf>
    <xf borderId="9" fillId="17" fontId="19" numFmtId="0" xfId="0" applyAlignment="1" applyBorder="1" applyFont="1">
      <alignment shrinkToFit="0" wrapText="1"/>
    </xf>
    <xf borderId="9" fillId="17" fontId="44" numFmtId="168" xfId="0" applyAlignment="1" applyBorder="1" applyFont="1" applyNumberFormat="1">
      <alignment horizontal="center" shrinkToFit="0" wrapText="1"/>
    </xf>
    <xf borderId="12" fillId="19" fontId="13" numFmtId="3" xfId="0" applyBorder="1" applyFont="1" applyNumberFormat="1"/>
    <xf borderId="6" fillId="16" fontId="13" numFmtId="0" xfId="0" applyBorder="1" applyFont="1"/>
    <xf borderId="7" fillId="16" fontId="13" numFmtId="0" xfId="0" applyBorder="1" applyFont="1"/>
    <xf borderId="9" fillId="19" fontId="28" numFmtId="0" xfId="0" applyAlignment="1" applyBorder="1" applyFont="1">
      <alignment horizontal="right" readingOrder="0" shrinkToFit="0" vertical="center" wrapText="0"/>
    </xf>
    <xf borderId="12" fillId="19" fontId="19" numFmtId="3" xfId="0" applyAlignment="1" applyBorder="1" applyFont="1" applyNumberFormat="1">
      <alignment horizontal="center" shrinkToFit="0" wrapText="1"/>
    </xf>
    <xf borderId="0" fillId="19" fontId="13" numFmtId="3" xfId="0" applyFont="1" applyNumberFormat="1"/>
    <xf borderId="15" fillId="14" fontId="51" numFmtId="0" xfId="0" applyAlignment="1" applyBorder="1" applyFont="1">
      <alignment horizontal="right" readingOrder="0" shrinkToFit="0" vertical="center" wrapText="0"/>
    </xf>
    <xf borderId="5" fillId="14" fontId="31" numFmtId="0" xfId="0" applyAlignment="1" applyBorder="1" applyFont="1">
      <alignment horizontal="center" readingOrder="0" shrinkToFit="0" vertical="center" wrapText="1"/>
    </xf>
    <xf borderId="5" fillId="19" fontId="32" numFmtId="0" xfId="0" applyAlignment="1" applyBorder="1" applyFont="1">
      <alignment horizontal="center" shrinkToFit="0" vertical="center" wrapText="1"/>
    </xf>
    <xf borderId="8" fillId="17" fontId="19" numFmtId="0" xfId="0" applyAlignment="1" applyBorder="1" applyFont="1">
      <alignment shrinkToFit="0" wrapText="1"/>
    </xf>
    <xf borderId="8" fillId="17" fontId="7" numFmtId="0" xfId="0" applyAlignment="1" applyBorder="1" applyFont="1">
      <alignment horizontal="center" shrinkToFit="0" wrapText="1"/>
    </xf>
    <xf borderId="8" fillId="5" fontId="19" numFmtId="0" xfId="0" applyAlignment="1" applyBorder="1" applyFont="1">
      <alignment shrinkToFit="0" wrapText="1"/>
    </xf>
    <xf borderId="8" fillId="5" fontId="7" numFmtId="0" xfId="0" applyAlignment="1" applyBorder="1" applyFont="1">
      <alignment horizontal="center" shrinkToFit="0" wrapText="1"/>
    </xf>
    <xf borderId="11" fillId="31" fontId="46" numFmtId="3" xfId="0" applyAlignment="1" applyBorder="1" applyFont="1" applyNumberFormat="1">
      <alignment horizontal="center" readingOrder="0" shrinkToFit="0" vertical="center" wrapText="1"/>
    </xf>
    <xf borderId="0" fillId="5" fontId="7" numFmtId="0" xfId="0" applyAlignment="1" applyFont="1">
      <alignment horizontal="center" shrinkToFit="0" wrapText="1"/>
    </xf>
    <xf borderId="0" fillId="5" fontId="19" numFmtId="0" xfId="0" applyAlignment="1" applyFont="1">
      <alignment shrinkToFit="0" wrapText="1"/>
    </xf>
    <xf borderId="0" fillId="17" fontId="7" numFmtId="0" xfId="0" applyAlignment="1" applyFont="1">
      <alignment horizontal="center" shrinkToFit="0" wrapText="1"/>
    </xf>
    <xf borderId="0" fillId="17" fontId="44" numFmtId="168" xfId="0" applyAlignment="1" applyFont="1" applyNumberFormat="1">
      <alignment horizontal="center" shrinkToFit="0" wrapText="1"/>
    </xf>
    <xf borderId="0" fillId="0" fontId="13" numFmtId="0" xfId="0" applyAlignment="1" applyFont="1">
      <alignment vertical="bottom"/>
    </xf>
    <xf borderId="0" fillId="0" fontId="13" numFmtId="3" xfId="0" applyAlignment="1" applyFont="1" applyNumberFormat="1">
      <alignment vertical="bottom"/>
    </xf>
    <xf borderId="0" fillId="0" fontId="13" numFmtId="167" xfId="0" applyAlignment="1" applyFont="1" applyNumberFormat="1">
      <alignment vertical="bottom"/>
    </xf>
    <xf borderId="0" fillId="17" fontId="13" numFmtId="0" xfId="0" applyFont="1"/>
    <xf borderId="11" fillId="8" fontId="41" numFmtId="3" xfId="0" applyAlignment="1" applyBorder="1" applyFont="1" applyNumberFormat="1">
      <alignment horizontal="center" shrinkToFit="0" wrapText="1"/>
    </xf>
    <xf borderId="11" fillId="18" fontId="54" numFmtId="3" xfId="0" applyAlignment="1" applyBorder="1" applyFont="1" applyNumberFormat="1">
      <alignment horizontal="center" readingOrder="0" shrinkToFit="0" wrapText="1"/>
    </xf>
    <xf borderId="9" fillId="19" fontId="19" numFmtId="3" xfId="0" applyAlignment="1" applyBorder="1" applyFont="1" applyNumberFormat="1">
      <alignment horizontal="center" shrinkToFit="0" wrapText="1"/>
    </xf>
    <xf borderId="8" fillId="18" fontId="55" numFmtId="3" xfId="0" applyAlignment="1" applyBorder="1" applyFont="1" applyNumberFormat="1">
      <alignment horizontal="center" readingOrder="0"/>
    </xf>
    <xf borderId="9" fillId="19" fontId="43" numFmtId="3" xfId="0" applyAlignment="1" applyBorder="1" applyFont="1" applyNumberFormat="1">
      <alignment horizontal="center" shrinkToFit="0" vertical="center" wrapText="1"/>
    </xf>
    <xf borderId="8" fillId="5" fontId="55" numFmtId="3" xfId="0" applyAlignment="1" applyBorder="1" applyFont="1" applyNumberFormat="1">
      <alignment horizontal="center"/>
    </xf>
    <xf borderId="9" fillId="5" fontId="7" numFmtId="0" xfId="0" applyAlignment="1" applyBorder="1" applyFont="1">
      <alignment horizontal="center" shrinkToFit="0" wrapText="1"/>
    </xf>
    <xf borderId="9" fillId="5" fontId="19" numFmtId="0" xfId="0" applyAlignment="1" applyBorder="1" applyFont="1">
      <alignment shrinkToFit="0" wrapText="1"/>
    </xf>
    <xf borderId="8" fillId="17" fontId="13" numFmtId="0" xfId="0" applyBorder="1" applyFont="1"/>
    <xf borderId="9" fillId="18" fontId="39" numFmtId="3" xfId="0" applyAlignment="1" applyBorder="1" applyFont="1" applyNumberFormat="1">
      <alignment horizontal="center" readingOrder="0" shrinkToFit="0" wrapText="1"/>
    </xf>
    <xf borderId="12" fillId="8" fontId="41" numFmtId="3" xfId="0" applyAlignment="1" applyBorder="1" applyFont="1" applyNumberFormat="1">
      <alignment horizontal="center" readingOrder="0" shrinkToFit="0" wrapText="1"/>
    </xf>
    <xf borderId="9" fillId="19" fontId="56" numFmtId="0" xfId="0" applyAlignment="1" applyBorder="1" applyFont="1">
      <alignment horizontal="center" readingOrder="0" vertical="bottom"/>
    </xf>
    <xf borderId="14" fillId="0" fontId="24" numFmtId="0" xfId="0" applyBorder="1" applyFont="1"/>
    <xf borderId="8" fillId="30" fontId="48" numFmtId="3" xfId="0" applyAlignment="1" applyBorder="1" applyFont="1" applyNumberFormat="1">
      <alignment horizontal="center" readingOrder="0" shrinkToFit="0" wrapText="1"/>
    </xf>
    <xf borderId="8" fillId="31" fontId="41" numFmtId="3" xfId="0" applyAlignment="1" applyBorder="1" applyFont="1" applyNumberFormat="1">
      <alignment horizontal="center" readingOrder="0" shrinkToFit="0" wrapText="1"/>
    </xf>
    <xf borderId="9" fillId="19" fontId="56" numFmtId="0" xfId="0" applyAlignment="1" applyBorder="1" applyFont="1">
      <alignment vertical="bottom"/>
    </xf>
    <xf borderId="8" fillId="5" fontId="43" numFmtId="0" xfId="0" applyAlignment="1" applyBorder="1" applyFont="1">
      <alignment shrinkToFit="0" wrapText="1"/>
    </xf>
    <xf borderId="8" fillId="17" fontId="43" numFmtId="0" xfId="0" applyAlignment="1" applyBorder="1" applyFont="1">
      <alignment shrinkToFit="0" wrapText="1"/>
    </xf>
    <xf borderId="9" fillId="19" fontId="18" numFmtId="0" xfId="0" applyAlignment="1" applyBorder="1" applyFont="1">
      <alignment horizontal="right"/>
    </xf>
    <xf borderId="5" fillId="16" fontId="34" numFmtId="0" xfId="0" applyAlignment="1" applyBorder="1" applyFont="1">
      <alignment horizontal="center" shrinkToFit="0" vertical="bottom" wrapText="1"/>
    </xf>
    <xf borderId="8" fillId="14" fontId="35" numFmtId="0" xfId="0" applyAlignment="1" applyBorder="1" applyFont="1">
      <alignment horizontal="center" shrinkToFit="0" vertical="bottom" wrapText="1"/>
    </xf>
    <xf borderId="9" fillId="21" fontId="35" numFmtId="0" xfId="0" applyAlignment="1" applyBorder="1" applyFont="1">
      <alignment horizontal="center" shrinkToFit="0" vertical="bottom" wrapText="1"/>
    </xf>
    <xf borderId="9" fillId="22" fontId="35" numFmtId="0" xfId="0" applyAlignment="1" applyBorder="1" applyFont="1">
      <alignment horizontal="center" shrinkToFit="0" vertical="bottom" wrapText="1"/>
    </xf>
    <xf borderId="9" fillId="23" fontId="35" numFmtId="0" xfId="0" applyAlignment="1" applyBorder="1" applyFont="1">
      <alignment horizontal="center" shrinkToFit="0" vertical="bottom" wrapText="1"/>
    </xf>
    <xf borderId="9" fillId="24" fontId="35" numFmtId="0" xfId="0" applyAlignment="1" applyBorder="1" applyFont="1">
      <alignment horizontal="center" shrinkToFit="0" vertical="bottom" wrapText="1"/>
    </xf>
    <xf borderId="8" fillId="14" fontId="36" numFmtId="0" xfId="0" applyAlignment="1" applyBorder="1" applyFont="1">
      <alignment horizontal="center" shrinkToFit="0" vertical="bottom" wrapText="1"/>
    </xf>
    <xf borderId="8" fillId="25" fontId="36" numFmtId="0" xfId="0" applyAlignment="1" applyBorder="1" applyFont="1">
      <alignment horizontal="center" shrinkToFit="0" vertical="bottom" wrapText="1"/>
    </xf>
    <xf borderId="8" fillId="26" fontId="36" numFmtId="0" xfId="0" applyAlignment="1" applyBorder="1" applyFont="1">
      <alignment horizontal="center" shrinkToFit="0" vertical="bottom" wrapText="1"/>
    </xf>
    <xf borderId="8" fillId="23" fontId="36" numFmtId="0" xfId="0" applyAlignment="1" applyBorder="1" applyFont="1">
      <alignment horizontal="center" shrinkToFit="0" vertical="bottom" wrapText="1"/>
    </xf>
    <xf borderId="8" fillId="27" fontId="36" numFmtId="0" xfId="0" applyAlignment="1" applyBorder="1" applyFont="1">
      <alignment horizontal="center" shrinkToFit="0" vertical="bottom" wrapText="1"/>
    </xf>
    <xf borderId="8" fillId="5" fontId="7" numFmtId="0" xfId="0" applyAlignment="1" applyBorder="1" applyFont="1">
      <alignment horizontal="center" shrinkToFit="0" vertical="bottom" wrapText="1"/>
    </xf>
    <xf borderId="8" fillId="5" fontId="17" numFmtId="0" xfId="0" applyAlignment="1" applyBorder="1" applyFont="1">
      <alignment shrinkToFit="0" vertical="bottom" wrapText="1"/>
    </xf>
    <xf borderId="8" fillId="5" fontId="12" numFmtId="0" xfId="0" applyAlignment="1" applyBorder="1" applyFont="1">
      <alignment horizontal="center" shrinkToFit="0" vertical="bottom" wrapText="1"/>
    </xf>
    <xf borderId="8" fillId="28" fontId="13" numFmtId="3" xfId="0" applyAlignment="1" applyBorder="1" applyFont="1" applyNumberFormat="1">
      <alignment vertical="bottom"/>
    </xf>
    <xf borderId="8" fillId="29" fontId="13" numFmtId="3" xfId="0" applyAlignment="1" applyBorder="1" applyFont="1" applyNumberFormat="1">
      <alignment vertical="bottom"/>
    </xf>
    <xf borderId="8" fillId="18" fontId="45" numFmtId="3" xfId="0" applyAlignment="1" applyBorder="1" applyFont="1" applyNumberFormat="1">
      <alignment horizontal="center" readingOrder="0" shrinkToFit="0" vertical="bottom" wrapText="1"/>
    </xf>
    <xf borderId="8" fillId="30" fontId="57" numFmtId="3" xfId="0" applyAlignment="1" applyBorder="1" applyFont="1" applyNumberFormat="1">
      <alignment horizontal="center" shrinkToFit="0" vertical="bottom" wrapText="1"/>
    </xf>
    <xf borderId="8" fillId="8" fontId="58" numFmtId="3" xfId="0" applyAlignment="1" applyBorder="1" applyFont="1" applyNumberFormat="1">
      <alignment horizontal="center" readingOrder="0" shrinkToFit="0" vertical="bottom" wrapText="1"/>
    </xf>
    <xf borderId="8" fillId="31" fontId="58" numFmtId="3" xfId="0" applyAlignment="1" applyBorder="1" applyFont="1" applyNumberFormat="1">
      <alignment horizontal="center" shrinkToFit="0" vertical="bottom" wrapText="1"/>
    </xf>
    <xf borderId="8" fillId="17" fontId="17" numFmtId="3" xfId="0" applyAlignment="1" applyBorder="1" applyFont="1" applyNumberFormat="1">
      <alignment horizontal="center" shrinkToFit="0" vertical="bottom" wrapText="1"/>
    </xf>
    <xf borderId="8" fillId="17" fontId="17" numFmtId="167" xfId="0" applyAlignment="1" applyBorder="1" applyFont="1" applyNumberFormat="1">
      <alignment horizontal="center" shrinkToFit="0" vertical="bottom" wrapText="1"/>
    </xf>
    <xf borderId="8" fillId="5" fontId="13" numFmtId="0" xfId="0" applyAlignment="1" applyBorder="1" applyFont="1">
      <alignment vertical="bottom"/>
    </xf>
    <xf borderId="8" fillId="17" fontId="7" numFmtId="0" xfId="0" applyAlignment="1" applyBorder="1" applyFont="1">
      <alignment horizontal="center" shrinkToFit="0" vertical="bottom" wrapText="1"/>
    </xf>
    <xf borderId="8" fillId="5" fontId="17" numFmtId="0" xfId="0" applyAlignment="1" applyBorder="1" applyFont="1">
      <alignment readingOrder="0" shrinkToFit="0" vertical="bottom" wrapText="1"/>
    </xf>
    <xf borderId="8" fillId="17" fontId="12" numFmtId="0" xfId="0" applyAlignment="1" applyBorder="1" applyFont="1">
      <alignment horizontal="center" shrinkToFit="0" vertical="bottom" wrapText="1"/>
    </xf>
    <xf borderId="11" fillId="30" fontId="57" numFmtId="3" xfId="0" applyAlignment="1" applyBorder="1" applyFont="1" applyNumberFormat="1">
      <alignment horizontal="center" shrinkToFit="0" vertical="bottom" wrapText="1"/>
    </xf>
    <xf borderId="8" fillId="17" fontId="13" numFmtId="0" xfId="0" applyAlignment="1" applyBorder="1" applyFont="1">
      <alignment vertical="bottom"/>
    </xf>
    <xf borderId="9" fillId="19" fontId="17" numFmtId="0" xfId="0" applyAlignment="1" applyBorder="1" applyFont="1">
      <alignment horizontal="right" vertical="bottom"/>
    </xf>
    <xf borderId="8" fillId="19" fontId="17" numFmtId="3" xfId="0" applyAlignment="1" applyBorder="1" applyFont="1" applyNumberFormat="1">
      <alignment horizontal="center" shrinkToFit="0" vertical="bottom" wrapText="1"/>
    </xf>
    <xf borderId="13" fillId="19" fontId="17" numFmtId="3" xfId="0" applyAlignment="1" applyBorder="1" applyFont="1" applyNumberFormat="1">
      <alignment horizontal="center" shrinkToFit="0" vertical="bottom" wrapText="1"/>
    </xf>
    <xf borderId="14" fillId="19" fontId="17" numFmtId="3" xfId="0" applyAlignment="1" applyBorder="1" applyFont="1" applyNumberFormat="1">
      <alignment horizontal="center" shrinkToFit="0" vertical="bottom" wrapText="1"/>
    </xf>
    <xf borderId="8" fillId="19" fontId="17" numFmtId="167" xfId="0" applyAlignment="1" applyBorder="1" applyFont="1" applyNumberFormat="1">
      <alignment horizontal="center" shrinkToFit="0" vertical="bottom" wrapText="1"/>
    </xf>
    <xf borderId="8" fillId="5" fontId="27" numFmtId="0" xfId="0" applyAlignment="1" applyBorder="1" applyFont="1">
      <alignment horizontal="left" readingOrder="0" shrinkToFit="0" vertical="center" wrapText="1"/>
    </xf>
    <xf borderId="8" fillId="17" fontId="27" numFmtId="0" xfId="0" applyAlignment="1" applyBorder="1" applyFont="1">
      <alignment horizontal="left" readingOrder="0" shrinkToFit="0" vertical="center" wrapText="1"/>
    </xf>
    <xf borderId="8" fillId="5" fontId="59" numFmtId="168" xfId="0" applyAlignment="1" applyBorder="1" applyFont="1" applyNumberFormat="1">
      <alignment horizontal="center" readingOrder="0" shrinkToFit="0" vertical="center" wrapText="1"/>
    </xf>
    <xf borderId="8" fillId="17" fontId="59" numFmtId="168" xfId="0" applyAlignment="1" applyBorder="1" applyFont="1" applyNumberFormat="1">
      <alignment horizontal="center" readingOrder="0" shrinkToFit="0" vertical="center" wrapText="1"/>
    </xf>
    <xf borderId="8" fillId="18" fontId="45" numFmtId="3" xfId="0" applyAlignment="1" applyBorder="1" applyFont="1" applyNumberFormat="1">
      <alignment horizontal="center" readingOrder="0" shrinkToFit="0" vertical="center" wrapText="1"/>
    </xf>
    <xf borderId="9" fillId="17" fontId="28" numFmtId="0" xfId="0" applyAlignment="1" applyBorder="1" applyFont="1">
      <alignment horizontal="left" readingOrder="0" shrinkToFit="0" vertical="center" wrapText="1"/>
    </xf>
    <xf borderId="9" fillId="17" fontId="37" numFmtId="168" xfId="0" applyAlignment="1" applyBorder="1" applyFont="1" applyNumberFormat="1">
      <alignment horizontal="center" readingOrder="0" shrinkToFit="0" vertical="center" wrapText="1"/>
    </xf>
    <xf borderId="8" fillId="8" fontId="58" numFmtId="3" xfId="0" applyAlignment="1" applyBorder="1" applyFont="1" applyNumberFormat="1">
      <alignment horizontal="center" readingOrder="0" shrinkToFit="0" vertical="center" wrapText="1"/>
    </xf>
    <xf borderId="8" fillId="5" fontId="7" numFmtId="0" xfId="0" applyAlignment="1" applyBorder="1" applyFont="1">
      <alignment shrinkToFit="0" wrapText="1"/>
    </xf>
    <xf borderId="8" fillId="17" fontId="13" numFmtId="167" xfId="0" applyBorder="1" applyFont="1" applyNumberFormat="1"/>
    <xf borderId="9" fillId="19" fontId="19" numFmtId="0" xfId="0" applyAlignment="1" applyBorder="1" applyFont="1">
      <alignment horizontal="right" readingOrder="0"/>
    </xf>
    <xf borderId="8" fillId="5" fontId="13" numFmtId="0" xfId="0" applyBorder="1" applyFont="1"/>
    <xf borderId="8" fillId="17" fontId="60" numFmtId="0" xfId="0" applyAlignment="1" applyBorder="1" applyFont="1">
      <alignment horizontal="left" readingOrder="0" shrinkToFit="0" vertical="center" wrapText="1"/>
    </xf>
    <xf borderId="8" fillId="5" fontId="60" numFmtId="0" xfId="0" applyAlignment="1" applyBorder="1" applyFont="1">
      <alignment horizontal="left" readingOrder="0" shrinkToFit="0" vertical="center" wrapText="1"/>
    </xf>
    <xf borderId="8" fillId="19" fontId="13" numFmtId="167" xfId="0" applyBorder="1" applyFont="1" applyNumberFormat="1"/>
    <xf borderId="8" fillId="5" fontId="7" numFmtId="0" xfId="0" applyAlignment="1" applyBorder="1" applyFont="1">
      <alignment horizontal="center" readingOrder="0" shrinkToFit="0" vertical="bottom" wrapText="1"/>
    </xf>
    <xf borderId="8" fillId="5" fontId="12" numFmtId="0" xfId="0" applyAlignment="1" applyBorder="1" applyFont="1">
      <alignment horizontal="center" readingOrder="0" shrinkToFit="0" vertical="bottom" wrapText="1"/>
    </xf>
    <xf borderId="8" fillId="17" fontId="7" numFmtId="0" xfId="0" applyAlignment="1" applyBorder="1" applyFont="1">
      <alignment horizontal="center" readingOrder="0" shrinkToFit="0" vertical="bottom" wrapText="1"/>
    </xf>
    <xf borderId="8" fillId="17" fontId="12" numFmtId="0" xfId="0" applyAlignment="1" applyBorder="1" applyFont="1">
      <alignment horizontal="center" readingOrder="0" shrinkToFit="0" vertical="bottom" wrapText="1"/>
    </xf>
    <xf borderId="9" fillId="17" fontId="27" numFmtId="0" xfId="0" applyAlignment="1" applyBorder="1" applyFont="1">
      <alignment horizontal="center" shrinkToFit="0" vertical="center" wrapText="1"/>
    </xf>
    <xf borderId="9" fillId="17" fontId="7" numFmtId="0" xfId="0" applyAlignment="1" applyBorder="1" applyFont="1">
      <alignment horizontal="center" shrinkToFit="0" wrapText="1"/>
    </xf>
    <xf borderId="0" fillId="17" fontId="6" numFmtId="0" xfId="0" applyAlignment="1" applyFont="1">
      <alignment horizontal="center" shrinkToFit="0" wrapText="1"/>
    </xf>
    <xf borderId="9" fillId="18" fontId="39" numFmtId="3" xfId="0" applyAlignment="1" applyBorder="1" applyFont="1" applyNumberFormat="1">
      <alignment horizontal="center" shrinkToFit="0" wrapText="1"/>
    </xf>
    <xf borderId="12" fillId="8" fontId="41" numFmtId="3" xfId="0" applyAlignment="1" applyBorder="1" applyFont="1" applyNumberFormat="1">
      <alignment horizontal="center" shrinkToFit="0" wrapText="1"/>
    </xf>
    <xf borderId="0" fillId="5" fontId="19" numFmtId="0" xfId="0" applyAlignment="1" applyFont="1">
      <alignment readingOrder="0" shrinkToFit="0" wrapText="1"/>
    </xf>
    <xf borderId="0" fillId="17" fontId="7" numFmtId="0" xfId="0" applyAlignment="1" applyFont="1">
      <alignment horizontal="center" readingOrder="0" shrinkToFit="0" wrapText="1"/>
    </xf>
    <xf borderId="0" fillId="17" fontId="6" numFmtId="0" xfId="0" applyAlignment="1" applyFont="1">
      <alignment horizontal="center" readingOrder="0" shrinkToFit="0" wrapText="1"/>
    </xf>
    <xf borderId="11" fillId="30" fontId="40" numFmtId="3" xfId="0" applyAlignment="1" applyBorder="1" applyFont="1" applyNumberFormat="1">
      <alignment horizontal="center" shrinkToFit="0" vertical="center" wrapText="1"/>
    </xf>
    <xf borderId="0" fillId="19" fontId="43" numFmtId="3" xfId="0" applyAlignment="1" applyFont="1" applyNumberFormat="1">
      <alignment horizontal="center" shrinkToFit="0" vertical="center" wrapText="1"/>
    </xf>
    <xf borderId="12" fillId="19" fontId="13" numFmtId="0" xfId="0" applyAlignment="1" applyBorder="1" applyFont="1">
      <alignment shrinkToFit="0" vertical="bottom" wrapText="0"/>
    </xf>
    <xf borderId="13" fillId="19" fontId="43" numFmtId="3" xfId="0" applyAlignment="1" applyBorder="1" applyFont="1" applyNumberFormat="1">
      <alignment horizontal="center" readingOrder="0" shrinkToFit="0" vertical="center" wrapText="1"/>
    </xf>
    <xf borderId="0" fillId="14" fontId="13" numFmtId="0" xfId="0" applyFont="1"/>
    <xf borderId="11" fillId="29" fontId="13" numFmtId="3" xfId="0" applyBorder="1" applyFont="1" applyNumberFormat="1"/>
    <xf borderId="11" fillId="18" fontId="39" numFmtId="3" xfId="0" applyAlignment="1" applyBorder="1" applyFont="1" applyNumberFormat="1">
      <alignment horizontal="center" shrinkToFit="0" wrapText="1"/>
    </xf>
    <xf borderId="11" fillId="18" fontId="39" numFmtId="3" xfId="0" applyAlignment="1" applyBorder="1" applyFont="1" applyNumberFormat="1">
      <alignment horizontal="center" readingOrder="0" shrinkToFit="0" wrapText="1"/>
    </xf>
    <xf borderId="8" fillId="17" fontId="13" numFmtId="3" xfId="0" applyAlignment="1" applyBorder="1" applyFont="1" applyNumberFormat="1">
      <alignment horizontal="center"/>
    </xf>
    <xf borderId="9" fillId="5" fontId="44" numFmtId="168" xfId="0" applyAlignment="1" applyBorder="1" applyFont="1" applyNumberFormat="1">
      <alignment horizontal="center" readingOrder="0" shrinkToFit="0" wrapText="1"/>
    </xf>
    <xf borderId="0" fillId="17" fontId="19" numFmtId="0" xfId="0" applyAlignment="1" applyFont="1">
      <alignment shrinkToFit="0" wrapText="1"/>
    </xf>
    <xf borderId="9" fillId="8" fontId="41" numFmtId="3" xfId="0" applyAlignment="1" applyBorder="1" applyFont="1" applyNumberFormat="1">
      <alignment horizontal="center" shrinkToFit="0" wrapText="1"/>
    </xf>
    <xf borderId="9" fillId="19" fontId="56" numFmtId="0" xfId="0" applyAlignment="1" applyBorder="1" applyFont="1">
      <alignment horizontal="center" vertical="bottom"/>
    </xf>
    <xf borderId="22" fillId="8" fontId="41" numFmtId="3" xfId="0" applyAlignment="1" applyBorder="1" applyFont="1" applyNumberFormat="1">
      <alignment horizontal="center" shrinkToFit="0" wrapText="1"/>
    </xf>
    <xf borderId="22" fillId="8" fontId="41" numFmtId="3" xfId="0" applyAlignment="1" applyBorder="1" applyFont="1" applyNumberFormat="1">
      <alignment horizontal="center" readingOrder="0" shrinkToFit="0" wrapText="1"/>
    </xf>
    <xf borderId="0" fillId="16" fontId="13" numFmtId="0" xfId="0" applyAlignment="1" applyFont="1">
      <alignment vertical="bottom"/>
    </xf>
    <xf borderId="5" fillId="16" fontId="34" numFmtId="0" xfId="0" applyAlignment="1" applyBorder="1" applyFont="1">
      <alignment horizontal="center" readingOrder="0" shrinkToFit="0" vertical="bottom" wrapText="1"/>
    </xf>
    <xf borderId="11" fillId="8" fontId="58" numFmtId="3" xfId="0" applyAlignment="1" applyBorder="1" applyFont="1" applyNumberFormat="1">
      <alignment horizontal="center" readingOrder="0" shrinkToFit="0" vertical="bottom" wrapText="1"/>
    </xf>
    <xf borderId="11" fillId="31" fontId="58" numFmtId="3" xfId="0" applyAlignment="1" applyBorder="1" applyFont="1" applyNumberFormat="1">
      <alignment horizontal="center" shrinkToFit="0" vertical="bottom" wrapText="1"/>
    </xf>
    <xf borderId="9" fillId="19" fontId="60" numFmtId="0" xfId="0" applyAlignment="1" applyBorder="1" applyFont="1">
      <alignment horizontal="right" readingOrder="0" vertical="bottom"/>
    </xf>
    <xf borderId="0" fillId="19" fontId="17" numFmtId="3" xfId="0" applyAlignment="1" applyFont="1" applyNumberFormat="1">
      <alignment horizontal="center" shrinkToFit="0" vertical="bottom" wrapText="1"/>
    </xf>
    <xf borderId="5" fillId="14" fontId="61" numFmtId="0" xfId="0" applyAlignment="1" applyBorder="1" applyFont="1">
      <alignment horizontal="center" readingOrder="0" shrinkToFit="0" vertical="center" wrapText="1"/>
    </xf>
    <xf borderId="8" fillId="16" fontId="34" numFmtId="0" xfId="0" applyAlignment="1" applyBorder="1" applyFont="1">
      <alignment horizontal="center" shrinkToFit="0" vertical="center" wrapText="1"/>
    </xf>
    <xf borderId="8" fillId="17" fontId="17" numFmtId="0" xfId="0" applyAlignment="1" applyBorder="1" applyFont="1">
      <alignment horizontal="left" readingOrder="0" shrinkToFit="0" vertical="center" wrapText="1"/>
    </xf>
    <xf borderId="8" fillId="17" fontId="62" numFmtId="3" xfId="0" applyAlignment="1" applyBorder="1" applyFont="1" applyNumberFormat="1">
      <alignment horizontal="center" shrinkToFit="0" vertical="center" wrapText="1"/>
    </xf>
    <xf borderId="8" fillId="29" fontId="60" numFmtId="3" xfId="0" applyAlignment="1" applyBorder="1" applyFont="1" applyNumberFormat="1">
      <alignment horizontal="center" shrinkToFit="0" vertical="center" wrapText="1"/>
    </xf>
    <xf borderId="8" fillId="17" fontId="60" numFmtId="167" xfId="0" applyAlignment="1" applyBorder="1" applyFont="1" applyNumberFormat="1">
      <alignment horizontal="center" shrinkToFit="0" vertical="center" wrapText="1"/>
    </xf>
    <xf borderId="8" fillId="5" fontId="17" numFmtId="0" xfId="0" applyAlignment="1" applyBorder="1" applyFont="1">
      <alignment horizontal="left" readingOrder="0" shrinkToFit="0" vertical="center" wrapText="1"/>
    </xf>
    <xf borderId="8" fillId="5" fontId="62" numFmtId="3" xfId="0" applyAlignment="1" applyBorder="1" applyFont="1" applyNumberFormat="1">
      <alignment horizontal="center" shrinkToFit="0" vertical="center" wrapText="1"/>
    </xf>
    <xf borderId="8" fillId="5" fontId="60" numFmtId="167" xfId="0" applyAlignment="1" applyBorder="1" applyFont="1" applyNumberFormat="1">
      <alignment horizontal="center" shrinkToFit="0" vertical="center" wrapText="1"/>
    </xf>
    <xf borderId="0" fillId="17" fontId="17" numFmtId="0" xfId="0" applyAlignment="1" applyFont="1">
      <alignment horizontal="left" readingOrder="0" shrinkToFit="0" vertical="center" wrapText="1"/>
    </xf>
    <xf borderId="0" fillId="17" fontId="62" numFmtId="3" xfId="0" applyAlignment="1" applyFont="1" applyNumberFormat="1">
      <alignment horizontal="center" shrinkToFit="0" vertical="center" wrapText="1"/>
    </xf>
    <xf borderId="0" fillId="29" fontId="60" numFmtId="3" xfId="0" applyAlignment="1" applyFont="1" applyNumberFormat="1">
      <alignment horizontal="center" shrinkToFit="0" vertical="center" wrapText="1"/>
    </xf>
    <xf borderId="0" fillId="17" fontId="60" numFmtId="167" xfId="0" applyAlignment="1" applyFont="1" applyNumberFormat="1">
      <alignment horizontal="center" shrinkToFit="0" vertical="center" wrapText="1"/>
    </xf>
    <xf borderId="18" fillId="14" fontId="51" numFmtId="0" xfId="0" applyAlignment="1" applyBorder="1" applyFont="1">
      <alignment horizontal="center" shrinkToFit="0" vertical="center" wrapText="1"/>
    </xf>
    <xf borderId="18" fillId="14" fontId="63" numFmtId="3" xfId="0" applyAlignment="1" applyBorder="1" applyFont="1" applyNumberFormat="1">
      <alignment horizontal="center" shrinkToFit="0" vertical="center" wrapText="1"/>
    </xf>
    <xf borderId="0" fillId="0" fontId="4" numFmtId="10" xfId="0" applyFont="1" applyNumberFormat="1"/>
    <xf borderId="13" fillId="32" fontId="17" numFmtId="0" xfId="0" applyAlignment="1" applyBorder="1" applyFill="1" applyFont="1">
      <alignment horizontal="center" vertical="bottom"/>
    </xf>
    <xf borderId="13" fillId="32" fontId="17" numFmtId="164" xfId="0" applyAlignment="1" applyBorder="1" applyFont="1" applyNumberFormat="1">
      <alignment horizontal="center" vertical="bottom"/>
    </xf>
    <xf borderId="13" fillId="32" fontId="6" numFmtId="0" xfId="0" applyAlignment="1" applyBorder="1" applyFont="1">
      <alignment vertical="bottom"/>
    </xf>
    <xf borderId="13" fillId="9" fontId="6" numFmtId="164" xfId="0" applyAlignment="1" applyBorder="1" applyFont="1" applyNumberFormat="1">
      <alignment horizontal="right" vertical="bottom"/>
    </xf>
    <xf borderId="23" fillId="32" fontId="6" numFmtId="0" xfId="0" applyAlignment="1" applyBorder="1" applyFont="1">
      <alignment horizontal="center" vertical="bottom"/>
    </xf>
    <xf borderId="24" fillId="0" fontId="24" numFmtId="0" xfId="0" applyBorder="1" applyFont="1"/>
    <xf borderId="13" fillId="0" fontId="6" numFmtId="169" xfId="0" applyAlignment="1" applyBorder="1" applyFont="1" applyNumberFormat="1">
      <alignment horizontal="center"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horizontal="center" vertical="bottom"/>
    </xf>
    <xf borderId="13" fillId="5" fontId="6" numFmtId="0" xfId="0" applyAlignment="1" applyBorder="1" applyFont="1">
      <alignment vertical="bottom"/>
    </xf>
    <xf borderId="13" fillId="5" fontId="6" numFmtId="164" xfId="0" applyAlignment="1" applyBorder="1" applyFont="1" applyNumberFormat="1">
      <alignment horizontal="right" vertical="bottom"/>
    </xf>
    <xf borderId="13" fillId="0" fontId="6" numFmtId="164" xfId="0" applyAlignment="1" applyBorder="1" applyFont="1" applyNumberFormat="1">
      <alignment vertical="bottom"/>
    </xf>
    <xf borderId="13" fillId="33" fontId="6" numFmtId="0" xfId="0" applyAlignment="1" applyBorder="1" applyFill="1" applyFont="1">
      <alignment vertical="bottom"/>
    </xf>
    <xf borderId="13" fillId="33" fontId="6" numFmtId="164" xfId="0" applyAlignment="1" applyBorder="1" applyFont="1" applyNumberFormat="1">
      <alignment horizontal="right" vertical="bottom"/>
    </xf>
    <xf borderId="0" fillId="5" fontId="6" numFmtId="166" xfId="0" applyAlignment="1" applyFont="1" applyNumberFormat="1">
      <alignment vertical="bottom"/>
    </xf>
    <xf borderId="0" fillId="0" fontId="6" numFmtId="164" xfId="0" applyAlignment="1" applyFont="1" applyNumberFormat="1">
      <alignment readingOrder="0" vertical="bottom"/>
    </xf>
    <xf borderId="13" fillId="0" fontId="6" numFmtId="169" xfId="0" applyAlignment="1" applyBorder="1" applyFont="1" applyNumberFormat="1">
      <alignment horizontal="center" readingOrder="0" vertical="bottom"/>
    </xf>
    <xf borderId="13" fillId="0" fontId="6" numFmtId="0" xfId="0" applyAlignment="1" applyBorder="1" applyFont="1">
      <alignment horizontal="center" vertical="bottom"/>
    </xf>
    <xf borderId="13" fillId="5" fontId="6" numFmtId="164" xfId="0" applyAlignment="1" applyBorder="1" applyFont="1" applyNumberFormat="1">
      <alignment horizontal="center" vertical="bottom"/>
    </xf>
    <xf borderId="13" fillId="0" fontId="6" numFmtId="170" xfId="0" applyAlignment="1" applyBorder="1" applyFont="1" applyNumberFormat="1">
      <alignment horizontal="center" vertical="bottom"/>
    </xf>
    <xf borderId="13" fillId="0" fontId="6" numFmtId="170" xfId="0" applyAlignment="1" applyBorder="1" applyFont="1" applyNumberFormat="1">
      <alignment horizontal="center" readingOrder="0" vertical="bottom"/>
    </xf>
    <xf borderId="13" fillId="0" fontId="6" numFmtId="0" xfId="0" applyAlignment="1" applyBorder="1" applyFont="1">
      <alignment readingOrder="0" vertical="bottom"/>
    </xf>
    <xf borderId="13" fillId="0" fontId="6" numFmtId="164" xfId="0" applyAlignment="1" applyBorder="1" applyFont="1" applyNumberFormat="1">
      <alignment horizontal="center" readingOrder="0" vertical="bottom"/>
    </xf>
    <xf borderId="13" fillId="0" fontId="6" numFmtId="164" xfId="0" applyAlignment="1" applyBorder="1" applyFont="1" applyNumberFormat="1">
      <alignment readingOrder="0" vertical="bottom"/>
    </xf>
    <xf borderId="13" fillId="0" fontId="6" numFmtId="170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readingOrder="0"/>
    </xf>
    <xf borderId="13" fillId="0" fontId="6" numFmtId="0" xfId="0" applyBorder="1" applyFont="1"/>
    <xf borderId="13" fillId="0" fontId="6" numFmtId="164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/>
    </xf>
    <xf borderId="13" fillId="0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2" max="2" width="5.57"/>
    <col customWidth="1" min="3" max="3" width="38.0"/>
    <col customWidth="1" min="4" max="4" width="50.0"/>
    <col customWidth="1" min="5" max="5" width="11.57"/>
    <col customWidth="1" min="6" max="6" width="8.14"/>
    <col customWidth="1" min="7" max="7" width="12.43"/>
    <col customWidth="1" min="9" max="9" width="24.71"/>
  </cols>
  <sheetData>
    <row r="1">
      <c r="A1" s="1" t="s">
        <v>0</v>
      </c>
      <c r="K1" s="2"/>
    </row>
    <row r="2">
      <c r="A2" s="1" t="s">
        <v>1</v>
      </c>
      <c r="K2" s="2"/>
    </row>
    <row r="3">
      <c r="A3" s="1" t="s">
        <v>2</v>
      </c>
      <c r="K3" s="2"/>
    </row>
    <row r="4">
      <c r="A4" s="3"/>
      <c r="B4" s="3"/>
      <c r="C4" s="4"/>
      <c r="D4" s="3"/>
      <c r="E4" s="5"/>
      <c r="F4" s="5"/>
      <c r="G4" s="6"/>
      <c r="H4" s="6"/>
      <c r="I4" s="7"/>
      <c r="J4" s="3"/>
      <c r="K4" s="2"/>
    </row>
    <row r="5">
      <c r="A5" s="3"/>
      <c r="B5" s="3"/>
      <c r="C5" s="4"/>
      <c r="D5" s="3"/>
      <c r="E5" s="5"/>
      <c r="F5" s="5"/>
      <c r="G5" s="6"/>
      <c r="H5" s="6"/>
      <c r="I5" s="7"/>
      <c r="J5" s="3"/>
      <c r="K5" s="2"/>
    </row>
    <row r="6">
      <c r="A6" s="8" t="s">
        <v>3</v>
      </c>
      <c r="B6" s="8" t="s">
        <v>4</v>
      </c>
      <c r="C6" s="9" t="s">
        <v>5</v>
      </c>
      <c r="D6" s="8" t="s">
        <v>6</v>
      </c>
      <c r="E6" s="8" t="s">
        <v>7</v>
      </c>
      <c r="F6" s="8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4" t="s">
        <v>13</v>
      </c>
      <c r="B7" s="14"/>
      <c r="C7" s="15"/>
      <c r="D7" s="14"/>
      <c r="E7" s="16"/>
      <c r="F7" s="16"/>
      <c r="G7" s="17"/>
      <c r="H7" s="17" t="s">
        <v>11</v>
      </c>
      <c r="I7" s="17">
        <f t="shared" ref="I7:J7" si="1">sum(I8:I42)</f>
        <v>10990000</v>
      </c>
      <c r="J7" s="17">
        <f t="shared" si="1"/>
        <v>20000</v>
      </c>
      <c r="K7" s="2"/>
    </row>
    <row r="8">
      <c r="A8" s="2"/>
      <c r="B8" s="2"/>
      <c r="C8" s="18" t="s">
        <v>14</v>
      </c>
      <c r="D8" s="19" t="s">
        <v>15</v>
      </c>
      <c r="E8" s="20" t="s">
        <v>16</v>
      </c>
      <c r="F8" s="20">
        <v>6.0</v>
      </c>
      <c r="G8" s="21">
        <f>H8/F8</f>
        <v>94000</v>
      </c>
      <c r="H8" s="21">
        <v>564000.0</v>
      </c>
      <c r="I8" s="21">
        <f>H8</f>
        <v>564000</v>
      </c>
      <c r="J8" s="2"/>
      <c r="K8" s="22" t="s">
        <v>17</v>
      </c>
    </row>
    <row r="9">
      <c r="A9" s="2"/>
      <c r="B9" s="2"/>
      <c r="C9" s="23" t="s">
        <v>18</v>
      </c>
      <c r="D9" s="19" t="s">
        <v>19</v>
      </c>
      <c r="E9" s="20" t="s">
        <v>16</v>
      </c>
      <c r="F9" s="20">
        <v>9.0</v>
      </c>
      <c r="G9" s="21">
        <v>36000.0</v>
      </c>
      <c r="H9" s="21">
        <f t="shared" ref="H9:H11" si="2">F9*G9</f>
        <v>324000</v>
      </c>
      <c r="I9" s="24"/>
      <c r="J9" s="2"/>
      <c r="K9" s="2"/>
    </row>
    <row r="10">
      <c r="A10" s="2"/>
      <c r="B10" s="2"/>
      <c r="C10" s="18"/>
      <c r="D10" s="19" t="s">
        <v>20</v>
      </c>
      <c r="E10" s="20" t="s">
        <v>16</v>
      </c>
      <c r="F10" s="20">
        <v>3.0</v>
      </c>
      <c r="G10" s="21">
        <v>40000.0</v>
      </c>
      <c r="H10" s="21">
        <f t="shared" si="2"/>
        <v>120000</v>
      </c>
      <c r="I10" s="24"/>
      <c r="J10" s="2"/>
      <c r="K10" s="2"/>
    </row>
    <row r="11">
      <c r="A11" s="2"/>
      <c r="B11" s="2"/>
      <c r="C11" s="18"/>
      <c r="D11" s="19" t="s">
        <v>21</v>
      </c>
      <c r="E11" s="20" t="s">
        <v>16</v>
      </c>
      <c r="F11" s="20">
        <v>8.0</v>
      </c>
      <c r="G11" s="21">
        <v>30000.0</v>
      </c>
      <c r="H11" s="21">
        <f t="shared" si="2"/>
        <v>240000</v>
      </c>
      <c r="I11" s="24">
        <f>SUM(H9:H11)</f>
        <v>684000</v>
      </c>
      <c r="J11" s="2"/>
      <c r="K11" s="22" t="s">
        <v>17</v>
      </c>
    </row>
    <row r="12">
      <c r="A12" s="2"/>
      <c r="B12" s="2"/>
      <c r="C12" s="18" t="s">
        <v>22</v>
      </c>
      <c r="D12" s="19" t="s">
        <v>23</v>
      </c>
      <c r="E12" s="20" t="s">
        <v>24</v>
      </c>
      <c r="F12" s="20">
        <v>20.0</v>
      </c>
      <c r="G12" s="21">
        <f>H12/F12</f>
        <v>19000</v>
      </c>
      <c r="H12" s="21">
        <v>380000.0</v>
      </c>
      <c r="I12" s="21">
        <f t="shared" ref="I12:I13" si="3">H12</f>
        <v>380000</v>
      </c>
      <c r="J12" s="2"/>
      <c r="K12" s="22" t="s">
        <v>17</v>
      </c>
    </row>
    <row r="13">
      <c r="A13" s="2"/>
      <c r="B13" s="2"/>
      <c r="C13" s="18" t="s">
        <v>25</v>
      </c>
      <c r="D13" s="19" t="s">
        <v>26</v>
      </c>
      <c r="E13" s="20" t="s">
        <v>16</v>
      </c>
      <c r="F13" s="20">
        <v>60.0</v>
      </c>
      <c r="G13" s="21">
        <v>7500.0</v>
      </c>
      <c r="H13" s="21">
        <f t="shared" ref="H13:H22" si="4">F13*G13</f>
        <v>450000</v>
      </c>
      <c r="I13" s="21">
        <f t="shared" si="3"/>
        <v>450000</v>
      </c>
      <c r="J13" s="2"/>
      <c r="K13" s="22" t="s">
        <v>17</v>
      </c>
    </row>
    <row r="14">
      <c r="A14" s="2"/>
      <c r="B14" s="2"/>
      <c r="C14" s="18" t="s">
        <v>27</v>
      </c>
      <c r="D14" s="19" t="s">
        <v>28</v>
      </c>
      <c r="E14" s="20" t="s">
        <v>16</v>
      </c>
      <c r="F14" s="20">
        <v>80.0</v>
      </c>
      <c r="G14" s="21">
        <v>20000.0</v>
      </c>
      <c r="H14" s="21">
        <f t="shared" si="4"/>
        <v>1600000</v>
      </c>
      <c r="I14" s="24"/>
      <c r="J14" s="2"/>
      <c r="K14" s="2"/>
    </row>
    <row r="15">
      <c r="A15" s="2"/>
      <c r="B15" s="2"/>
      <c r="C15" s="18"/>
      <c r="D15" s="19" t="s">
        <v>29</v>
      </c>
      <c r="E15" s="20" t="s">
        <v>16</v>
      </c>
      <c r="F15" s="20">
        <v>6.0</v>
      </c>
      <c r="G15" s="21">
        <v>70000.0</v>
      </c>
      <c r="H15" s="21">
        <f t="shared" si="4"/>
        <v>420000</v>
      </c>
      <c r="I15" s="24"/>
      <c r="J15" s="2"/>
      <c r="K15" s="2"/>
    </row>
    <row r="16">
      <c r="A16" s="2"/>
      <c r="B16" s="2"/>
      <c r="C16" s="18"/>
      <c r="D16" s="19" t="s">
        <v>30</v>
      </c>
      <c r="E16" s="20" t="s">
        <v>16</v>
      </c>
      <c r="F16" s="20">
        <v>5.0</v>
      </c>
      <c r="G16" s="21">
        <v>90000.0</v>
      </c>
      <c r="H16" s="21">
        <f t="shared" si="4"/>
        <v>450000</v>
      </c>
      <c r="I16" s="24"/>
      <c r="J16" s="2"/>
      <c r="K16" s="2"/>
    </row>
    <row r="17">
      <c r="A17" s="2"/>
      <c r="B17" s="2"/>
      <c r="C17" s="18"/>
      <c r="D17" s="19" t="s">
        <v>31</v>
      </c>
      <c r="E17" s="20" t="s">
        <v>16</v>
      </c>
      <c r="F17" s="20">
        <v>4.0</v>
      </c>
      <c r="G17" s="21">
        <v>15000.0</v>
      </c>
      <c r="H17" s="21">
        <f t="shared" si="4"/>
        <v>60000</v>
      </c>
      <c r="I17" s="24"/>
      <c r="J17" s="2"/>
      <c r="K17" s="2"/>
    </row>
    <row r="18">
      <c r="A18" s="2"/>
      <c r="B18" s="2"/>
      <c r="C18" s="18"/>
      <c r="D18" s="19" t="s">
        <v>32</v>
      </c>
      <c r="E18" s="20" t="s">
        <v>16</v>
      </c>
      <c r="F18" s="20">
        <v>2.0</v>
      </c>
      <c r="G18" s="21">
        <v>20000.0</v>
      </c>
      <c r="H18" s="21">
        <f t="shared" si="4"/>
        <v>40000</v>
      </c>
      <c r="I18" s="24"/>
      <c r="J18" s="2"/>
      <c r="K18" s="2"/>
    </row>
    <row r="19">
      <c r="A19" s="2"/>
      <c r="B19" s="2"/>
      <c r="C19" s="18"/>
      <c r="D19" s="19" t="s">
        <v>33</v>
      </c>
      <c r="E19" s="20" t="s">
        <v>16</v>
      </c>
      <c r="F19" s="20">
        <v>20.0</v>
      </c>
      <c r="G19" s="21">
        <v>6000.0</v>
      </c>
      <c r="H19" s="21">
        <f t="shared" si="4"/>
        <v>120000</v>
      </c>
      <c r="I19" s="24"/>
      <c r="J19" s="2"/>
      <c r="K19" s="2"/>
    </row>
    <row r="20">
      <c r="A20" s="2"/>
      <c r="B20" s="2"/>
      <c r="C20" s="18"/>
      <c r="D20" s="19" t="s">
        <v>34</v>
      </c>
      <c r="E20" s="20" t="s">
        <v>16</v>
      </c>
      <c r="F20" s="20">
        <v>105.0</v>
      </c>
      <c r="G20" s="21">
        <v>8000.0</v>
      </c>
      <c r="H20" s="21">
        <f t="shared" si="4"/>
        <v>840000</v>
      </c>
      <c r="I20" s="24"/>
      <c r="J20" s="2"/>
      <c r="K20" s="2"/>
    </row>
    <row r="21">
      <c r="A21" s="2"/>
      <c r="B21" s="2"/>
      <c r="C21" s="18"/>
      <c r="D21" s="19" t="s">
        <v>35</v>
      </c>
      <c r="E21" s="20" t="s">
        <v>16</v>
      </c>
      <c r="F21" s="20">
        <v>142.0</v>
      </c>
      <c r="G21" s="21">
        <v>12000.0</v>
      </c>
      <c r="H21" s="21">
        <f t="shared" si="4"/>
        <v>1704000</v>
      </c>
      <c r="I21" s="24"/>
      <c r="J21" s="2"/>
      <c r="K21" s="2"/>
    </row>
    <row r="22">
      <c r="A22" s="2"/>
      <c r="B22" s="2"/>
      <c r="C22" s="18"/>
      <c r="D22" s="19" t="s">
        <v>36</v>
      </c>
      <c r="E22" s="20" t="s">
        <v>16</v>
      </c>
      <c r="F22" s="20">
        <v>90.0</v>
      </c>
      <c r="G22" s="21">
        <v>10000.0</v>
      </c>
      <c r="H22" s="21">
        <f t="shared" si="4"/>
        <v>900000</v>
      </c>
      <c r="I22" s="21">
        <f>SUM(H14:H22)</f>
        <v>6134000</v>
      </c>
      <c r="J22" s="2"/>
      <c r="K22" s="22" t="s">
        <v>17</v>
      </c>
    </row>
    <row r="23">
      <c r="A23" s="2"/>
      <c r="B23" s="2"/>
      <c r="C23" s="18" t="s">
        <v>37</v>
      </c>
      <c r="D23" s="19" t="s">
        <v>38</v>
      </c>
      <c r="E23" s="20" t="s">
        <v>16</v>
      </c>
      <c r="F23" s="20">
        <v>2.0</v>
      </c>
      <c r="G23" s="21">
        <f t="shared" ref="G23:G26" si="5">H23/F23</f>
        <v>12000</v>
      </c>
      <c r="H23" s="21">
        <v>24000.0</v>
      </c>
      <c r="I23" s="24"/>
      <c r="J23" s="2"/>
      <c r="K23" s="2"/>
    </row>
    <row r="24">
      <c r="A24" s="2"/>
      <c r="B24" s="2"/>
      <c r="C24" s="18"/>
      <c r="D24" s="19" t="s">
        <v>39</v>
      </c>
      <c r="E24" s="20" t="s">
        <v>16</v>
      </c>
      <c r="F24" s="20">
        <v>2.0</v>
      </c>
      <c r="G24" s="21">
        <f t="shared" si="5"/>
        <v>10000</v>
      </c>
      <c r="H24" s="21">
        <v>20000.0</v>
      </c>
      <c r="I24" s="24"/>
      <c r="J24" s="2"/>
      <c r="K24" s="2"/>
    </row>
    <row r="25">
      <c r="A25" s="2"/>
      <c r="B25" s="2"/>
      <c r="C25" s="18"/>
      <c r="D25" s="19" t="s">
        <v>40</v>
      </c>
      <c r="E25" s="20" t="s">
        <v>16</v>
      </c>
      <c r="F25" s="20">
        <v>1.0</v>
      </c>
      <c r="G25" s="21">
        <f t="shared" si="5"/>
        <v>12000</v>
      </c>
      <c r="H25" s="21">
        <v>12000.0</v>
      </c>
      <c r="I25" s="24"/>
      <c r="J25" s="2"/>
      <c r="K25" s="2"/>
    </row>
    <row r="26">
      <c r="A26" s="2"/>
      <c r="B26" s="2"/>
      <c r="C26" s="18"/>
      <c r="D26" s="19" t="s">
        <v>41</v>
      </c>
      <c r="E26" s="20" t="s">
        <v>16</v>
      </c>
      <c r="F26" s="20">
        <v>1.0</v>
      </c>
      <c r="G26" s="21">
        <f t="shared" si="5"/>
        <v>14000</v>
      </c>
      <c r="H26" s="21">
        <v>14000.0</v>
      </c>
      <c r="I26" s="21">
        <f>SUM(H23:H26)</f>
        <v>70000</v>
      </c>
      <c r="J26" s="2"/>
      <c r="K26" s="22" t="s">
        <v>17</v>
      </c>
    </row>
    <row r="27">
      <c r="A27" s="2"/>
      <c r="B27" s="2"/>
      <c r="C27" s="18" t="s">
        <v>42</v>
      </c>
      <c r="D27" s="19" t="s">
        <v>43</v>
      </c>
      <c r="E27" s="20" t="s">
        <v>16</v>
      </c>
      <c r="F27" s="20">
        <v>30.0</v>
      </c>
      <c r="G27" s="21">
        <v>12000.0</v>
      </c>
      <c r="H27" s="21">
        <f t="shared" ref="H27:H31" si="6">F27*G27</f>
        <v>360000</v>
      </c>
      <c r="I27" s="21">
        <f>H27</f>
        <v>360000</v>
      </c>
      <c r="J27" s="2"/>
      <c r="K27" s="22" t="s">
        <v>17</v>
      </c>
    </row>
    <row r="28">
      <c r="A28" s="2"/>
      <c r="B28" s="2"/>
      <c r="C28" s="18" t="s">
        <v>44</v>
      </c>
      <c r="D28" s="19" t="s">
        <v>45</v>
      </c>
      <c r="E28" s="20" t="s">
        <v>16</v>
      </c>
      <c r="F28" s="20">
        <v>20.0</v>
      </c>
      <c r="G28" s="21">
        <v>18500.0</v>
      </c>
      <c r="H28" s="21">
        <f t="shared" si="6"/>
        <v>370000</v>
      </c>
      <c r="I28" s="24"/>
      <c r="J28" s="2"/>
      <c r="K28" s="2"/>
    </row>
    <row r="29">
      <c r="A29" s="2"/>
      <c r="B29" s="2"/>
      <c r="C29" s="18"/>
      <c r="D29" s="19" t="s">
        <v>46</v>
      </c>
      <c r="E29" s="20" t="s">
        <v>16</v>
      </c>
      <c r="F29" s="20">
        <v>1.0</v>
      </c>
      <c r="G29" s="21">
        <v>47000.0</v>
      </c>
      <c r="H29" s="21">
        <f t="shared" si="6"/>
        <v>47000</v>
      </c>
      <c r="I29" s="24"/>
      <c r="J29" s="2"/>
      <c r="K29" s="2"/>
    </row>
    <row r="30">
      <c r="A30" s="2"/>
      <c r="B30" s="2"/>
      <c r="C30" s="18"/>
      <c r="D30" s="19" t="s">
        <v>47</v>
      </c>
      <c r="E30" s="20" t="s">
        <v>48</v>
      </c>
      <c r="F30" s="20">
        <v>4.0</v>
      </c>
      <c r="G30" s="21">
        <v>48000.0</v>
      </c>
      <c r="H30" s="21">
        <f t="shared" si="6"/>
        <v>192000</v>
      </c>
      <c r="I30" s="24"/>
      <c r="J30" s="2"/>
      <c r="K30" s="2"/>
    </row>
    <row r="31">
      <c r="A31" s="2"/>
      <c r="B31" s="2"/>
      <c r="C31" s="18"/>
      <c r="D31" s="19" t="s">
        <v>49</v>
      </c>
      <c r="E31" s="20" t="s">
        <v>50</v>
      </c>
      <c r="F31" s="20">
        <v>2.0</v>
      </c>
      <c r="G31" s="21">
        <v>43000.0</v>
      </c>
      <c r="H31" s="21">
        <f t="shared" si="6"/>
        <v>86000</v>
      </c>
      <c r="I31" s="24"/>
      <c r="J31" s="2"/>
      <c r="K31" s="2"/>
    </row>
    <row r="32">
      <c r="A32" s="2"/>
      <c r="B32" s="2"/>
      <c r="C32" s="18"/>
      <c r="D32" s="19" t="s">
        <v>51</v>
      </c>
      <c r="E32" s="20" t="s">
        <v>16</v>
      </c>
      <c r="F32" s="20">
        <v>0.25</v>
      </c>
      <c r="G32" s="21">
        <f>H32/F32</f>
        <v>180000</v>
      </c>
      <c r="H32" s="21">
        <v>45000.0</v>
      </c>
      <c r="I32" s="24"/>
      <c r="J32" s="2"/>
      <c r="K32" s="2"/>
    </row>
    <row r="33">
      <c r="A33" s="2"/>
      <c r="B33" s="2"/>
      <c r="C33" s="18"/>
      <c r="D33" s="19" t="s">
        <v>52</v>
      </c>
      <c r="E33" s="20" t="s">
        <v>16</v>
      </c>
      <c r="F33" s="20">
        <v>3.0</v>
      </c>
      <c r="G33" s="21">
        <v>42000.0</v>
      </c>
      <c r="H33" s="21">
        <f t="shared" ref="H33:H42" si="7">F33*G33</f>
        <v>126000</v>
      </c>
      <c r="I33" s="24"/>
      <c r="J33" s="2"/>
      <c r="K33" s="2"/>
    </row>
    <row r="34">
      <c r="A34" s="2"/>
      <c r="B34" s="2"/>
      <c r="C34" s="18"/>
      <c r="D34" s="19" t="s">
        <v>53</v>
      </c>
      <c r="E34" s="20" t="s">
        <v>54</v>
      </c>
      <c r="F34" s="20">
        <v>1.0</v>
      </c>
      <c r="G34" s="21">
        <v>95000.0</v>
      </c>
      <c r="H34" s="21">
        <f t="shared" si="7"/>
        <v>95000</v>
      </c>
      <c r="I34" s="24"/>
      <c r="J34" s="2"/>
      <c r="K34" s="2"/>
    </row>
    <row r="35">
      <c r="A35" s="2"/>
      <c r="B35" s="2"/>
      <c r="C35" s="18"/>
      <c r="D35" s="19" t="s">
        <v>55</v>
      </c>
      <c r="E35" s="20" t="s">
        <v>54</v>
      </c>
      <c r="F35" s="20">
        <v>1.0</v>
      </c>
      <c r="G35" s="21">
        <v>115000.0</v>
      </c>
      <c r="H35" s="21">
        <f t="shared" si="7"/>
        <v>115000</v>
      </c>
      <c r="I35" s="24"/>
      <c r="J35" s="2"/>
      <c r="K35" s="2"/>
    </row>
    <row r="36">
      <c r="A36" s="2"/>
      <c r="B36" s="2"/>
      <c r="C36" s="18"/>
      <c r="D36" s="19" t="s">
        <v>56</v>
      </c>
      <c r="E36" s="20" t="s">
        <v>48</v>
      </c>
      <c r="F36" s="20">
        <v>6.0</v>
      </c>
      <c r="G36" s="21">
        <v>52000.0</v>
      </c>
      <c r="H36" s="21">
        <f t="shared" si="7"/>
        <v>312000</v>
      </c>
      <c r="I36" s="24"/>
      <c r="J36" s="2"/>
      <c r="K36" s="2"/>
    </row>
    <row r="37">
      <c r="A37" s="2"/>
      <c r="B37" s="2"/>
      <c r="C37" s="18"/>
      <c r="D37" s="19" t="s">
        <v>57</v>
      </c>
      <c r="E37" s="20" t="s">
        <v>50</v>
      </c>
      <c r="F37" s="20">
        <v>2.0</v>
      </c>
      <c r="G37" s="21">
        <v>6000.0</v>
      </c>
      <c r="H37" s="21">
        <f t="shared" si="7"/>
        <v>12000</v>
      </c>
      <c r="I37" s="24"/>
      <c r="J37" s="2"/>
      <c r="K37" s="2"/>
    </row>
    <row r="38">
      <c r="A38" s="2"/>
      <c r="B38" s="2"/>
      <c r="C38" s="18"/>
      <c r="D38" s="19" t="s">
        <v>58</v>
      </c>
      <c r="E38" s="20" t="s">
        <v>59</v>
      </c>
      <c r="F38" s="20">
        <v>2.0</v>
      </c>
      <c r="G38" s="21">
        <v>225000.0</v>
      </c>
      <c r="H38" s="21">
        <f t="shared" si="7"/>
        <v>450000</v>
      </c>
      <c r="I38" s="24"/>
      <c r="J38" s="2"/>
      <c r="K38" s="2"/>
    </row>
    <row r="39">
      <c r="A39" s="2"/>
      <c r="B39" s="2"/>
      <c r="C39" s="18"/>
      <c r="D39" s="19" t="s">
        <v>60</v>
      </c>
      <c r="E39" s="20" t="s">
        <v>16</v>
      </c>
      <c r="F39" s="20">
        <v>2.0</v>
      </c>
      <c r="G39" s="21">
        <v>24000.0</v>
      </c>
      <c r="H39" s="21">
        <f t="shared" si="7"/>
        <v>48000</v>
      </c>
      <c r="I39" s="24"/>
      <c r="J39" s="2"/>
      <c r="K39" s="2"/>
    </row>
    <row r="40">
      <c r="A40" s="2"/>
      <c r="B40" s="2"/>
      <c r="C40" s="18"/>
      <c r="D40" s="19" t="s">
        <v>61</v>
      </c>
      <c r="E40" s="20" t="s">
        <v>62</v>
      </c>
      <c r="F40" s="20">
        <v>1.0</v>
      </c>
      <c r="G40" s="21">
        <v>70000.0</v>
      </c>
      <c r="H40" s="21">
        <f t="shared" si="7"/>
        <v>70000</v>
      </c>
      <c r="I40" s="24"/>
      <c r="J40" s="2"/>
      <c r="K40" s="2"/>
    </row>
    <row r="41">
      <c r="A41" s="2"/>
      <c r="B41" s="2"/>
      <c r="C41" s="18"/>
      <c r="D41" s="19" t="s">
        <v>63</v>
      </c>
      <c r="E41" s="20" t="s">
        <v>54</v>
      </c>
      <c r="F41" s="20">
        <v>2.0</v>
      </c>
      <c r="G41" s="21">
        <v>190000.0</v>
      </c>
      <c r="H41" s="21">
        <f t="shared" si="7"/>
        <v>380000</v>
      </c>
      <c r="I41" s="21">
        <f>SUM(H28:H41)</f>
        <v>2348000</v>
      </c>
      <c r="J41" s="2"/>
      <c r="K41" s="22" t="s">
        <v>17</v>
      </c>
    </row>
    <row r="42">
      <c r="A42" s="2"/>
      <c r="B42" s="2"/>
      <c r="C42" s="18"/>
      <c r="D42" s="19" t="s">
        <v>12</v>
      </c>
      <c r="E42" s="20"/>
      <c r="F42" s="25">
        <v>8.0</v>
      </c>
      <c r="G42" s="26">
        <v>2500.0</v>
      </c>
      <c r="H42" s="24">
        <f t="shared" si="7"/>
        <v>20000</v>
      </c>
      <c r="I42" s="24"/>
      <c r="J42" s="27">
        <f>H42</f>
        <v>20000</v>
      </c>
      <c r="K42" s="2"/>
    </row>
    <row r="43">
      <c r="A43" s="14" t="s">
        <v>64</v>
      </c>
      <c r="B43" s="14"/>
      <c r="C43" s="15"/>
      <c r="D43" s="14"/>
      <c r="E43" s="16"/>
      <c r="F43" s="16"/>
      <c r="G43" s="28"/>
      <c r="H43" s="17" t="s">
        <v>11</v>
      </c>
      <c r="I43" s="17">
        <f t="shared" ref="I43:J43" si="8">sum(I44:I105)</f>
        <v>71663250</v>
      </c>
      <c r="J43" s="17">
        <f t="shared" si="8"/>
        <v>35000</v>
      </c>
      <c r="K43" s="2"/>
    </row>
    <row r="44">
      <c r="A44" s="19"/>
      <c r="B44" s="19"/>
      <c r="C44" s="18" t="s">
        <v>65</v>
      </c>
      <c r="D44" s="19" t="s">
        <v>66</v>
      </c>
      <c r="E44" s="20" t="s">
        <v>67</v>
      </c>
      <c r="F44" s="20">
        <v>46.0</v>
      </c>
      <c r="G44" s="21">
        <v>12000.0</v>
      </c>
      <c r="H44" s="21">
        <f t="shared" ref="H44:H52" si="9">F44*G44</f>
        <v>552000</v>
      </c>
      <c r="I44" s="24"/>
      <c r="J44" s="24"/>
      <c r="K44" s="2"/>
    </row>
    <row r="45">
      <c r="A45" s="19"/>
      <c r="B45" s="19"/>
      <c r="C45" s="18"/>
      <c r="D45" s="19" t="s">
        <v>66</v>
      </c>
      <c r="E45" s="20" t="s">
        <v>67</v>
      </c>
      <c r="F45" s="20">
        <v>60.0</v>
      </c>
      <c r="G45" s="21">
        <v>12000.0</v>
      </c>
      <c r="H45" s="21">
        <f t="shared" si="9"/>
        <v>720000</v>
      </c>
      <c r="I45" s="24"/>
      <c r="J45" s="24"/>
      <c r="K45" s="2"/>
    </row>
    <row r="46">
      <c r="A46" s="19"/>
      <c r="B46" s="19"/>
      <c r="C46" s="18"/>
      <c r="D46" s="19" t="s">
        <v>68</v>
      </c>
      <c r="E46" s="20" t="s">
        <v>69</v>
      </c>
      <c r="F46" s="20">
        <v>1424.0</v>
      </c>
      <c r="G46" s="21">
        <v>750.0</v>
      </c>
      <c r="H46" s="21">
        <f t="shared" si="9"/>
        <v>1068000</v>
      </c>
      <c r="I46" s="24"/>
      <c r="J46" s="24"/>
      <c r="K46" s="2"/>
    </row>
    <row r="47">
      <c r="A47" s="19"/>
      <c r="B47" s="19"/>
      <c r="C47" s="18"/>
      <c r="D47" s="19" t="s">
        <v>70</v>
      </c>
      <c r="E47" s="20" t="s">
        <v>69</v>
      </c>
      <c r="F47" s="20">
        <v>1424.0</v>
      </c>
      <c r="G47" s="21">
        <v>500.0</v>
      </c>
      <c r="H47" s="21">
        <f t="shared" si="9"/>
        <v>712000</v>
      </c>
      <c r="I47" s="24"/>
      <c r="J47" s="24"/>
      <c r="K47" s="2"/>
    </row>
    <row r="48">
      <c r="A48" s="19"/>
      <c r="B48" s="19"/>
      <c r="C48" s="18"/>
      <c r="D48" s="19" t="s">
        <v>70</v>
      </c>
      <c r="E48" s="20" t="s">
        <v>69</v>
      </c>
      <c r="F48" s="20">
        <v>1424.0</v>
      </c>
      <c r="G48" s="21">
        <v>500.0</v>
      </c>
      <c r="H48" s="21">
        <f t="shared" si="9"/>
        <v>712000</v>
      </c>
      <c r="I48" s="21">
        <f>sum(H44:H48)</f>
        <v>3764000</v>
      </c>
      <c r="J48" s="24"/>
      <c r="K48" s="22" t="s">
        <v>17</v>
      </c>
    </row>
    <row r="49">
      <c r="A49" s="19"/>
      <c r="B49" s="19"/>
      <c r="C49" s="18" t="s">
        <v>71</v>
      </c>
      <c r="D49" s="19" t="s">
        <v>72</v>
      </c>
      <c r="E49" s="20" t="s">
        <v>16</v>
      </c>
      <c r="F49" s="20">
        <v>4.0</v>
      </c>
      <c r="G49" s="21">
        <v>28000.0</v>
      </c>
      <c r="H49" s="21">
        <f t="shared" si="9"/>
        <v>112000</v>
      </c>
      <c r="I49" s="21">
        <f t="shared" ref="I49:I50" si="10">H49</f>
        <v>112000</v>
      </c>
      <c r="J49" s="24"/>
      <c r="K49" s="22" t="s">
        <v>17</v>
      </c>
    </row>
    <row r="50">
      <c r="A50" s="19"/>
      <c r="B50" s="19"/>
      <c r="C50" s="18" t="s">
        <v>73</v>
      </c>
      <c r="D50" s="19" t="s">
        <v>74</v>
      </c>
      <c r="E50" s="20" t="s">
        <v>16</v>
      </c>
      <c r="F50" s="20">
        <v>1075.0</v>
      </c>
      <c r="G50" s="21">
        <v>14500.0</v>
      </c>
      <c r="H50" s="21">
        <f t="shared" si="9"/>
        <v>15587500</v>
      </c>
      <c r="I50" s="21">
        <f t="shared" si="10"/>
        <v>15587500</v>
      </c>
      <c r="J50" s="24"/>
      <c r="K50" s="22" t="s">
        <v>17</v>
      </c>
    </row>
    <row r="51">
      <c r="A51" s="19"/>
      <c r="B51" s="19"/>
      <c r="C51" s="23" t="s">
        <v>75</v>
      </c>
      <c r="D51" s="19" t="s">
        <v>76</v>
      </c>
      <c r="E51" s="20" t="s">
        <v>16</v>
      </c>
      <c r="F51" s="20">
        <v>2.0</v>
      </c>
      <c r="G51" s="21">
        <v>24000.0</v>
      </c>
      <c r="H51" s="21">
        <f t="shared" si="9"/>
        <v>48000</v>
      </c>
      <c r="I51" s="24"/>
      <c r="J51" s="24"/>
      <c r="K51" s="2"/>
    </row>
    <row r="52">
      <c r="A52" s="19"/>
      <c r="B52" s="19"/>
      <c r="C52" s="18"/>
      <c r="D52" s="19" t="s">
        <v>77</v>
      </c>
      <c r="E52" s="20" t="s">
        <v>16</v>
      </c>
      <c r="F52" s="20">
        <v>2.0</v>
      </c>
      <c r="G52" s="21">
        <v>94500.0</v>
      </c>
      <c r="H52" s="21">
        <f t="shared" si="9"/>
        <v>189000</v>
      </c>
      <c r="I52" s="24"/>
      <c r="J52" s="24"/>
      <c r="K52" s="2"/>
    </row>
    <row r="53">
      <c r="A53" s="19"/>
      <c r="B53" s="19"/>
      <c r="C53" s="18"/>
      <c r="D53" s="19" t="s">
        <v>78</v>
      </c>
      <c r="E53" s="20" t="s">
        <v>50</v>
      </c>
      <c r="F53" s="20">
        <v>16.0</v>
      </c>
      <c r="G53" s="21">
        <f t="shared" ref="G53:G54" si="11">H53/F53</f>
        <v>22500</v>
      </c>
      <c r="H53" s="21">
        <v>360000.0</v>
      </c>
      <c r="I53" s="24"/>
      <c r="J53" s="24"/>
      <c r="K53" s="2"/>
    </row>
    <row r="54">
      <c r="A54" s="19"/>
      <c r="B54" s="19"/>
      <c r="C54" s="18"/>
      <c r="D54" s="19" t="s">
        <v>78</v>
      </c>
      <c r="E54" s="20" t="s">
        <v>50</v>
      </c>
      <c r="F54" s="20">
        <v>14.0</v>
      </c>
      <c r="G54" s="21">
        <f t="shared" si="11"/>
        <v>22700</v>
      </c>
      <c r="H54" s="29">
        <v>317800.0</v>
      </c>
      <c r="I54" s="24">
        <f>SUM(H51:H54)</f>
        <v>914800</v>
      </c>
      <c r="J54" s="24"/>
      <c r="K54" s="22" t="s">
        <v>17</v>
      </c>
    </row>
    <row r="55">
      <c r="A55" s="19"/>
      <c r="B55" s="19"/>
      <c r="C55" s="18" t="s">
        <v>79</v>
      </c>
      <c r="D55" s="19" t="s">
        <v>19</v>
      </c>
      <c r="E55" s="20" t="s">
        <v>16</v>
      </c>
      <c r="F55" s="20">
        <v>11.0</v>
      </c>
      <c r="G55" s="21">
        <v>34000.0</v>
      </c>
      <c r="H55" s="21">
        <f t="shared" ref="H55:H59" si="12">F55*G55</f>
        <v>374000</v>
      </c>
      <c r="I55" s="24"/>
      <c r="J55" s="24"/>
      <c r="K55" s="2"/>
    </row>
    <row r="56">
      <c r="A56" s="19"/>
      <c r="B56" s="19"/>
      <c r="C56" s="18"/>
      <c r="D56" s="19" t="s">
        <v>20</v>
      </c>
      <c r="E56" s="20" t="s">
        <v>16</v>
      </c>
      <c r="F56" s="20">
        <v>11.0</v>
      </c>
      <c r="G56" s="21">
        <v>40000.0</v>
      </c>
      <c r="H56" s="21">
        <f t="shared" si="12"/>
        <v>440000</v>
      </c>
      <c r="I56" s="24"/>
      <c r="J56" s="24"/>
      <c r="K56" s="2"/>
    </row>
    <row r="57">
      <c r="A57" s="19"/>
      <c r="B57" s="19"/>
      <c r="C57" s="18"/>
      <c r="D57" s="19" t="s">
        <v>21</v>
      </c>
      <c r="E57" s="20" t="s">
        <v>16</v>
      </c>
      <c r="F57" s="20">
        <v>8.0</v>
      </c>
      <c r="G57" s="21">
        <v>30000.0</v>
      </c>
      <c r="H57" s="21">
        <f t="shared" si="12"/>
        <v>240000</v>
      </c>
      <c r="I57" s="21">
        <f>SUM(H55:H57)</f>
        <v>1054000</v>
      </c>
      <c r="J57" s="24"/>
      <c r="K57" s="22" t="s">
        <v>17</v>
      </c>
    </row>
    <row r="58">
      <c r="A58" s="19"/>
      <c r="B58" s="19"/>
      <c r="C58" s="18" t="s">
        <v>37</v>
      </c>
      <c r="D58" s="19" t="s">
        <v>80</v>
      </c>
      <c r="E58" s="20" t="s">
        <v>16</v>
      </c>
      <c r="F58" s="20">
        <v>0.25</v>
      </c>
      <c r="G58" s="21">
        <v>40000.0</v>
      </c>
      <c r="H58" s="21">
        <f t="shared" si="12"/>
        <v>10000</v>
      </c>
      <c r="I58" s="24"/>
      <c r="J58" s="24"/>
      <c r="K58" s="2"/>
    </row>
    <row r="59">
      <c r="A59" s="19"/>
      <c r="B59" s="19"/>
      <c r="C59" s="18"/>
      <c r="D59" s="19" t="s">
        <v>41</v>
      </c>
      <c r="E59" s="20" t="s">
        <v>16</v>
      </c>
      <c r="F59" s="20">
        <v>0.25</v>
      </c>
      <c r="G59" s="21">
        <v>28000.0</v>
      </c>
      <c r="H59" s="21">
        <f t="shared" si="12"/>
        <v>7000</v>
      </c>
      <c r="I59" s="24"/>
      <c r="J59" s="24"/>
      <c r="K59" s="2"/>
    </row>
    <row r="60">
      <c r="A60" s="19"/>
      <c r="B60" s="19"/>
      <c r="C60" s="18"/>
      <c r="D60" s="30" t="s">
        <v>81</v>
      </c>
      <c r="E60" s="20" t="s">
        <v>16</v>
      </c>
      <c r="F60" s="20"/>
      <c r="G60" s="24"/>
      <c r="H60" s="21">
        <v>18000.0</v>
      </c>
      <c r="I60" s="24"/>
      <c r="J60" s="24"/>
      <c r="K60" s="2"/>
    </row>
    <row r="61">
      <c r="A61" s="19"/>
      <c r="B61" s="19"/>
      <c r="C61" s="18"/>
      <c r="D61" s="19" t="s">
        <v>82</v>
      </c>
      <c r="E61" s="20" t="s">
        <v>16</v>
      </c>
      <c r="F61" s="20">
        <v>1.0</v>
      </c>
      <c r="G61" s="21">
        <v>35000.0</v>
      </c>
      <c r="H61" s="21">
        <f>F61*G61</f>
        <v>35000</v>
      </c>
      <c r="I61" s="24"/>
      <c r="J61" s="24"/>
      <c r="K61" s="2"/>
    </row>
    <row r="62">
      <c r="A62" s="19"/>
      <c r="B62" s="19"/>
      <c r="C62" s="18"/>
      <c r="D62" s="19" t="s">
        <v>40</v>
      </c>
      <c r="E62" s="20" t="s">
        <v>16</v>
      </c>
      <c r="F62" s="20">
        <v>6.0</v>
      </c>
      <c r="G62" s="21">
        <f t="shared" ref="G62:G63" si="13">H62/F62</f>
        <v>11666.66667</v>
      </c>
      <c r="H62" s="21">
        <v>70000.0</v>
      </c>
      <c r="I62" s="24"/>
      <c r="J62" s="24"/>
      <c r="K62" s="2"/>
    </row>
    <row r="63">
      <c r="A63" s="19"/>
      <c r="B63" s="19"/>
      <c r="C63" s="18"/>
      <c r="D63" s="19" t="s">
        <v>83</v>
      </c>
      <c r="E63" s="20" t="s">
        <v>16</v>
      </c>
      <c r="F63" s="20">
        <v>6.5</v>
      </c>
      <c r="G63" s="21">
        <f t="shared" si="13"/>
        <v>12000</v>
      </c>
      <c r="H63" s="21">
        <v>78000.0</v>
      </c>
      <c r="I63" s="24"/>
      <c r="J63" s="24"/>
      <c r="K63" s="2"/>
    </row>
    <row r="64">
      <c r="A64" s="19"/>
      <c r="B64" s="19"/>
      <c r="C64" s="18"/>
      <c r="D64" s="19" t="s">
        <v>39</v>
      </c>
      <c r="E64" s="20" t="s">
        <v>16</v>
      </c>
      <c r="F64" s="20">
        <v>3.0</v>
      </c>
      <c r="G64" s="21">
        <v>11000.0</v>
      </c>
      <c r="H64" s="21">
        <f t="shared" ref="H64:H105" si="14">F64*G64</f>
        <v>33000</v>
      </c>
      <c r="I64" s="21">
        <f>SUM(H58:H64)</f>
        <v>251000</v>
      </c>
      <c r="J64" s="24"/>
      <c r="K64" s="22" t="s">
        <v>17</v>
      </c>
    </row>
    <row r="65">
      <c r="A65" s="19"/>
      <c r="B65" s="19"/>
      <c r="C65" s="23" t="s">
        <v>27</v>
      </c>
      <c r="D65" s="19" t="s">
        <v>35</v>
      </c>
      <c r="E65" s="20" t="s">
        <v>16</v>
      </c>
      <c r="F65" s="20">
        <v>160.0</v>
      </c>
      <c r="G65" s="21">
        <v>12000.0</v>
      </c>
      <c r="H65" s="21">
        <f t="shared" si="14"/>
        <v>1920000</v>
      </c>
      <c r="I65" s="24"/>
      <c r="J65" s="24"/>
      <c r="K65" s="2"/>
    </row>
    <row r="66">
      <c r="A66" s="19"/>
      <c r="B66" s="19"/>
      <c r="C66" s="18"/>
      <c r="D66" s="19" t="s">
        <v>31</v>
      </c>
      <c r="E66" s="20" t="s">
        <v>16</v>
      </c>
      <c r="F66" s="20">
        <v>6.0</v>
      </c>
      <c r="G66" s="21">
        <v>15000.0</v>
      </c>
      <c r="H66" s="21">
        <f t="shared" si="14"/>
        <v>90000</v>
      </c>
      <c r="I66" s="24"/>
      <c r="J66" s="24"/>
      <c r="K66" s="2"/>
    </row>
    <row r="67">
      <c r="A67" s="19"/>
      <c r="B67" s="19"/>
      <c r="C67" s="18"/>
      <c r="D67" s="19" t="s">
        <v>84</v>
      </c>
      <c r="E67" s="20" t="s">
        <v>16</v>
      </c>
      <c r="F67" s="20">
        <v>80.0</v>
      </c>
      <c r="G67" s="21">
        <v>12000.0</v>
      </c>
      <c r="H67" s="21">
        <f t="shared" si="14"/>
        <v>960000</v>
      </c>
      <c r="I67" s="24"/>
      <c r="J67" s="24"/>
      <c r="K67" s="2"/>
    </row>
    <row r="68">
      <c r="A68" s="19"/>
      <c r="B68" s="19"/>
      <c r="C68" s="18"/>
      <c r="D68" s="19" t="s">
        <v>29</v>
      </c>
      <c r="E68" s="20" t="s">
        <v>16</v>
      </c>
      <c r="F68" s="20">
        <v>5.0</v>
      </c>
      <c r="G68" s="21">
        <v>70000.0</v>
      </c>
      <c r="H68" s="21">
        <f t="shared" si="14"/>
        <v>350000</v>
      </c>
      <c r="I68" s="24"/>
      <c r="J68" s="24"/>
      <c r="K68" s="2"/>
    </row>
    <row r="69">
      <c r="A69" s="19"/>
      <c r="B69" s="19"/>
      <c r="C69" s="18"/>
      <c r="D69" s="19" t="s">
        <v>85</v>
      </c>
      <c r="E69" s="20" t="s">
        <v>16</v>
      </c>
      <c r="F69" s="20">
        <v>2.0</v>
      </c>
      <c r="G69" s="21">
        <v>18000.0</v>
      </c>
      <c r="H69" s="21">
        <f t="shared" si="14"/>
        <v>36000</v>
      </c>
      <c r="I69" s="24"/>
      <c r="J69" s="24"/>
      <c r="K69" s="2"/>
    </row>
    <row r="70">
      <c r="A70" s="19"/>
      <c r="B70" s="19"/>
      <c r="C70" s="18"/>
      <c r="D70" s="19" t="s">
        <v>86</v>
      </c>
      <c r="E70" s="20" t="s">
        <v>16</v>
      </c>
      <c r="F70" s="20">
        <v>25.0</v>
      </c>
      <c r="G70" s="21">
        <v>15000.0</v>
      </c>
      <c r="H70" s="21">
        <f t="shared" si="14"/>
        <v>375000</v>
      </c>
      <c r="I70" s="24"/>
      <c r="J70" s="24"/>
      <c r="K70" s="2"/>
    </row>
    <row r="71">
      <c r="A71" s="19"/>
      <c r="B71" s="19"/>
      <c r="C71" s="18"/>
      <c r="D71" s="19" t="s">
        <v>87</v>
      </c>
      <c r="E71" s="20" t="s">
        <v>16</v>
      </c>
      <c r="F71" s="20">
        <v>67.0</v>
      </c>
      <c r="G71" s="21">
        <v>9000.0</v>
      </c>
      <c r="H71" s="21">
        <f t="shared" si="14"/>
        <v>603000</v>
      </c>
      <c r="I71" s="24"/>
      <c r="J71" s="24"/>
      <c r="K71" s="2"/>
    </row>
    <row r="72">
      <c r="A72" s="19"/>
      <c r="B72" s="19"/>
      <c r="C72" s="18"/>
      <c r="D72" s="19" t="s">
        <v>34</v>
      </c>
      <c r="E72" s="20" t="s">
        <v>16</v>
      </c>
      <c r="F72" s="20">
        <v>125.0</v>
      </c>
      <c r="G72" s="21">
        <v>9000.0</v>
      </c>
      <c r="H72" s="21">
        <f t="shared" si="14"/>
        <v>1125000</v>
      </c>
      <c r="I72" s="24"/>
      <c r="J72" s="24"/>
      <c r="K72" s="2"/>
    </row>
    <row r="73">
      <c r="A73" s="19"/>
      <c r="B73" s="19"/>
      <c r="C73" s="18"/>
      <c r="D73" s="19" t="s">
        <v>88</v>
      </c>
      <c r="E73" s="20" t="s">
        <v>16</v>
      </c>
      <c r="F73" s="20">
        <v>9.0</v>
      </c>
      <c r="G73" s="21">
        <v>22000.0</v>
      </c>
      <c r="H73" s="21">
        <f t="shared" si="14"/>
        <v>198000</v>
      </c>
      <c r="I73" s="21">
        <f>SUM(H65:H73)</f>
        <v>5657000</v>
      </c>
      <c r="J73" s="24"/>
      <c r="K73" s="22" t="s">
        <v>17</v>
      </c>
    </row>
    <row r="74">
      <c r="A74" s="19"/>
      <c r="B74" s="19"/>
      <c r="C74" s="18" t="s">
        <v>25</v>
      </c>
      <c r="D74" s="19" t="s">
        <v>26</v>
      </c>
      <c r="E74" s="20" t="s">
        <v>16</v>
      </c>
      <c r="F74" s="20">
        <v>40.0</v>
      </c>
      <c r="G74" s="21">
        <v>8000.0</v>
      </c>
      <c r="H74" s="21">
        <f t="shared" si="14"/>
        <v>320000</v>
      </c>
      <c r="I74" s="21">
        <f>H74</f>
        <v>320000</v>
      </c>
      <c r="J74" s="24"/>
      <c r="K74" s="22" t="s">
        <v>17</v>
      </c>
    </row>
    <row r="75">
      <c r="A75" s="19"/>
      <c r="B75" s="19"/>
      <c r="C75" s="18" t="s">
        <v>44</v>
      </c>
      <c r="D75" s="19" t="s">
        <v>89</v>
      </c>
      <c r="E75" s="20" t="s">
        <v>90</v>
      </c>
      <c r="F75" s="20">
        <v>2.0</v>
      </c>
      <c r="G75" s="21">
        <v>20000.0</v>
      </c>
      <c r="H75" s="21">
        <f t="shared" si="14"/>
        <v>40000</v>
      </c>
      <c r="I75" s="24"/>
      <c r="J75" s="24"/>
      <c r="K75" s="2"/>
    </row>
    <row r="76">
      <c r="A76" s="19"/>
      <c r="B76" s="19"/>
      <c r="C76" s="18"/>
      <c r="D76" s="19" t="s">
        <v>91</v>
      </c>
      <c r="E76" s="20" t="s">
        <v>16</v>
      </c>
      <c r="F76" s="20">
        <v>3.0</v>
      </c>
      <c r="G76" s="21">
        <v>13000.0</v>
      </c>
      <c r="H76" s="21">
        <f t="shared" si="14"/>
        <v>39000</v>
      </c>
      <c r="I76" s="24"/>
      <c r="J76" s="24"/>
      <c r="K76" s="2"/>
    </row>
    <row r="77">
      <c r="A77" s="19"/>
      <c r="B77" s="19"/>
      <c r="C77" s="18"/>
      <c r="D77" s="19" t="s">
        <v>92</v>
      </c>
      <c r="E77" s="20" t="s">
        <v>16</v>
      </c>
      <c r="F77" s="20">
        <v>2.0</v>
      </c>
      <c r="G77" s="21">
        <v>16500.0</v>
      </c>
      <c r="H77" s="21">
        <f t="shared" si="14"/>
        <v>33000</v>
      </c>
      <c r="I77" s="24"/>
      <c r="J77" s="24"/>
      <c r="K77" s="2"/>
    </row>
    <row r="78">
      <c r="A78" s="19"/>
      <c r="B78" s="19"/>
      <c r="C78" s="18"/>
      <c r="D78" s="19" t="s">
        <v>63</v>
      </c>
      <c r="E78" s="20" t="s">
        <v>54</v>
      </c>
      <c r="F78" s="20">
        <v>2.0</v>
      </c>
      <c r="G78" s="21">
        <v>190000.0</v>
      </c>
      <c r="H78" s="21">
        <f t="shared" si="14"/>
        <v>380000</v>
      </c>
      <c r="I78" s="24"/>
      <c r="J78" s="24"/>
      <c r="K78" s="2"/>
    </row>
    <row r="79">
      <c r="A79" s="19"/>
      <c r="B79" s="19"/>
      <c r="C79" s="18"/>
      <c r="D79" s="19" t="s">
        <v>93</v>
      </c>
      <c r="E79" s="20" t="s">
        <v>48</v>
      </c>
      <c r="F79" s="20">
        <v>1.0</v>
      </c>
      <c r="G79" s="21">
        <v>48000.0</v>
      </c>
      <c r="H79" s="21">
        <f t="shared" si="14"/>
        <v>48000</v>
      </c>
      <c r="I79" s="24"/>
      <c r="J79" s="24"/>
      <c r="K79" s="2"/>
    </row>
    <row r="80">
      <c r="A80" s="19"/>
      <c r="B80" s="19"/>
      <c r="C80" s="18"/>
      <c r="D80" s="19" t="s">
        <v>94</v>
      </c>
      <c r="E80" s="20" t="s">
        <v>16</v>
      </c>
      <c r="F80" s="20">
        <v>1.0</v>
      </c>
      <c r="G80" s="21">
        <v>140000.0</v>
      </c>
      <c r="H80" s="21">
        <f t="shared" si="14"/>
        <v>140000</v>
      </c>
      <c r="I80" s="24"/>
      <c r="J80" s="24"/>
      <c r="K80" s="2"/>
    </row>
    <row r="81">
      <c r="A81" s="19"/>
      <c r="B81" s="19"/>
      <c r="C81" s="18"/>
      <c r="D81" s="19" t="s">
        <v>95</v>
      </c>
      <c r="E81" s="20" t="s">
        <v>16</v>
      </c>
      <c r="F81" s="20">
        <v>10.0</v>
      </c>
      <c r="G81" s="21">
        <v>16000.0</v>
      </c>
      <c r="H81" s="21">
        <f t="shared" si="14"/>
        <v>160000</v>
      </c>
      <c r="I81" s="24"/>
      <c r="J81" s="24"/>
      <c r="K81" s="2"/>
    </row>
    <row r="82">
      <c r="A82" s="19"/>
      <c r="B82" s="19"/>
      <c r="C82" s="18"/>
      <c r="D82" s="19" t="s">
        <v>45</v>
      </c>
      <c r="E82" s="20" t="s">
        <v>16</v>
      </c>
      <c r="F82" s="20">
        <v>13.0</v>
      </c>
      <c r="G82" s="21">
        <v>18500.0</v>
      </c>
      <c r="H82" s="21">
        <f t="shared" si="14"/>
        <v>240500</v>
      </c>
      <c r="I82" s="24"/>
      <c r="J82" s="24"/>
      <c r="K82" s="2"/>
    </row>
    <row r="83">
      <c r="A83" s="19"/>
      <c r="B83" s="19"/>
      <c r="C83" s="18"/>
      <c r="D83" s="19" t="s">
        <v>96</v>
      </c>
      <c r="E83" s="20" t="s">
        <v>50</v>
      </c>
      <c r="F83" s="20">
        <v>20.0</v>
      </c>
      <c r="G83" s="21">
        <v>5200.0</v>
      </c>
      <c r="H83" s="21">
        <f t="shared" si="14"/>
        <v>104000</v>
      </c>
      <c r="I83" s="24"/>
      <c r="J83" s="24"/>
      <c r="K83" s="2"/>
    </row>
    <row r="84">
      <c r="A84" s="19"/>
      <c r="B84" s="19"/>
      <c r="C84" s="18"/>
      <c r="D84" s="19" t="s">
        <v>97</v>
      </c>
      <c r="E84" s="20" t="s">
        <v>16</v>
      </c>
      <c r="F84" s="20">
        <v>1.0</v>
      </c>
      <c r="G84" s="21">
        <v>48000.0</v>
      </c>
      <c r="H84" s="21">
        <f t="shared" si="14"/>
        <v>48000</v>
      </c>
      <c r="I84" s="24"/>
      <c r="J84" s="24"/>
      <c r="K84" s="2"/>
    </row>
    <row r="85">
      <c r="A85" s="19"/>
      <c r="B85" s="19"/>
      <c r="C85" s="18"/>
      <c r="D85" s="19" t="s">
        <v>49</v>
      </c>
      <c r="E85" s="20" t="s">
        <v>16</v>
      </c>
      <c r="F85" s="20">
        <v>6.0</v>
      </c>
      <c r="G85" s="21">
        <v>43000.0</v>
      </c>
      <c r="H85" s="21">
        <f t="shared" si="14"/>
        <v>258000</v>
      </c>
      <c r="I85" s="24"/>
      <c r="J85" s="24"/>
      <c r="K85" s="2"/>
    </row>
    <row r="86">
      <c r="A86" s="19"/>
      <c r="B86" s="19"/>
      <c r="C86" s="18"/>
      <c r="D86" s="19" t="s">
        <v>98</v>
      </c>
      <c r="E86" s="20" t="s">
        <v>16</v>
      </c>
      <c r="F86" s="20">
        <v>1.0</v>
      </c>
      <c r="G86" s="21">
        <v>30000.0</v>
      </c>
      <c r="H86" s="21">
        <f t="shared" si="14"/>
        <v>30000</v>
      </c>
      <c r="I86" s="24"/>
      <c r="J86" s="24"/>
      <c r="K86" s="2"/>
    </row>
    <row r="87">
      <c r="A87" s="19"/>
      <c r="B87" s="19"/>
      <c r="C87" s="18"/>
      <c r="D87" s="19" t="s">
        <v>94</v>
      </c>
      <c r="E87" s="20" t="s">
        <v>16</v>
      </c>
      <c r="F87" s="20">
        <v>1.0</v>
      </c>
      <c r="G87" s="21">
        <v>140000.0</v>
      </c>
      <c r="H87" s="21">
        <f t="shared" si="14"/>
        <v>140000</v>
      </c>
      <c r="I87" s="24"/>
      <c r="J87" s="24"/>
      <c r="K87" s="2"/>
    </row>
    <row r="88">
      <c r="A88" s="19"/>
      <c r="B88" s="19"/>
      <c r="C88" s="18"/>
      <c r="D88" s="19" t="s">
        <v>52</v>
      </c>
      <c r="E88" s="20" t="s">
        <v>16</v>
      </c>
      <c r="F88" s="20">
        <v>4.0</v>
      </c>
      <c r="G88" s="21">
        <v>42000.0</v>
      </c>
      <c r="H88" s="21">
        <f t="shared" si="14"/>
        <v>168000</v>
      </c>
      <c r="I88" s="24"/>
      <c r="J88" s="24"/>
      <c r="K88" s="2"/>
    </row>
    <row r="89">
      <c r="A89" s="19"/>
      <c r="B89" s="19"/>
      <c r="C89" s="18"/>
      <c r="D89" s="19" t="s">
        <v>99</v>
      </c>
      <c r="E89" s="20" t="s">
        <v>16</v>
      </c>
      <c r="F89" s="20">
        <v>5.0</v>
      </c>
      <c r="G89" s="21">
        <v>35000.0</v>
      </c>
      <c r="H89" s="21">
        <f t="shared" si="14"/>
        <v>175000</v>
      </c>
      <c r="I89" s="24"/>
      <c r="J89" s="24"/>
      <c r="K89" s="2"/>
    </row>
    <row r="90">
      <c r="A90" s="19"/>
      <c r="B90" s="19"/>
      <c r="C90" s="18"/>
      <c r="D90" s="19" t="s">
        <v>100</v>
      </c>
      <c r="E90" s="20" t="s">
        <v>16</v>
      </c>
      <c r="F90" s="20">
        <v>5.0</v>
      </c>
      <c r="G90" s="21">
        <v>13000.0</v>
      </c>
      <c r="H90" s="21">
        <f t="shared" si="14"/>
        <v>65000</v>
      </c>
      <c r="I90" s="24"/>
      <c r="J90" s="24"/>
      <c r="K90" s="2"/>
    </row>
    <row r="91">
      <c r="A91" s="19"/>
      <c r="B91" s="19"/>
      <c r="C91" s="18"/>
      <c r="D91" s="30" t="s">
        <v>101</v>
      </c>
      <c r="E91" s="20" t="s">
        <v>50</v>
      </c>
      <c r="F91" s="20">
        <v>1.0</v>
      </c>
      <c r="G91" s="21">
        <v>6000.0</v>
      </c>
      <c r="H91" s="21">
        <f t="shared" si="14"/>
        <v>6000</v>
      </c>
      <c r="I91" s="24"/>
      <c r="J91" s="24"/>
      <c r="K91" s="2"/>
    </row>
    <row r="92">
      <c r="A92" s="19"/>
      <c r="B92" s="19"/>
      <c r="C92" s="18"/>
      <c r="D92" s="19" t="s">
        <v>102</v>
      </c>
      <c r="E92" s="20" t="s">
        <v>16</v>
      </c>
      <c r="F92" s="20">
        <v>14.0</v>
      </c>
      <c r="G92" s="21">
        <v>11500.0</v>
      </c>
      <c r="H92" s="21">
        <f t="shared" si="14"/>
        <v>161000</v>
      </c>
      <c r="I92" s="24"/>
      <c r="J92" s="24"/>
      <c r="K92" s="2"/>
    </row>
    <row r="93">
      <c r="A93" s="19"/>
      <c r="B93" s="19"/>
      <c r="C93" s="18"/>
      <c r="D93" s="19" t="s">
        <v>103</v>
      </c>
      <c r="E93" s="20" t="s">
        <v>16</v>
      </c>
      <c r="F93" s="20">
        <v>20.0</v>
      </c>
      <c r="G93" s="21">
        <v>28000.0</v>
      </c>
      <c r="H93" s="21">
        <f t="shared" si="14"/>
        <v>560000</v>
      </c>
      <c r="I93" s="24">
        <f>sum(H75:H93)</f>
        <v>2795500</v>
      </c>
      <c r="J93" s="24"/>
      <c r="K93" s="22" t="s">
        <v>17</v>
      </c>
    </row>
    <row r="94">
      <c r="A94" s="19"/>
      <c r="B94" s="19"/>
      <c r="C94" s="18" t="s">
        <v>44</v>
      </c>
      <c r="D94" s="19" t="s">
        <v>104</v>
      </c>
      <c r="E94" s="20" t="s">
        <v>16</v>
      </c>
      <c r="F94" s="20">
        <v>1.0</v>
      </c>
      <c r="G94" s="21">
        <v>85000.0</v>
      </c>
      <c r="H94" s="21">
        <f t="shared" si="14"/>
        <v>85000</v>
      </c>
      <c r="I94" s="24"/>
      <c r="J94" s="24"/>
      <c r="K94" s="2"/>
    </row>
    <row r="95">
      <c r="A95" s="19"/>
      <c r="B95" s="19"/>
      <c r="C95" s="18"/>
      <c r="D95" s="19" t="s">
        <v>105</v>
      </c>
      <c r="E95" s="20" t="s">
        <v>54</v>
      </c>
      <c r="F95" s="20">
        <v>1.0</v>
      </c>
      <c r="G95" s="21">
        <v>95000.0</v>
      </c>
      <c r="H95" s="21">
        <f t="shared" si="14"/>
        <v>95000</v>
      </c>
      <c r="I95" s="21">
        <f>sum(H94:H95)</f>
        <v>180000</v>
      </c>
      <c r="J95" s="24"/>
      <c r="K95" s="22" t="s">
        <v>17</v>
      </c>
    </row>
    <row r="96">
      <c r="A96" s="2"/>
      <c r="B96" s="2"/>
      <c r="C96" s="23" t="s">
        <v>106</v>
      </c>
      <c r="D96" s="19" t="s">
        <v>107</v>
      </c>
      <c r="E96" s="20" t="s">
        <v>67</v>
      </c>
      <c r="F96" s="20">
        <v>90.0</v>
      </c>
      <c r="G96" s="21">
        <v>12000.0</v>
      </c>
      <c r="H96" s="21">
        <f t="shared" si="14"/>
        <v>1080000</v>
      </c>
      <c r="I96" s="27"/>
      <c r="J96" s="2"/>
      <c r="K96" s="2"/>
    </row>
    <row r="97">
      <c r="A97" s="2"/>
      <c r="B97" s="2"/>
      <c r="C97" s="18"/>
      <c r="D97" s="19" t="s">
        <v>108</v>
      </c>
      <c r="E97" s="20" t="s">
        <v>109</v>
      </c>
      <c r="F97" s="20">
        <v>22.0</v>
      </c>
      <c r="G97" s="21">
        <v>55000.0</v>
      </c>
      <c r="H97" s="21">
        <f t="shared" si="14"/>
        <v>1210000</v>
      </c>
      <c r="I97" s="27">
        <f>SUM(H96:H97)</f>
        <v>2290000</v>
      </c>
      <c r="J97" s="2"/>
      <c r="K97" s="22" t="s">
        <v>17</v>
      </c>
    </row>
    <row r="98">
      <c r="A98" s="2"/>
      <c r="B98" s="2"/>
      <c r="C98" s="23" t="s">
        <v>110</v>
      </c>
      <c r="D98" s="19" t="s">
        <v>111</v>
      </c>
      <c r="E98" s="20" t="s">
        <v>112</v>
      </c>
      <c r="F98" s="20">
        <v>2550.0</v>
      </c>
      <c r="G98" s="21">
        <v>3500.0</v>
      </c>
      <c r="H98" s="21">
        <f t="shared" si="14"/>
        <v>8925000</v>
      </c>
      <c r="I98" s="27">
        <f>H98</f>
        <v>8925000</v>
      </c>
      <c r="J98" s="2"/>
      <c r="K98" s="22" t="s">
        <v>17</v>
      </c>
    </row>
    <row r="99">
      <c r="A99" s="2"/>
      <c r="B99" s="2"/>
      <c r="C99" s="31" t="s">
        <v>113</v>
      </c>
      <c r="D99" s="22" t="s">
        <v>114</v>
      </c>
      <c r="E99" s="32" t="s">
        <v>109</v>
      </c>
      <c r="F99" s="32">
        <v>210.0</v>
      </c>
      <c r="G99" s="33">
        <v>33500.0</v>
      </c>
      <c r="H99" s="21">
        <f t="shared" si="14"/>
        <v>7035000</v>
      </c>
      <c r="I99" s="27"/>
      <c r="J99" s="2"/>
      <c r="K99" s="2"/>
    </row>
    <row r="100">
      <c r="A100" s="2"/>
      <c r="B100" s="2"/>
      <c r="C100" s="34"/>
      <c r="D100" s="22" t="s">
        <v>115</v>
      </c>
      <c r="E100" s="32" t="s">
        <v>109</v>
      </c>
      <c r="F100" s="32">
        <v>117.4</v>
      </c>
      <c r="G100" s="33">
        <v>46500.0</v>
      </c>
      <c r="H100" s="21">
        <f t="shared" si="14"/>
        <v>5459100</v>
      </c>
      <c r="I100" s="27"/>
      <c r="J100" s="2"/>
      <c r="K100" s="2"/>
    </row>
    <row r="101">
      <c r="A101" s="2"/>
      <c r="B101" s="2"/>
      <c r="C101" s="34"/>
      <c r="D101" s="22" t="s">
        <v>116</v>
      </c>
      <c r="E101" s="32" t="s">
        <v>109</v>
      </c>
      <c r="F101" s="32">
        <v>215.0</v>
      </c>
      <c r="G101" s="33">
        <v>33500.0</v>
      </c>
      <c r="H101" s="21">
        <f t="shared" si="14"/>
        <v>7202500</v>
      </c>
      <c r="I101" s="27">
        <f>SUM(H99:H101)</f>
        <v>19696600</v>
      </c>
      <c r="J101" s="2"/>
      <c r="K101" s="22" t="s">
        <v>17</v>
      </c>
    </row>
    <row r="102">
      <c r="A102" s="2"/>
      <c r="B102" s="2"/>
      <c r="C102" s="31" t="s">
        <v>117</v>
      </c>
      <c r="D102" s="22" t="s">
        <v>118</v>
      </c>
      <c r="E102" s="32" t="s">
        <v>16</v>
      </c>
      <c r="F102" s="32">
        <v>135.0</v>
      </c>
      <c r="G102" s="33">
        <v>25500.0</v>
      </c>
      <c r="H102" s="21">
        <f t="shared" si="14"/>
        <v>3442500</v>
      </c>
      <c r="I102" s="27"/>
      <c r="J102" s="2"/>
      <c r="K102" s="2"/>
    </row>
    <row r="103">
      <c r="A103" s="2"/>
      <c r="B103" s="2"/>
      <c r="C103" s="34"/>
      <c r="D103" s="22" t="s">
        <v>119</v>
      </c>
      <c r="E103" s="32" t="s">
        <v>16</v>
      </c>
      <c r="F103" s="32">
        <v>135.0</v>
      </c>
      <c r="G103" s="33">
        <v>25500.0</v>
      </c>
      <c r="H103" s="21">
        <f t="shared" si="14"/>
        <v>3442500</v>
      </c>
      <c r="I103" s="27"/>
      <c r="J103" s="2"/>
      <c r="K103" s="2"/>
    </row>
    <row r="104">
      <c r="A104" s="2"/>
      <c r="B104" s="2"/>
      <c r="C104" s="34"/>
      <c r="D104" s="22" t="s">
        <v>120</v>
      </c>
      <c r="E104" s="12"/>
      <c r="F104" s="32">
        <v>126.7</v>
      </c>
      <c r="G104" s="33">
        <v>25500.0</v>
      </c>
      <c r="H104" s="21">
        <f t="shared" si="14"/>
        <v>3230850</v>
      </c>
      <c r="I104" s="27">
        <f>SUM(H102:H104)</f>
        <v>10115850</v>
      </c>
      <c r="J104" s="2"/>
      <c r="K104" s="22" t="s">
        <v>17</v>
      </c>
    </row>
    <row r="105">
      <c r="A105" s="2"/>
      <c r="B105" s="2"/>
      <c r="C105" s="34"/>
      <c r="D105" s="22" t="s">
        <v>12</v>
      </c>
      <c r="E105" s="12"/>
      <c r="F105" s="32">
        <v>14.0</v>
      </c>
      <c r="G105" s="35">
        <v>2500.0</v>
      </c>
      <c r="H105" s="36">
        <f t="shared" si="14"/>
        <v>35000</v>
      </c>
      <c r="I105" s="27"/>
      <c r="J105" s="27">
        <f>H105</f>
        <v>35000</v>
      </c>
      <c r="K105" s="2"/>
    </row>
    <row r="106">
      <c r="A106" s="37" t="s">
        <v>121</v>
      </c>
      <c r="B106" s="14"/>
      <c r="C106" s="15"/>
      <c r="D106" s="14"/>
      <c r="E106" s="16"/>
      <c r="F106" s="16"/>
      <c r="G106" s="28"/>
      <c r="H106" s="17" t="s">
        <v>11</v>
      </c>
      <c r="I106" s="17">
        <f>sum(I107:I112)</f>
        <v>16250000</v>
      </c>
      <c r="J106" s="17">
        <f>sum(J107:J159)</f>
        <v>32500</v>
      </c>
      <c r="K106" s="2"/>
    </row>
    <row r="107">
      <c r="A107" s="2"/>
      <c r="B107" s="2"/>
      <c r="C107" s="31" t="s">
        <v>122</v>
      </c>
      <c r="D107" s="22" t="s">
        <v>123</v>
      </c>
      <c r="E107" s="32" t="s">
        <v>50</v>
      </c>
      <c r="F107" s="32">
        <v>2100.0</v>
      </c>
      <c r="G107" s="35">
        <v>1800.0</v>
      </c>
      <c r="H107" s="36">
        <f t="shared" ref="H107:H112" si="15">F107*G107</f>
        <v>3780000</v>
      </c>
      <c r="I107" s="27"/>
      <c r="J107" s="22"/>
      <c r="K107" s="22" t="s">
        <v>17</v>
      </c>
    </row>
    <row r="108">
      <c r="A108" s="2"/>
      <c r="B108" s="2"/>
      <c r="C108" s="34"/>
      <c r="D108" s="22" t="s">
        <v>124</v>
      </c>
      <c r="E108" s="32" t="s">
        <v>50</v>
      </c>
      <c r="F108" s="32">
        <v>2020.0</v>
      </c>
      <c r="G108" s="35">
        <v>1800.0</v>
      </c>
      <c r="H108" s="36">
        <f t="shared" si="15"/>
        <v>3636000</v>
      </c>
      <c r="I108" s="27"/>
      <c r="J108" s="22"/>
      <c r="K108" s="22" t="s">
        <v>17</v>
      </c>
    </row>
    <row r="109">
      <c r="A109" s="2"/>
      <c r="B109" s="2"/>
      <c r="C109" s="34"/>
      <c r="D109" s="22" t="s">
        <v>125</v>
      </c>
      <c r="E109" s="32" t="s">
        <v>50</v>
      </c>
      <c r="F109" s="32">
        <v>2225.0</v>
      </c>
      <c r="G109" s="35">
        <v>1800.0</v>
      </c>
      <c r="H109" s="36">
        <f t="shared" si="15"/>
        <v>4005000</v>
      </c>
      <c r="I109" s="27"/>
      <c r="J109" s="22"/>
      <c r="K109" s="22" t="s">
        <v>17</v>
      </c>
    </row>
    <row r="110">
      <c r="A110" s="2"/>
      <c r="B110" s="2"/>
      <c r="C110" s="34"/>
      <c r="D110" s="22" t="s">
        <v>126</v>
      </c>
      <c r="E110" s="32" t="s">
        <v>16</v>
      </c>
      <c r="F110" s="32">
        <v>220.0</v>
      </c>
      <c r="G110" s="35">
        <v>18500.0</v>
      </c>
      <c r="H110" s="36">
        <f t="shared" si="15"/>
        <v>4070000</v>
      </c>
      <c r="I110" s="27">
        <f>SUM(H107:H110)</f>
        <v>15491000</v>
      </c>
      <c r="J110" s="22"/>
      <c r="K110" s="22" t="s">
        <v>17</v>
      </c>
    </row>
    <row r="111">
      <c r="A111" s="2"/>
      <c r="B111" s="2"/>
      <c r="C111" s="31" t="s">
        <v>127</v>
      </c>
      <c r="D111" s="22" t="s">
        <v>128</v>
      </c>
      <c r="E111" s="32" t="s">
        <v>16</v>
      </c>
      <c r="F111" s="32">
        <v>33.0</v>
      </c>
      <c r="G111" s="35">
        <v>23000.0</v>
      </c>
      <c r="H111" s="36">
        <f t="shared" si="15"/>
        <v>759000</v>
      </c>
      <c r="I111" s="27">
        <f>H111</f>
        <v>759000</v>
      </c>
      <c r="J111" s="2"/>
      <c r="K111" s="2"/>
    </row>
    <row r="112">
      <c r="A112" s="2"/>
      <c r="B112" s="2"/>
      <c r="C112" s="31"/>
      <c r="D112" s="22" t="s">
        <v>12</v>
      </c>
      <c r="E112" s="32"/>
      <c r="F112" s="32">
        <v>2.0</v>
      </c>
      <c r="G112" s="35">
        <v>2500.0</v>
      </c>
      <c r="H112" s="36">
        <f t="shared" si="15"/>
        <v>5000</v>
      </c>
      <c r="I112" s="27"/>
      <c r="J112" s="27">
        <f>H112</f>
        <v>5000</v>
      </c>
      <c r="K112" s="2"/>
    </row>
    <row r="113">
      <c r="A113" s="37" t="s">
        <v>129</v>
      </c>
      <c r="B113" s="14"/>
      <c r="C113" s="15"/>
      <c r="D113" s="14"/>
      <c r="E113" s="16"/>
      <c r="F113" s="16"/>
      <c r="G113" s="28"/>
      <c r="H113" s="17" t="s">
        <v>11</v>
      </c>
      <c r="I113" s="17">
        <f t="shared" ref="I113:J113" si="16">sum(I114:I167)</f>
        <v>59668800</v>
      </c>
      <c r="J113" s="17">
        <f t="shared" si="16"/>
        <v>27500</v>
      </c>
      <c r="K113" s="2"/>
    </row>
    <row r="114">
      <c r="A114" s="2"/>
      <c r="B114" s="2"/>
      <c r="C114" s="22" t="s">
        <v>113</v>
      </c>
      <c r="D114" s="22" t="s">
        <v>130</v>
      </c>
      <c r="E114" s="32" t="s">
        <v>16</v>
      </c>
      <c r="F114" s="32">
        <v>266.5</v>
      </c>
      <c r="G114" s="33">
        <v>32000.0</v>
      </c>
      <c r="H114" s="27">
        <f t="shared" ref="H114:H126" si="17">F114*G114</f>
        <v>8528000</v>
      </c>
      <c r="I114" s="27"/>
      <c r="J114" s="2"/>
      <c r="K114" s="2"/>
    </row>
    <row r="115">
      <c r="A115" s="2"/>
      <c r="B115" s="2"/>
      <c r="C115" s="2"/>
      <c r="D115" s="22" t="s">
        <v>131</v>
      </c>
      <c r="E115" s="32" t="s">
        <v>16</v>
      </c>
      <c r="F115" s="32">
        <v>265.0</v>
      </c>
      <c r="G115" s="33">
        <v>34000.0</v>
      </c>
      <c r="H115" s="27">
        <f t="shared" si="17"/>
        <v>9010000</v>
      </c>
      <c r="I115" s="27">
        <f>SUM(H114:H115)</f>
        <v>17538000</v>
      </c>
      <c r="J115" s="2"/>
      <c r="K115" s="22" t="s">
        <v>17</v>
      </c>
    </row>
    <row r="116">
      <c r="A116" s="2"/>
      <c r="B116" s="2"/>
      <c r="C116" s="31" t="s">
        <v>106</v>
      </c>
      <c r="D116" s="22" t="s">
        <v>132</v>
      </c>
      <c r="E116" s="32" t="s">
        <v>133</v>
      </c>
      <c r="F116" s="32">
        <v>90.0</v>
      </c>
      <c r="G116" s="35">
        <v>12000.0</v>
      </c>
      <c r="H116" s="36">
        <f t="shared" si="17"/>
        <v>1080000</v>
      </c>
      <c r="I116" s="27"/>
      <c r="J116" s="22"/>
      <c r="K116" s="2"/>
    </row>
    <row r="117">
      <c r="A117" s="2"/>
      <c r="B117" s="2"/>
      <c r="C117" s="34"/>
      <c r="D117" s="22" t="s">
        <v>134</v>
      </c>
      <c r="E117" s="32" t="s">
        <v>133</v>
      </c>
      <c r="F117" s="32">
        <v>83.0</v>
      </c>
      <c r="G117" s="35">
        <v>12000.0</v>
      </c>
      <c r="H117" s="36">
        <f t="shared" si="17"/>
        <v>996000</v>
      </c>
      <c r="I117" s="27"/>
      <c r="J117" s="22"/>
      <c r="K117" s="2"/>
    </row>
    <row r="118">
      <c r="A118" s="2"/>
      <c r="B118" s="2"/>
      <c r="C118" s="34"/>
      <c r="D118" s="22" t="s">
        <v>135</v>
      </c>
      <c r="E118" s="32" t="s">
        <v>133</v>
      </c>
      <c r="F118" s="32">
        <v>130.0</v>
      </c>
      <c r="G118" s="35">
        <v>12000.0</v>
      </c>
      <c r="H118" s="36">
        <f t="shared" si="17"/>
        <v>1560000</v>
      </c>
      <c r="I118" s="27"/>
      <c r="J118" s="22"/>
      <c r="K118" s="2"/>
    </row>
    <row r="119">
      <c r="A119" s="2"/>
      <c r="B119" s="2"/>
      <c r="C119" s="34"/>
      <c r="D119" s="22" t="s">
        <v>136</v>
      </c>
      <c r="E119" s="32" t="s">
        <v>133</v>
      </c>
      <c r="F119" s="32">
        <v>75.0</v>
      </c>
      <c r="G119" s="35">
        <v>12000.0</v>
      </c>
      <c r="H119" s="36">
        <f t="shared" si="17"/>
        <v>900000</v>
      </c>
      <c r="I119" s="27">
        <f>SUM(H116:H119)</f>
        <v>4536000</v>
      </c>
      <c r="J119" s="22"/>
      <c r="K119" s="22" t="s">
        <v>17</v>
      </c>
    </row>
    <row r="120">
      <c r="A120" s="2"/>
      <c r="B120" s="2"/>
      <c r="C120" s="31" t="s">
        <v>137</v>
      </c>
      <c r="D120" s="22" t="s">
        <v>138</v>
      </c>
      <c r="E120" s="32" t="s">
        <v>16</v>
      </c>
      <c r="F120" s="32">
        <v>200.0</v>
      </c>
      <c r="G120" s="35">
        <v>25000.0</v>
      </c>
      <c r="H120" s="36">
        <f t="shared" si="17"/>
        <v>5000000</v>
      </c>
      <c r="I120" s="27"/>
      <c r="J120" s="22"/>
      <c r="K120" s="2"/>
    </row>
    <row r="121">
      <c r="A121" s="2"/>
      <c r="B121" s="2"/>
      <c r="C121" s="34"/>
      <c r="D121" s="22" t="s">
        <v>139</v>
      </c>
      <c r="E121" s="32" t="s">
        <v>16</v>
      </c>
      <c r="F121" s="32">
        <v>217.0</v>
      </c>
      <c r="G121" s="35">
        <v>25000.0</v>
      </c>
      <c r="H121" s="36">
        <f t="shared" si="17"/>
        <v>5425000</v>
      </c>
      <c r="I121" s="27"/>
      <c r="J121" s="22"/>
      <c r="K121" s="2"/>
    </row>
    <row r="122">
      <c r="A122" s="2"/>
      <c r="B122" s="2"/>
      <c r="C122" s="34"/>
      <c r="D122" s="22" t="s">
        <v>140</v>
      </c>
      <c r="E122" s="32" t="s">
        <v>16</v>
      </c>
      <c r="F122" s="32">
        <v>67.0</v>
      </c>
      <c r="G122" s="35">
        <v>15000.0</v>
      </c>
      <c r="H122" s="36">
        <f t="shared" si="17"/>
        <v>1005000</v>
      </c>
      <c r="I122" s="27"/>
      <c r="J122" s="22"/>
      <c r="K122" s="2"/>
    </row>
    <row r="123">
      <c r="A123" s="2"/>
      <c r="B123" s="2"/>
      <c r="C123" s="34"/>
      <c r="D123" s="22" t="s">
        <v>141</v>
      </c>
      <c r="E123" s="32" t="s">
        <v>16</v>
      </c>
      <c r="F123" s="32">
        <v>230.0</v>
      </c>
      <c r="G123" s="35">
        <v>18500.0</v>
      </c>
      <c r="H123" s="36">
        <f t="shared" si="17"/>
        <v>4255000</v>
      </c>
      <c r="I123" s="27"/>
      <c r="J123" s="22"/>
      <c r="K123" s="2"/>
    </row>
    <row r="124">
      <c r="A124" s="2"/>
      <c r="B124" s="2"/>
      <c r="C124" s="34"/>
      <c r="D124" s="22" t="s">
        <v>142</v>
      </c>
      <c r="E124" s="32" t="s">
        <v>16</v>
      </c>
      <c r="F124" s="32">
        <v>183.4</v>
      </c>
      <c r="G124" s="35">
        <v>25000.0</v>
      </c>
      <c r="H124" s="36">
        <f t="shared" si="17"/>
        <v>4585000</v>
      </c>
      <c r="I124" s="27">
        <f>SUM(H120:H124)</f>
        <v>20270000</v>
      </c>
      <c r="J124" s="22"/>
      <c r="K124" s="22" t="s">
        <v>17</v>
      </c>
    </row>
    <row r="125">
      <c r="A125" s="2"/>
      <c r="B125" s="2"/>
      <c r="C125" s="31" t="s">
        <v>75</v>
      </c>
      <c r="D125" s="22" t="s">
        <v>143</v>
      </c>
      <c r="E125" s="32" t="s">
        <v>16</v>
      </c>
      <c r="F125" s="32">
        <v>1.0</v>
      </c>
      <c r="G125" s="35">
        <v>380000.0</v>
      </c>
      <c r="H125" s="36">
        <f t="shared" si="17"/>
        <v>380000</v>
      </c>
      <c r="I125" s="27"/>
      <c r="J125" s="2"/>
      <c r="K125" s="2"/>
    </row>
    <row r="126">
      <c r="A126" s="2"/>
      <c r="B126" s="2"/>
      <c r="C126" s="34"/>
      <c r="D126" s="22" t="s">
        <v>78</v>
      </c>
      <c r="E126" s="32" t="s">
        <v>144</v>
      </c>
      <c r="F126" s="32">
        <v>1.0</v>
      </c>
      <c r="G126" s="35">
        <v>360000.0</v>
      </c>
      <c r="H126" s="36">
        <f t="shared" si="17"/>
        <v>360000</v>
      </c>
      <c r="I126" s="27"/>
      <c r="J126" s="2"/>
      <c r="K126" s="2"/>
    </row>
    <row r="127">
      <c r="A127" s="2"/>
      <c r="B127" s="2"/>
      <c r="C127" s="34"/>
      <c r="D127" s="22" t="s">
        <v>78</v>
      </c>
      <c r="E127" s="32" t="s">
        <v>50</v>
      </c>
      <c r="F127" s="32">
        <v>14.0</v>
      </c>
      <c r="G127" s="36">
        <f>H127/F127</f>
        <v>22700</v>
      </c>
      <c r="H127" s="35">
        <v>317800.0</v>
      </c>
      <c r="I127" s="27"/>
      <c r="J127" s="2"/>
      <c r="K127" s="2"/>
    </row>
    <row r="128">
      <c r="A128" s="2"/>
      <c r="B128" s="2"/>
      <c r="C128" s="34"/>
      <c r="D128" s="22" t="s">
        <v>145</v>
      </c>
      <c r="E128" s="32" t="s">
        <v>16</v>
      </c>
      <c r="F128" s="32">
        <v>3.0</v>
      </c>
      <c r="G128" s="35">
        <v>24000.0</v>
      </c>
      <c r="H128" s="36">
        <f>F128*G128</f>
        <v>72000</v>
      </c>
      <c r="I128" s="27"/>
      <c r="J128" s="2"/>
      <c r="K128" s="2"/>
    </row>
    <row r="129">
      <c r="A129" s="2"/>
      <c r="B129" s="2"/>
      <c r="C129" s="34"/>
      <c r="D129" s="22" t="s">
        <v>146</v>
      </c>
      <c r="E129" s="32" t="s">
        <v>144</v>
      </c>
      <c r="F129" s="32">
        <v>6.0</v>
      </c>
      <c r="G129" s="35">
        <f>H129/F129</f>
        <v>94000</v>
      </c>
      <c r="H129" s="35">
        <v>564000.0</v>
      </c>
      <c r="I129" s="27">
        <f>sum(H125:H129)</f>
        <v>1693800</v>
      </c>
      <c r="J129" s="2"/>
      <c r="K129" s="22" t="s">
        <v>17</v>
      </c>
    </row>
    <row r="130">
      <c r="A130" s="2"/>
      <c r="B130" s="2"/>
      <c r="C130" s="31" t="s">
        <v>79</v>
      </c>
      <c r="D130" s="22" t="s">
        <v>19</v>
      </c>
      <c r="E130" s="32" t="s">
        <v>16</v>
      </c>
      <c r="F130" s="32">
        <v>7.0</v>
      </c>
      <c r="G130" s="35">
        <v>32000.0</v>
      </c>
      <c r="H130" s="36">
        <f t="shared" ref="H130:H135" si="18">F130*G130</f>
        <v>224000</v>
      </c>
      <c r="I130" s="27"/>
      <c r="J130" s="2"/>
      <c r="K130" s="2"/>
    </row>
    <row r="131">
      <c r="A131" s="2"/>
      <c r="B131" s="2"/>
      <c r="C131" s="34"/>
      <c r="D131" s="22" t="s">
        <v>21</v>
      </c>
      <c r="E131" s="32" t="s">
        <v>16</v>
      </c>
      <c r="F131" s="32">
        <v>5.0</v>
      </c>
      <c r="G131" s="35">
        <v>30000.0</v>
      </c>
      <c r="H131" s="36">
        <f t="shared" si="18"/>
        <v>150000</v>
      </c>
      <c r="I131" s="27"/>
      <c r="J131" s="2"/>
      <c r="K131" s="2"/>
    </row>
    <row r="132">
      <c r="A132" s="2"/>
      <c r="B132" s="2"/>
      <c r="C132" s="34"/>
      <c r="D132" s="22" t="s">
        <v>19</v>
      </c>
      <c r="E132" s="32" t="s">
        <v>16</v>
      </c>
      <c r="F132" s="32">
        <v>1.0</v>
      </c>
      <c r="G132" s="35">
        <v>40000.0</v>
      </c>
      <c r="H132" s="36">
        <f t="shared" si="18"/>
        <v>40000</v>
      </c>
      <c r="I132" s="27">
        <f>SUM(H130:H132)</f>
        <v>414000</v>
      </c>
      <c r="J132" s="22"/>
      <c r="K132" s="22" t="s">
        <v>17</v>
      </c>
    </row>
    <row r="133">
      <c r="A133" s="2"/>
      <c r="B133" s="2"/>
      <c r="C133" s="31" t="s">
        <v>147</v>
      </c>
      <c r="D133" s="22" t="s">
        <v>74</v>
      </c>
      <c r="E133" s="32" t="s">
        <v>16</v>
      </c>
      <c r="F133" s="32">
        <v>500.0</v>
      </c>
      <c r="G133" s="35">
        <v>14500.0</v>
      </c>
      <c r="H133" s="36">
        <f t="shared" si="18"/>
        <v>7250000</v>
      </c>
      <c r="I133" s="27">
        <f t="shared" ref="I133:I135" si="19">H133</f>
        <v>7250000</v>
      </c>
      <c r="J133" s="2"/>
      <c r="K133" s="22" t="s">
        <v>17</v>
      </c>
    </row>
    <row r="134">
      <c r="A134" s="2"/>
      <c r="B134" s="2"/>
      <c r="C134" s="31" t="s">
        <v>148</v>
      </c>
      <c r="D134" s="22" t="s">
        <v>149</v>
      </c>
      <c r="E134" s="32" t="s">
        <v>50</v>
      </c>
      <c r="F134" s="32">
        <v>6.0</v>
      </c>
      <c r="G134" s="35">
        <v>22000.0</v>
      </c>
      <c r="H134" s="36">
        <f t="shared" si="18"/>
        <v>132000</v>
      </c>
      <c r="I134" s="27">
        <f t="shared" si="19"/>
        <v>132000</v>
      </c>
      <c r="J134" s="2"/>
      <c r="K134" s="22" t="s">
        <v>17</v>
      </c>
    </row>
    <row r="135">
      <c r="A135" s="2"/>
      <c r="B135" s="2"/>
      <c r="C135" s="31" t="s">
        <v>25</v>
      </c>
      <c r="D135" s="22" t="s">
        <v>26</v>
      </c>
      <c r="E135" s="32" t="s">
        <v>16</v>
      </c>
      <c r="F135" s="32">
        <v>40.0</v>
      </c>
      <c r="G135" s="35">
        <v>7000.0</v>
      </c>
      <c r="H135" s="36">
        <f t="shared" si="18"/>
        <v>280000</v>
      </c>
      <c r="I135" s="27">
        <f t="shared" si="19"/>
        <v>280000</v>
      </c>
      <c r="J135" s="2"/>
      <c r="K135" s="22" t="s">
        <v>17</v>
      </c>
    </row>
    <row r="136">
      <c r="A136" s="2"/>
      <c r="B136" s="2"/>
      <c r="C136" s="34"/>
      <c r="D136" s="22" t="s">
        <v>41</v>
      </c>
      <c r="E136" s="32" t="s">
        <v>16</v>
      </c>
      <c r="F136" s="32">
        <v>1.3</v>
      </c>
      <c r="G136" s="36">
        <f t="shared" ref="G136:G140" si="20">H136/F136</f>
        <v>32307.69231</v>
      </c>
      <c r="H136" s="35">
        <v>42000.0</v>
      </c>
      <c r="I136" s="27"/>
      <c r="J136" s="2"/>
      <c r="K136" s="2"/>
    </row>
    <row r="137">
      <c r="A137" s="2"/>
      <c r="B137" s="2"/>
      <c r="C137" s="34"/>
      <c r="D137" s="22" t="s">
        <v>39</v>
      </c>
      <c r="E137" s="32" t="s">
        <v>16</v>
      </c>
      <c r="F137" s="32">
        <v>3.0</v>
      </c>
      <c r="G137" s="36">
        <f t="shared" si="20"/>
        <v>10000</v>
      </c>
      <c r="H137" s="35">
        <v>30000.0</v>
      </c>
      <c r="I137" s="27"/>
      <c r="J137" s="2"/>
      <c r="K137" s="2"/>
    </row>
    <row r="138">
      <c r="A138" s="2"/>
      <c r="B138" s="2"/>
      <c r="C138" s="34"/>
      <c r="D138" s="22" t="s">
        <v>150</v>
      </c>
      <c r="E138" s="32" t="s">
        <v>16</v>
      </c>
      <c r="F138" s="32">
        <v>2.5</v>
      </c>
      <c r="G138" s="36">
        <f t="shared" si="20"/>
        <v>10000</v>
      </c>
      <c r="H138" s="35">
        <v>25000.0</v>
      </c>
      <c r="I138" s="27"/>
      <c r="J138" s="2"/>
      <c r="K138" s="2"/>
    </row>
    <row r="139">
      <c r="A139" s="2"/>
      <c r="B139" s="2"/>
      <c r="C139" s="34"/>
      <c r="D139" s="22" t="s">
        <v>83</v>
      </c>
      <c r="E139" s="32" t="s">
        <v>16</v>
      </c>
      <c r="F139" s="32">
        <v>1.0</v>
      </c>
      <c r="G139" s="36">
        <f t="shared" si="20"/>
        <v>12000</v>
      </c>
      <c r="H139" s="35">
        <v>12000.0</v>
      </c>
      <c r="I139" s="27"/>
      <c r="J139" s="2"/>
      <c r="K139" s="2"/>
    </row>
    <row r="140">
      <c r="A140" s="2"/>
      <c r="B140" s="2"/>
      <c r="C140" s="34"/>
      <c r="D140" s="22" t="s">
        <v>80</v>
      </c>
      <c r="E140" s="32" t="s">
        <v>16</v>
      </c>
      <c r="F140" s="32">
        <v>1.0</v>
      </c>
      <c r="G140" s="36">
        <f t="shared" si="20"/>
        <v>20000</v>
      </c>
      <c r="H140" s="35">
        <v>20000.0</v>
      </c>
      <c r="I140" s="27">
        <f>SUM(H136:H140)</f>
        <v>129000</v>
      </c>
      <c r="J140" s="2"/>
      <c r="K140" s="22" t="s">
        <v>17</v>
      </c>
    </row>
    <row r="141">
      <c r="A141" s="2"/>
      <c r="B141" s="2"/>
      <c r="C141" s="31" t="s">
        <v>44</v>
      </c>
      <c r="D141" s="22" t="s">
        <v>151</v>
      </c>
      <c r="E141" s="32" t="s">
        <v>50</v>
      </c>
      <c r="F141" s="32">
        <v>2.0</v>
      </c>
      <c r="G141" s="35">
        <v>48000.0</v>
      </c>
      <c r="H141" s="35">
        <f t="shared" ref="H141:H142" si="21">F141*G141</f>
        <v>96000</v>
      </c>
      <c r="I141" s="27"/>
      <c r="J141" s="2"/>
      <c r="K141" s="2"/>
    </row>
    <row r="142">
      <c r="A142" s="2"/>
      <c r="B142" s="2"/>
      <c r="C142" s="34"/>
      <c r="D142" s="22" t="s">
        <v>152</v>
      </c>
      <c r="E142" s="32" t="s">
        <v>16</v>
      </c>
      <c r="F142" s="32">
        <v>10.0</v>
      </c>
      <c r="G142" s="35">
        <v>18500.0</v>
      </c>
      <c r="H142" s="35">
        <f t="shared" si="21"/>
        <v>185000</v>
      </c>
      <c r="I142" s="27"/>
      <c r="J142" s="2"/>
      <c r="K142" s="2"/>
    </row>
    <row r="143">
      <c r="A143" s="2"/>
      <c r="B143" s="2"/>
      <c r="C143" s="34"/>
      <c r="D143" s="22" t="s">
        <v>94</v>
      </c>
      <c r="E143" s="32" t="s">
        <v>16</v>
      </c>
      <c r="F143" s="32">
        <v>0.8</v>
      </c>
      <c r="G143" s="36">
        <f>H143/F143</f>
        <v>140000</v>
      </c>
      <c r="H143" s="35">
        <v>112000.0</v>
      </c>
      <c r="I143" s="27"/>
      <c r="J143" s="2"/>
      <c r="K143" s="2"/>
    </row>
    <row r="144">
      <c r="A144" s="2"/>
      <c r="B144" s="2"/>
      <c r="C144" s="34"/>
      <c r="D144" s="22" t="s">
        <v>60</v>
      </c>
      <c r="E144" s="32" t="s">
        <v>16</v>
      </c>
      <c r="F144" s="32">
        <v>1.0</v>
      </c>
      <c r="G144" s="35">
        <v>24000.0</v>
      </c>
      <c r="H144" s="35">
        <f t="shared" ref="H144:H149" si="22">F144*G144</f>
        <v>24000</v>
      </c>
      <c r="I144" s="27"/>
      <c r="J144" s="2"/>
      <c r="K144" s="2"/>
    </row>
    <row r="145">
      <c r="A145" s="2"/>
      <c r="B145" s="2"/>
      <c r="C145" s="34"/>
      <c r="D145" s="22" t="s">
        <v>102</v>
      </c>
      <c r="E145" s="32" t="s">
        <v>59</v>
      </c>
      <c r="F145" s="32">
        <v>3.0</v>
      </c>
      <c r="G145" s="35">
        <v>225000.0</v>
      </c>
      <c r="H145" s="35">
        <f t="shared" si="22"/>
        <v>675000</v>
      </c>
      <c r="I145" s="27"/>
      <c r="J145" s="2"/>
      <c r="K145" s="2"/>
    </row>
    <row r="146">
      <c r="A146" s="2"/>
      <c r="B146" s="2"/>
      <c r="C146" s="34"/>
      <c r="D146" s="22" t="s">
        <v>153</v>
      </c>
      <c r="E146" s="32" t="s">
        <v>16</v>
      </c>
      <c r="F146" s="32">
        <v>9.0</v>
      </c>
      <c r="G146" s="35">
        <v>23500.0</v>
      </c>
      <c r="H146" s="35">
        <f t="shared" si="22"/>
        <v>211500</v>
      </c>
      <c r="I146" s="27"/>
      <c r="J146" s="2"/>
      <c r="K146" s="2"/>
    </row>
    <row r="147">
      <c r="A147" s="2"/>
      <c r="B147" s="2"/>
      <c r="C147" s="34"/>
      <c r="D147" s="22" t="s">
        <v>154</v>
      </c>
      <c r="E147" s="32" t="s">
        <v>16</v>
      </c>
      <c r="F147" s="32">
        <v>5.0</v>
      </c>
      <c r="G147" s="35">
        <v>18000.0</v>
      </c>
      <c r="H147" s="35">
        <f t="shared" si="22"/>
        <v>90000</v>
      </c>
      <c r="I147" s="27"/>
      <c r="J147" s="2"/>
      <c r="K147" s="2"/>
    </row>
    <row r="148">
      <c r="A148" s="2"/>
      <c r="B148" s="2"/>
      <c r="C148" s="34"/>
      <c r="D148" s="22" t="s">
        <v>155</v>
      </c>
      <c r="E148" s="32" t="s">
        <v>59</v>
      </c>
      <c r="F148" s="32">
        <v>1.0</v>
      </c>
      <c r="G148" s="35">
        <v>235000.0</v>
      </c>
      <c r="H148" s="35">
        <f t="shared" si="22"/>
        <v>235000</v>
      </c>
      <c r="I148" s="27"/>
      <c r="J148" s="2"/>
      <c r="K148" s="2"/>
    </row>
    <row r="149">
      <c r="A149" s="2"/>
      <c r="B149" s="2"/>
      <c r="C149" s="34"/>
      <c r="D149" s="22" t="s">
        <v>154</v>
      </c>
      <c r="E149" s="32" t="s">
        <v>54</v>
      </c>
      <c r="F149" s="32">
        <v>5.0</v>
      </c>
      <c r="G149" s="35">
        <v>115000.0</v>
      </c>
      <c r="H149" s="35">
        <f t="shared" si="22"/>
        <v>575000</v>
      </c>
      <c r="I149" s="27"/>
      <c r="J149" s="2"/>
      <c r="K149" s="2"/>
    </row>
    <row r="150">
      <c r="A150" s="2"/>
      <c r="B150" s="2"/>
      <c r="C150" s="34"/>
      <c r="D150" s="22" t="s">
        <v>154</v>
      </c>
      <c r="E150" s="32" t="s">
        <v>90</v>
      </c>
      <c r="F150" s="32">
        <v>5.0</v>
      </c>
      <c r="G150" s="36">
        <f>H150/F150</f>
        <v>5800</v>
      </c>
      <c r="H150" s="35">
        <v>29000.0</v>
      </c>
      <c r="I150" s="27"/>
      <c r="J150" s="2"/>
      <c r="K150" s="2"/>
    </row>
    <row r="151">
      <c r="A151" s="2"/>
      <c r="B151" s="2"/>
      <c r="C151" s="34"/>
      <c r="D151" s="22" t="s">
        <v>156</v>
      </c>
      <c r="E151" s="32" t="s">
        <v>48</v>
      </c>
      <c r="F151" s="32">
        <v>1.0</v>
      </c>
      <c r="G151" s="35">
        <v>47000.0</v>
      </c>
      <c r="H151" s="35">
        <f t="shared" ref="H151:H153" si="23">F151*G151</f>
        <v>47000</v>
      </c>
      <c r="I151" s="27"/>
      <c r="J151" s="2"/>
      <c r="K151" s="2"/>
    </row>
    <row r="152">
      <c r="A152" s="2"/>
      <c r="B152" s="2"/>
      <c r="C152" s="34"/>
      <c r="D152" s="22" t="s">
        <v>157</v>
      </c>
      <c r="E152" s="32" t="s">
        <v>54</v>
      </c>
      <c r="F152" s="32">
        <v>3.0</v>
      </c>
      <c r="G152" s="35">
        <v>145000.0</v>
      </c>
      <c r="H152" s="35">
        <f t="shared" si="23"/>
        <v>435000</v>
      </c>
      <c r="I152" s="27"/>
      <c r="J152" s="2"/>
      <c r="K152" s="2"/>
    </row>
    <row r="153">
      <c r="A153" s="2"/>
      <c r="B153" s="2"/>
      <c r="C153" s="34"/>
      <c r="D153" s="22" t="s">
        <v>158</v>
      </c>
      <c r="E153" s="32" t="s">
        <v>16</v>
      </c>
      <c r="F153" s="32">
        <v>10.0</v>
      </c>
      <c r="G153" s="35">
        <v>7000.0</v>
      </c>
      <c r="H153" s="35">
        <f t="shared" si="23"/>
        <v>70000</v>
      </c>
      <c r="I153" s="27"/>
      <c r="J153" s="2"/>
      <c r="K153" s="2"/>
    </row>
    <row r="154">
      <c r="A154" s="2"/>
      <c r="B154" s="2"/>
      <c r="C154" s="34"/>
      <c r="D154" s="22" t="s">
        <v>102</v>
      </c>
      <c r="E154" s="32" t="s">
        <v>16</v>
      </c>
      <c r="F154" s="32">
        <v>13.0</v>
      </c>
      <c r="G154" s="36">
        <f>H154/F154</f>
        <v>11269.23077</v>
      </c>
      <c r="H154" s="35">
        <v>146500.0</v>
      </c>
      <c r="I154" s="27"/>
      <c r="J154" s="2"/>
      <c r="K154" s="2"/>
    </row>
    <row r="155">
      <c r="A155" s="2"/>
      <c r="B155" s="2"/>
      <c r="C155" s="34"/>
      <c r="D155" s="22" t="s">
        <v>159</v>
      </c>
      <c r="E155" s="32" t="s">
        <v>48</v>
      </c>
      <c r="F155" s="32">
        <v>1.0</v>
      </c>
      <c r="G155" s="35">
        <v>52000.0</v>
      </c>
      <c r="H155" s="35">
        <f t="shared" ref="H155:H156" si="24">F155*G155</f>
        <v>52000</v>
      </c>
      <c r="I155" s="27"/>
      <c r="J155" s="2"/>
      <c r="K155" s="2"/>
    </row>
    <row r="156">
      <c r="A156" s="2"/>
      <c r="B156" s="2"/>
      <c r="C156" s="34"/>
      <c r="D156" s="22" t="s">
        <v>160</v>
      </c>
      <c r="E156" s="32" t="s">
        <v>16</v>
      </c>
      <c r="F156" s="32">
        <v>0.2</v>
      </c>
      <c r="G156" s="35">
        <v>100000.0</v>
      </c>
      <c r="H156" s="35">
        <f t="shared" si="24"/>
        <v>20000</v>
      </c>
      <c r="I156" s="27"/>
      <c r="J156" s="2"/>
      <c r="K156" s="2"/>
    </row>
    <row r="157">
      <c r="A157" s="2"/>
      <c r="B157" s="2"/>
      <c r="C157" s="34"/>
      <c r="D157" s="22" t="s">
        <v>49</v>
      </c>
      <c r="E157" s="32" t="s">
        <v>16</v>
      </c>
      <c r="F157" s="32">
        <v>2.5</v>
      </c>
      <c r="G157" s="36">
        <f>H157/F157</f>
        <v>45000</v>
      </c>
      <c r="H157" s="35">
        <v>112500.0</v>
      </c>
      <c r="I157" s="27"/>
      <c r="J157" s="2"/>
      <c r="K157" s="2"/>
    </row>
    <row r="158">
      <c r="A158" s="2"/>
      <c r="B158" s="2"/>
      <c r="C158" s="34"/>
      <c r="D158" s="22" t="s">
        <v>52</v>
      </c>
      <c r="E158" s="32" t="s">
        <v>16</v>
      </c>
      <c r="F158" s="32">
        <v>3.0</v>
      </c>
      <c r="G158" s="35">
        <v>42000.0</v>
      </c>
      <c r="H158" s="35">
        <f t="shared" ref="H158:H167" si="25">F158*G158</f>
        <v>126000</v>
      </c>
      <c r="I158" s="27"/>
      <c r="J158" s="2"/>
      <c r="K158" s="2"/>
    </row>
    <row r="159">
      <c r="A159" s="2"/>
      <c r="B159" s="2"/>
      <c r="C159" s="34"/>
      <c r="D159" s="22" t="s">
        <v>161</v>
      </c>
      <c r="E159" s="32" t="s">
        <v>59</v>
      </c>
      <c r="F159" s="32">
        <v>7.0</v>
      </c>
      <c r="G159" s="35">
        <v>210000.0</v>
      </c>
      <c r="H159" s="35">
        <f t="shared" si="25"/>
        <v>1470000</v>
      </c>
      <c r="I159" s="27">
        <f>SUM(H141:H159)</f>
        <v>4711500</v>
      </c>
      <c r="J159" s="2"/>
      <c r="K159" s="22" t="s">
        <v>17</v>
      </c>
    </row>
    <row r="160">
      <c r="A160" s="2"/>
      <c r="B160" s="2"/>
      <c r="C160" s="31" t="s">
        <v>162</v>
      </c>
      <c r="D160" s="22" t="s">
        <v>87</v>
      </c>
      <c r="E160" s="32" t="s">
        <v>16</v>
      </c>
      <c r="F160" s="32">
        <v>65.0</v>
      </c>
      <c r="G160" s="35">
        <v>9000.0</v>
      </c>
      <c r="H160" s="36">
        <f t="shared" si="25"/>
        <v>585000</v>
      </c>
      <c r="I160" s="27"/>
      <c r="J160" s="2"/>
      <c r="K160" s="2"/>
    </row>
    <row r="161">
      <c r="A161" s="2"/>
      <c r="B161" s="2"/>
      <c r="C161" s="34"/>
      <c r="D161" s="22" t="s">
        <v>29</v>
      </c>
      <c r="E161" s="32" t="s">
        <v>16</v>
      </c>
      <c r="F161" s="32">
        <v>3.5</v>
      </c>
      <c r="G161" s="35">
        <v>75000.0</v>
      </c>
      <c r="H161" s="36">
        <f t="shared" si="25"/>
        <v>262500</v>
      </c>
      <c r="I161" s="27"/>
      <c r="J161" s="2"/>
    </row>
    <row r="162">
      <c r="A162" s="2"/>
      <c r="B162" s="2"/>
      <c r="C162" s="34"/>
      <c r="D162" s="22" t="s">
        <v>31</v>
      </c>
      <c r="E162" s="32" t="s">
        <v>16</v>
      </c>
      <c r="F162" s="32">
        <v>3.0</v>
      </c>
      <c r="G162" s="35">
        <v>15000.0</v>
      </c>
      <c r="H162" s="36">
        <f t="shared" si="25"/>
        <v>45000</v>
      </c>
      <c r="I162" s="27"/>
      <c r="J162" s="2"/>
    </row>
    <row r="163">
      <c r="A163" s="2"/>
      <c r="B163" s="2"/>
      <c r="C163" s="34"/>
      <c r="D163" s="22" t="s">
        <v>35</v>
      </c>
      <c r="E163" s="32" t="s">
        <v>16</v>
      </c>
      <c r="F163" s="32">
        <v>51.0</v>
      </c>
      <c r="G163" s="35">
        <v>16000.0</v>
      </c>
      <c r="H163" s="36">
        <f t="shared" si="25"/>
        <v>816000</v>
      </c>
      <c r="I163" s="27"/>
      <c r="J163" s="2"/>
    </row>
    <row r="164">
      <c r="A164" s="2"/>
      <c r="B164" s="2"/>
      <c r="C164" s="34"/>
      <c r="D164" s="22" t="s">
        <v>32</v>
      </c>
      <c r="E164" s="32" t="s">
        <v>16</v>
      </c>
      <c r="F164" s="32">
        <v>2.5</v>
      </c>
      <c r="G164" s="35">
        <v>20000.0</v>
      </c>
      <c r="H164" s="36">
        <f t="shared" si="25"/>
        <v>50000</v>
      </c>
      <c r="I164" s="27"/>
      <c r="J164" s="2"/>
      <c r="O164" s="38"/>
    </row>
    <row r="165">
      <c r="A165" s="2"/>
      <c r="B165" s="2"/>
      <c r="C165" s="34"/>
      <c r="D165" s="22" t="s">
        <v>163</v>
      </c>
      <c r="E165" s="32" t="s">
        <v>16</v>
      </c>
      <c r="F165" s="32">
        <v>2.0</v>
      </c>
      <c r="G165" s="35">
        <v>30000.0</v>
      </c>
      <c r="H165" s="36">
        <f t="shared" si="25"/>
        <v>60000</v>
      </c>
      <c r="I165" s="27"/>
      <c r="J165" s="2"/>
      <c r="K165" s="2"/>
    </row>
    <row r="166">
      <c r="A166" s="2"/>
      <c r="B166" s="2"/>
      <c r="C166" s="34"/>
      <c r="D166" s="22" t="s">
        <v>34</v>
      </c>
      <c r="E166" s="32" t="s">
        <v>16</v>
      </c>
      <c r="F166" s="32">
        <v>112.0</v>
      </c>
      <c r="G166" s="35">
        <v>8000.0</v>
      </c>
      <c r="H166" s="36">
        <f t="shared" si="25"/>
        <v>896000</v>
      </c>
      <c r="I166" s="27">
        <f>SUM(H160:H166)</f>
        <v>2714500</v>
      </c>
      <c r="J166" s="2"/>
      <c r="K166" s="22" t="s">
        <v>17</v>
      </c>
    </row>
    <row r="167">
      <c r="A167" s="2"/>
      <c r="B167" s="2"/>
      <c r="C167" s="34"/>
      <c r="D167" s="22" t="s">
        <v>12</v>
      </c>
      <c r="E167" s="12"/>
      <c r="F167" s="32">
        <v>11.0</v>
      </c>
      <c r="G167" s="35">
        <v>2500.0</v>
      </c>
      <c r="H167" s="36">
        <f t="shared" si="25"/>
        <v>27500</v>
      </c>
      <c r="I167" s="27"/>
      <c r="J167" s="27">
        <f>H167</f>
        <v>27500</v>
      </c>
      <c r="K167" s="22"/>
    </row>
    <row r="168">
      <c r="A168" s="37" t="s">
        <v>164</v>
      </c>
      <c r="B168" s="14"/>
      <c r="C168" s="15"/>
      <c r="D168" s="14"/>
      <c r="E168" s="16"/>
      <c r="F168" s="16"/>
      <c r="G168" s="28"/>
      <c r="H168" s="17" t="s">
        <v>11</v>
      </c>
      <c r="I168" s="17">
        <f t="shared" ref="I168:J168" si="26">sum(I169:I203)</f>
        <v>83678000</v>
      </c>
      <c r="J168" s="17">
        <f t="shared" si="26"/>
        <v>31500</v>
      </c>
      <c r="K168" s="22"/>
      <c r="L168" s="22">
        <v>29.0</v>
      </c>
      <c r="M168" s="39" t="s">
        <v>165</v>
      </c>
      <c r="N168" s="40">
        <f>I168</f>
        <v>83678000</v>
      </c>
    </row>
    <row r="169">
      <c r="A169" s="2"/>
      <c r="B169" s="2"/>
      <c r="C169" s="31" t="s">
        <v>117</v>
      </c>
      <c r="D169" s="22" t="s">
        <v>166</v>
      </c>
      <c r="E169" s="32" t="s">
        <v>16</v>
      </c>
      <c r="F169" s="32">
        <v>80.0</v>
      </c>
      <c r="G169" s="35">
        <v>25500.0</v>
      </c>
      <c r="H169" s="36">
        <f t="shared" ref="H169:H179" si="27">F169*G169</f>
        <v>2040000</v>
      </c>
      <c r="I169" s="41">
        <f>H169</f>
        <v>2040000</v>
      </c>
      <c r="J169" s="2"/>
      <c r="K169" s="22" t="s">
        <v>167</v>
      </c>
      <c r="L169" s="2"/>
      <c r="M169" s="39" t="s">
        <v>168</v>
      </c>
      <c r="N169" s="40">
        <f>'Kas Fisik Oprasional'!I43</f>
        <v>14010000</v>
      </c>
    </row>
    <row r="170">
      <c r="A170" s="2"/>
      <c r="B170" s="2"/>
      <c r="C170" s="31" t="s">
        <v>169</v>
      </c>
      <c r="D170" s="22" t="s">
        <v>170</v>
      </c>
      <c r="E170" s="12"/>
      <c r="F170" s="32">
        <v>80.0</v>
      </c>
      <c r="G170" s="35">
        <v>24000.0</v>
      </c>
      <c r="H170" s="36">
        <f t="shared" si="27"/>
        <v>1920000</v>
      </c>
      <c r="I170" s="27"/>
      <c r="J170" s="2"/>
      <c r="K170" s="2"/>
      <c r="L170" s="2"/>
      <c r="M170" s="39" t="s">
        <v>12</v>
      </c>
      <c r="N170" s="40">
        <f>J168+'Kas Fisik Oprasional'!J43</f>
        <v>34000</v>
      </c>
      <c r="O170" s="38"/>
    </row>
    <row r="171">
      <c r="A171" s="2"/>
      <c r="B171" s="2"/>
      <c r="C171" s="34"/>
      <c r="D171" s="22" t="s">
        <v>171</v>
      </c>
      <c r="E171" s="12"/>
      <c r="F171" s="32">
        <v>52.0</v>
      </c>
      <c r="G171" s="35">
        <v>35000.0</v>
      </c>
      <c r="H171" s="36">
        <f t="shared" si="27"/>
        <v>1820000</v>
      </c>
      <c r="I171" s="41">
        <f>SUM(H170:H171)</f>
        <v>3740000</v>
      </c>
      <c r="J171" s="2"/>
      <c r="K171" s="22" t="s">
        <v>167</v>
      </c>
      <c r="L171" s="2"/>
      <c r="M171" s="42" t="s">
        <v>11</v>
      </c>
      <c r="N171" s="43">
        <f>SUM(N168:N170)</f>
        <v>97722000</v>
      </c>
    </row>
    <row r="172">
      <c r="A172" s="2"/>
      <c r="B172" s="2"/>
      <c r="C172" s="31" t="s">
        <v>44</v>
      </c>
      <c r="D172" s="22" t="s">
        <v>60</v>
      </c>
      <c r="E172" s="32" t="s">
        <v>16</v>
      </c>
      <c r="F172" s="32">
        <v>2.0</v>
      </c>
      <c r="G172" s="35">
        <v>24000.0</v>
      </c>
      <c r="H172" s="36">
        <f t="shared" si="27"/>
        <v>48000</v>
      </c>
      <c r="I172" s="27"/>
      <c r="J172" s="2"/>
      <c r="K172" s="2"/>
    </row>
    <row r="173">
      <c r="A173" s="2"/>
      <c r="B173" s="2"/>
      <c r="C173" s="34"/>
      <c r="D173" s="22" t="s">
        <v>47</v>
      </c>
      <c r="E173" s="32" t="s">
        <v>50</v>
      </c>
      <c r="F173" s="32">
        <v>2.0</v>
      </c>
      <c r="G173" s="35">
        <v>48000.0</v>
      </c>
      <c r="H173" s="36">
        <f t="shared" si="27"/>
        <v>96000</v>
      </c>
      <c r="I173" s="27"/>
      <c r="J173" s="2"/>
    </row>
    <row r="174">
      <c r="A174" s="2"/>
      <c r="B174" s="2"/>
      <c r="C174" s="34"/>
      <c r="D174" s="22" t="s">
        <v>172</v>
      </c>
      <c r="E174" s="32" t="s">
        <v>16</v>
      </c>
      <c r="F174" s="32">
        <v>1.0</v>
      </c>
      <c r="G174" s="35">
        <v>110000.0</v>
      </c>
      <c r="H174" s="36">
        <f t="shared" si="27"/>
        <v>110000</v>
      </c>
      <c r="I174" s="27"/>
      <c r="J174" s="2"/>
    </row>
    <row r="175">
      <c r="A175" s="2"/>
      <c r="B175" s="2"/>
      <c r="C175" s="34"/>
      <c r="D175" s="22" t="s">
        <v>154</v>
      </c>
      <c r="E175" s="32" t="s">
        <v>50</v>
      </c>
      <c r="F175" s="32">
        <v>2.0</v>
      </c>
      <c r="G175" s="35">
        <v>18500.0</v>
      </c>
      <c r="H175" s="36">
        <f t="shared" si="27"/>
        <v>37000</v>
      </c>
      <c r="I175" s="27"/>
      <c r="J175" s="2"/>
    </row>
    <row r="176">
      <c r="A176" s="2"/>
      <c r="B176" s="2"/>
      <c r="C176" s="34"/>
      <c r="D176" s="22" t="s">
        <v>173</v>
      </c>
      <c r="E176" s="32" t="s">
        <v>16</v>
      </c>
      <c r="F176" s="32">
        <v>2.0</v>
      </c>
      <c r="G176" s="35">
        <v>28000.0</v>
      </c>
      <c r="H176" s="36">
        <f t="shared" si="27"/>
        <v>56000</v>
      </c>
      <c r="I176" s="27"/>
      <c r="J176" s="2"/>
    </row>
    <row r="177">
      <c r="A177" s="2"/>
      <c r="B177" s="2"/>
      <c r="C177" s="34"/>
      <c r="D177" s="22" t="s">
        <v>174</v>
      </c>
      <c r="E177" s="32" t="s">
        <v>16</v>
      </c>
      <c r="F177" s="32">
        <v>2.0</v>
      </c>
      <c r="G177" s="35">
        <v>30000.0</v>
      </c>
      <c r="H177" s="36">
        <f t="shared" si="27"/>
        <v>60000</v>
      </c>
      <c r="I177" s="27"/>
      <c r="J177" s="2"/>
      <c r="K177" s="2"/>
    </row>
    <row r="178">
      <c r="A178" s="2"/>
      <c r="B178" s="2"/>
      <c r="C178" s="34"/>
      <c r="D178" s="22" t="s">
        <v>175</v>
      </c>
      <c r="E178" s="32" t="s">
        <v>16</v>
      </c>
      <c r="F178" s="32">
        <v>2.0</v>
      </c>
      <c r="G178" s="35">
        <v>35000.0</v>
      </c>
      <c r="H178" s="36">
        <f t="shared" si="27"/>
        <v>70000</v>
      </c>
      <c r="I178" s="27"/>
      <c r="J178" s="2"/>
      <c r="K178" s="2"/>
    </row>
    <row r="179">
      <c r="A179" s="2"/>
      <c r="B179" s="2"/>
      <c r="C179" s="34"/>
      <c r="D179" s="22" t="s">
        <v>47</v>
      </c>
      <c r="E179" s="32" t="s">
        <v>50</v>
      </c>
      <c r="F179" s="32">
        <v>1.0</v>
      </c>
      <c r="G179" s="35">
        <v>48000.0</v>
      </c>
      <c r="H179" s="36">
        <f t="shared" si="27"/>
        <v>48000</v>
      </c>
      <c r="I179" s="41">
        <f>SUM(H172:H179)</f>
        <v>525000</v>
      </c>
      <c r="J179" s="2"/>
      <c r="K179" s="22" t="s">
        <v>167</v>
      </c>
    </row>
    <row r="180">
      <c r="A180" s="2"/>
      <c r="B180" s="2"/>
      <c r="C180" s="31" t="s">
        <v>176</v>
      </c>
      <c r="D180" s="22" t="s">
        <v>177</v>
      </c>
      <c r="E180" s="32" t="s">
        <v>16</v>
      </c>
      <c r="F180" s="32">
        <v>1.0</v>
      </c>
      <c r="G180" s="35">
        <v>90000.0</v>
      </c>
      <c r="H180" s="36">
        <f t="shared" ref="H180:I180" si="28">G180</f>
        <v>90000</v>
      </c>
      <c r="I180" s="41">
        <f t="shared" si="28"/>
        <v>90000</v>
      </c>
      <c r="J180" s="2"/>
      <c r="K180" s="22" t="s">
        <v>167</v>
      </c>
    </row>
    <row r="181">
      <c r="A181" s="2"/>
      <c r="B181" s="2"/>
      <c r="C181" s="31" t="s">
        <v>178</v>
      </c>
      <c r="D181" s="22" t="s">
        <v>34</v>
      </c>
      <c r="E181" s="32" t="s">
        <v>16</v>
      </c>
      <c r="F181" s="32">
        <v>31.0</v>
      </c>
      <c r="G181" s="35">
        <v>8000.0</v>
      </c>
      <c r="H181" s="36">
        <f t="shared" ref="H181:H184" si="29">F181*G181</f>
        <v>248000</v>
      </c>
      <c r="I181" s="27"/>
      <c r="J181" s="2"/>
    </row>
    <row r="182">
      <c r="A182" s="2"/>
      <c r="B182" s="2"/>
      <c r="C182" s="34"/>
      <c r="D182" s="22" t="s">
        <v>28</v>
      </c>
      <c r="E182" s="32" t="s">
        <v>16</v>
      </c>
      <c r="F182" s="32">
        <v>50.0</v>
      </c>
      <c r="G182" s="35">
        <v>17000.0</v>
      </c>
      <c r="H182" s="36">
        <f t="shared" si="29"/>
        <v>850000</v>
      </c>
      <c r="I182" s="27"/>
      <c r="J182" s="2"/>
    </row>
    <row r="183">
      <c r="A183" s="2"/>
      <c r="B183" s="2"/>
      <c r="C183" s="34"/>
      <c r="D183" s="22" t="s">
        <v>35</v>
      </c>
      <c r="E183" s="32" t="s">
        <v>16</v>
      </c>
      <c r="F183" s="32">
        <v>40.0</v>
      </c>
      <c r="G183" s="35">
        <v>16000.0</v>
      </c>
      <c r="H183" s="36">
        <f t="shared" si="29"/>
        <v>640000</v>
      </c>
      <c r="I183" s="27"/>
      <c r="J183" s="2"/>
    </row>
    <row r="184">
      <c r="A184" s="2"/>
      <c r="B184" s="2"/>
      <c r="C184" s="34"/>
      <c r="D184" s="22" t="s">
        <v>179</v>
      </c>
      <c r="E184" s="32" t="s">
        <v>16</v>
      </c>
      <c r="F184" s="32">
        <v>3.0</v>
      </c>
      <c r="G184" s="35">
        <v>40000.0</v>
      </c>
      <c r="H184" s="36">
        <f t="shared" si="29"/>
        <v>120000</v>
      </c>
      <c r="I184" s="27"/>
      <c r="J184" s="2"/>
    </row>
    <row r="185">
      <c r="A185" s="2"/>
      <c r="B185" s="2"/>
      <c r="C185" s="34"/>
      <c r="D185" s="22" t="s">
        <v>41</v>
      </c>
      <c r="E185" s="32" t="s">
        <v>16</v>
      </c>
      <c r="F185" s="32">
        <v>1.3</v>
      </c>
      <c r="G185" s="35">
        <f t="shared" ref="G185:G189" si="30">H185/F185</f>
        <v>26923.07692</v>
      </c>
      <c r="H185" s="35">
        <v>35000.0</v>
      </c>
      <c r="I185" s="27"/>
      <c r="J185" s="2"/>
    </row>
    <row r="186">
      <c r="A186" s="2"/>
      <c r="B186" s="2"/>
      <c r="C186" s="34"/>
      <c r="D186" s="22" t="s">
        <v>39</v>
      </c>
      <c r="E186" s="32" t="s">
        <v>16</v>
      </c>
      <c r="F186" s="32">
        <v>3.0</v>
      </c>
      <c r="G186" s="35">
        <f t="shared" si="30"/>
        <v>9000</v>
      </c>
      <c r="H186" s="35">
        <v>27000.0</v>
      </c>
      <c r="I186" s="27"/>
      <c r="J186" s="2"/>
      <c r="K186" s="2"/>
    </row>
    <row r="187">
      <c r="A187" s="2"/>
      <c r="B187" s="2"/>
      <c r="C187" s="34"/>
      <c r="D187" s="22" t="s">
        <v>80</v>
      </c>
      <c r="E187" s="32" t="s">
        <v>16</v>
      </c>
      <c r="F187" s="32">
        <v>0.5</v>
      </c>
      <c r="G187" s="35">
        <f t="shared" si="30"/>
        <v>40000</v>
      </c>
      <c r="H187" s="35">
        <v>20000.0</v>
      </c>
      <c r="I187" s="27"/>
      <c r="J187" s="2"/>
      <c r="K187" s="2"/>
    </row>
    <row r="188">
      <c r="A188" s="2"/>
      <c r="B188" s="2"/>
      <c r="C188" s="34"/>
      <c r="D188" s="22" t="s">
        <v>38</v>
      </c>
      <c r="E188" s="32" t="s">
        <v>16</v>
      </c>
      <c r="F188" s="32">
        <v>1.0</v>
      </c>
      <c r="G188" s="35">
        <f t="shared" si="30"/>
        <v>12000</v>
      </c>
      <c r="H188" s="35">
        <v>12000.0</v>
      </c>
      <c r="I188" s="27"/>
      <c r="J188" s="2"/>
      <c r="K188" s="2"/>
    </row>
    <row r="189">
      <c r="A189" s="2"/>
      <c r="B189" s="2"/>
      <c r="C189" s="34"/>
      <c r="D189" s="22" t="s">
        <v>40</v>
      </c>
      <c r="E189" s="32" t="s">
        <v>16</v>
      </c>
      <c r="F189" s="32">
        <v>2.5</v>
      </c>
      <c r="G189" s="35">
        <f t="shared" si="30"/>
        <v>9200</v>
      </c>
      <c r="H189" s="35">
        <v>23000.0</v>
      </c>
      <c r="I189" s="41">
        <f>sum(H181:H189)</f>
        <v>1975000</v>
      </c>
      <c r="J189" s="2"/>
      <c r="K189" s="22" t="s">
        <v>167</v>
      </c>
    </row>
    <row r="190">
      <c r="A190" s="2"/>
      <c r="B190" s="2"/>
      <c r="C190" s="31" t="s">
        <v>180</v>
      </c>
      <c r="D190" s="22" t="s">
        <v>181</v>
      </c>
      <c r="E190" s="32" t="s">
        <v>16</v>
      </c>
      <c r="F190" s="32">
        <v>95.0</v>
      </c>
      <c r="G190" s="35">
        <v>50000.0</v>
      </c>
      <c r="H190" s="36">
        <f t="shared" ref="H190:H203" si="31">F190*G190</f>
        <v>4750000</v>
      </c>
      <c r="I190" s="41">
        <f t="shared" ref="I190:I191" si="32">H190</f>
        <v>4750000</v>
      </c>
      <c r="J190" s="2"/>
      <c r="K190" s="22" t="s">
        <v>167</v>
      </c>
    </row>
    <row r="191">
      <c r="A191" s="2"/>
      <c r="B191" s="2"/>
      <c r="C191" s="34"/>
      <c r="D191" s="22" t="s">
        <v>182</v>
      </c>
      <c r="E191" s="32" t="s">
        <v>16</v>
      </c>
      <c r="F191" s="32">
        <v>100.0</v>
      </c>
      <c r="G191" s="35">
        <v>258000.0</v>
      </c>
      <c r="H191" s="36">
        <f t="shared" si="31"/>
        <v>25800000</v>
      </c>
      <c r="I191" s="41">
        <f t="shared" si="32"/>
        <v>25800000</v>
      </c>
      <c r="J191" s="2"/>
      <c r="K191" s="22" t="s">
        <v>167</v>
      </c>
      <c r="L191" s="44">
        <f>23000*12</f>
        <v>276000</v>
      </c>
    </row>
    <row r="192">
      <c r="A192" s="2"/>
      <c r="B192" s="2"/>
      <c r="C192" s="31" t="s">
        <v>183</v>
      </c>
      <c r="D192" s="22" t="s">
        <v>184</v>
      </c>
      <c r="E192" s="32" t="s">
        <v>16</v>
      </c>
      <c r="F192" s="32">
        <v>92.0</v>
      </c>
      <c r="G192" s="35">
        <v>25500.0</v>
      </c>
      <c r="H192" s="36">
        <f t="shared" si="31"/>
        <v>2346000</v>
      </c>
      <c r="I192" s="27"/>
      <c r="J192" s="2"/>
      <c r="K192" s="2"/>
    </row>
    <row r="193">
      <c r="A193" s="2"/>
      <c r="B193" s="2"/>
      <c r="C193" s="34"/>
      <c r="D193" s="22" t="s">
        <v>184</v>
      </c>
      <c r="E193" s="32" t="s">
        <v>16</v>
      </c>
      <c r="F193" s="32">
        <v>130.0</v>
      </c>
      <c r="G193" s="35">
        <v>25500.0</v>
      </c>
      <c r="H193" s="36">
        <f t="shared" si="31"/>
        <v>3315000</v>
      </c>
      <c r="I193" s="41">
        <f>SUM(H192:H193)</f>
        <v>5661000</v>
      </c>
      <c r="J193" s="2"/>
      <c r="K193" s="22" t="s">
        <v>167</v>
      </c>
    </row>
    <row r="194">
      <c r="A194" s="2"/>
      <c r="B194" s="2"/>
      <c r="C194" s="31" t="s">
        <v>73</v>
      </c>
      <c r="D194" s="22" t="s">
        <v>185</v>
      </c>
      <c r="E194" s="32" t="s">
        <v>186</v>
      </c>
      <c r="F194" s="32">
        <v>210.0</v>
      </c>
      <c r="G194" s="35">
        <v>114000.0</v>
      </c>
      <c r="H194" s="36">
        <f t="shared" si="31"/>
        <v>23940000</v>
      </c>
      <c r="I194" s="41">
        <f>H194</f>
        <v>23940000</v>
      </c>
      <c r="J194" s="2"/>
      <c r="K194" s="22" t="s">
        <v>167</v>
      </c>
    </row>
    <row r="195">
      <c r="A195" s="2"/>
      <c r="B195" s="2"/>
      <c r="C195" s="39" t="s">
        <v>106</v>
      </c>
      <c r="D195" s="39" t="s">
        <v>187</v>
      </c>
      <c r="E195" s="45" t="s">
        <v>133</v>
      </c>
      <c r="F195" s="45">
        <v>75.0</v>
      </c>
      <c r="G195" s="38">
        <v>12000.0</v>
      </c>
      <c r="H195" s="36">
        <f t="shared" si="31"/>
        <v>900000</v>
      </c>
      <c r="I195" s="27"/>
      <c r="J195" s="2"/>
      <c r="K195" s="2"/>
    </row>
    <row r="196">
      <c r="A196" s="2"/>
      <c r="B196" s="2"/>
      <c r="D196" s="39" t="s">
        <v>188</v>
      </c>
      <c r="E196" s="45" t="s">
        <v>133</v>
      </c>
      <c r="F196" s="45">
        <v>56.0</v>
      </c>
      <c r="G196" s="38">
        <v>12000.0</v>
      </c>
      <c r="H196" s="36">
        <f t="shared" si="31"/>
        <v>672000</v>
      </c>
      <c r="I196" s="41">
        <f>SUM(H195:H196)</f>
        <v>1572000</v>
      </c>
      <c r="J196" s="2"/>
      <c r="K196" s="22" t="s">
        <v>167</v>
      </c>
    </row>
    <row r="197">
      <c r="A197" s="2"/>
      <c r="B197" s="2"/>
      <c r="C197" s="39" t="s">
        <v>189</v>
      </c>
      <c r="D197" s="39" t="s">
        <v>190</v>
      </c>
      <c r="E197" s="45" t="s">
        <v>16</v>
      </c>
      <c r="F197" s="45">
        <v>183.0</v>
      </c>
      <c r="G197" s="38">
        <v>28500.0</v>
      </c>
      <c r="H197" s="36">
        <f t="shared" si="31"/>
        <v>5215500</v>
      </c>
      <c r="I197" s="27"/>
      <c r="J197" s="2"/>
      <c r="K197" s="2"/>
    </row>
    <row r="198">
      <c r="A198" s="2"/>
      <c r="B198" s="2"/>
      <c r="D198" s="39" t="s">
        <v>191</v>
      </c>
      <c r="E198" s="45" t="s">
        <v>50</v>
      </c>
      <c r="F198" s="45">
        <v>2158.0</v>
      </c>
      <c r="G198" s="38">
        <v>1650.0</v>
      </c>
      <c r="H198" s="36">
        <f t="shared" si="31"/>
        <v>3560700</v>
      </c>
      <c r="I198" s="27"/>
      <c r="J198" s="2"/>
      <c r="K198" s="2"/>
    </row>
    <row r="199">
      <c r="A199" s="2"/>
      <c r="B199" s="2"/>
      <c r="D199" s="39" t="s">
        <v>192</v>
      </c>
      <c r="E199" s="45" t="s">
        <v>16</v>
      </c>
      <c r="F199" s="45">
        <v>164.0</v>
      </c>
      <c r="G199" s="38">
        <v>15500.0</v>
      </c>
      <c r="H199" s="36">
        <f t="shared" si="31"/>
        <v>2542000</v>
      </c>
      <c r="I199" s="27"/>
      <c r="J199" s="2"/>
      <c r="K199" s="2"/>
    </row>
    <row r="200">
      <c r="A200" s="2"/>
      <c r="B200" s="2"/>
      <c r="D200" s="39" t="s">
        <v>193</v>
      </c>
      <c r="E200" s="45" t="s">
        <v>16</v>
      </c>
      <c r="F200" s="45">
        <v>133.9</v>
      </c>
      <c r="G200" s="38">
        <v>12000.0</v>
      </c>
      <c r="H200" s="36">
        <f t="shared" si="31"/>
        <v>1606800</v>
      </c>
      <c r="I200" s="27"/>
      <c r="J200" s="2"/>
      <c r="K200" s="2"/>
    </row>
    <row r="201">
      <c r="A201" s="2"/>
      <c r="B201" s="2"/>
      <c r="D201" s="39" t="s">
        <v>191</v>
      </c>
      <c r="E201" s="45" t="s">
        <v>50</v>
      </c>
      <c r="F201" s="45">
        <v>400.0</v>
      </c>
      <c r="G201" s="38">
        <v>1650.0</v>
      </c>
      <c r="H201" s="36">
        <f t="shared" si="31"/>
        <v>660000</v>
      </c>
      <c r="I201" s="41">
        <f>SUM(H197:H201)</f>
        <v>13585000</v>
      </c>
      <c r="J201" s="2"/>
      <c r="K201" s="22" t="s">
        <v>167</v>
      </c>
    </row>
    <row r="202">
      <c r="A202" s="2"/>
      <c r="B202" s="2"/>
      <c r="C202" s="34"/>
      <c r="D202" s="22" t="s">
        <v>12</v>
      </c>
      <c r="E202" s="12"/>
      <c r="F202" s="32">
        <v>10.0</v>
      </c>
      <c r="G202" s="35">
        <v>2500.0</v>
      </c>
      <c r="H202" s="36">
        <f t="shared" si="31"/>
        <v>25000</v>
      </c>
      <c r="I202" s="27"/>
      <c r="J202" s="27">
        <f t="shared" ref="J202:J203" si="33">H202</f>
        <v>25000</v>
      </c>
      <c r="K202" s="2"/>
    </row>
    <row r="203">
      <c r="A203" s="2"/>
      <c r="B203" s="2"/>
      <c r="C203" s="34"/>
      <c r="D203" s="22" t="s">
        <v>12</v>
      </c>
      <c r="E203" s="12"/>
      <c r="F203" s="32">
        <v>1.0</v>
      </c>
      <c r="G203" s="35">
        <v>6500.0</v>
      </c>
      <c r="H203" s="36">
        <f t="shared" si="31"/>
        <v>6500</v>
      </c>
      <c r="I203" s="27"/>
      <c r="J203" s="27">
        <f t="shared" si="33"/>
        <v>6500</v>
      </c>
      <c r="K203" s="2"/>
    </row>
    <row r="204">
      <c r="A204" s="37" t="s">
        <v>194</v>
      </c>
      <c r="B204" s="14"/>
      <c r="C204" s="15"/>
      <c r="D204" s="14"/>
      <c r="E204" s="16"/>
      <c r="F204" s="16"/>
      <c r="G204" s="28"/>
      <c r="H204" s="17" t="s">
        <v>11</v>
      </c>
      <c r="I204" s="17">
        <f t="shared" ref="I204:J204" si="34">sum(I205:I232)</f>
        <v>93434750</v>
      </c>
      <c r="J204" s="17">
        <f t="shared" si="34"/>
        <v>22500</v>
      </c>
      <c r="K204" s="2"/>
      <c r="L204" s="39">
        <v>30.0</v>
      </c>
      <c r="M204" s="39" t="s">
        <v>165</v>
      </c>
      <c r="N204" s="40">
        <f>I204</f>
        <v>93434750</v>
      </c>
    </row>
    <row r="205">
      <c r="A205" s="2"/>
      <c r="B205" s="2"/>
      <c r="C205" s="39" t="s">
        <v>122</v>
      </c>
      <c r="D205" s="39" t="s">
        <v>195</v>
      </c>
      <c r="E205" s="45" t="s">
        <v>16</v>
      </c>
      <c r="F205" s="45">
        <v>5550.0</v>
      </c>
      <c r="G205" s="38">
        <v>1800.0</v>
      </c>
      <c r="H205" s="36">
        <f t="shared" ref="H205:H232" si="35">F205*G205</f>
        <v>9990000</v>
      </c>
      <c r="I205" s="27"/>
      <c r="J205" s="2"/>
      <c r="K205" s="2"/>
      <c r="M205" s="39" t="s">
        <v>196</v>
      </c>
      <c r="N205" s="39" t="s">
        <v>197</v>
      </c>
    </row>
    <row r="206">
      <c r="A206" s="2"/>
      <c r="B206" s="2"/>
      <c r="D206" s="39" t="s">
        <v>198</v>
      </c>
      <c r="E206" s="45" t="s">
        <v>186</v>
      </c>
      <c r="F206" s="45">
        <v>21.0</v>
      </c>
      <c r="G206" s="38">
        <v>590000.0</v>
      </c>
      <c r="H206" s="36">
        <f t="shared" si="35"/>
        <v>12390000</v>
      </c>
      <c r="I206" s="27"/>
      <c r="J206" s="2"/>
      <c r="K206" s="2"/>
      <c r="M206" s="39" t="s">
        <v>12</v>
      </c>
      <c r="N206" s="40">
        <f>J204</f>
        <v>22500</v>
      </c>
    </row>
    <row r="207">
      <c r="A207" s="2"/>
      <c r="B207" s="2"/>
      <c r="D207" s="39" t="s">
        <v>199</v>
      </c>
      <c r="E207" s="45" t="s">
        <v>186</v>
      </c>
      <c r="F207" s="45">
        <v>18.0</v>
      </c>
      <c r="G207" s="38">
        <v>355000.0</v>
      </c>
      <c r="H207" s="36">
        <f t="shared" si="35"/>
        <v>6390000</v>
      </c>
      <c r="I207" s="27"/>
      <c r="J207" s="2"/>
      <c r="K207" s="2"/>
      <c r="M207" s="42" t="s">
        <v>11</v>
      </c>
      <c r="N207" s="43">
        <f>sum(N204:N206)</f>
        <v>93457250</v>
      </c>
    </row>
    <row r="208">
      <c r="A208" s="2"/>
      <c r="B208" s="2"/>
      <c r="D208" s="39" t="s">
        <v>200</v>
      </c>
      <c r="E208" s="45" t="s">
        <v>201</v>
      </c>
      <c r="F208" s="45">
        <v>29.0</v>
      </c>
      <c r="G208" s="38">
        <v>255000.0</v>
      </c>
      <c r="H208" s="36">
        <f t="shared" si="35"/>
        <v>7395000</v>
      </c>
      <c r="I208" s="27"/>
      <c r="J208" s="2"/>
      <c r="K208" s="2"/>
    </row>
    <row r="209">
      <c r="A209" s="2"/>
      <c r="B209" s="2"/>
      <c r="D209" s="39" t="s">
        <v>202</v>
      </c>
      <c r="E209" s="45" t="s">
        <v>186</v>
      </c>
      <c r="F209" s="45">
        <v>6.0</v>
      </c>
      <c r="G209" s="38">
        <v>590000.0</v>
      </c>
      <c r="H209" s="36">
        <f t="shared" si="35"/>
        <v>3540000</v>
      </c>
      <c r="I209" s="41">
        <f>sum(H205:H209)</f>
        <v>39705000</v>
      </c>
      <c r="J209" s="2"/>
      <c r="K209" s="22" t="s">
        <v>167</v>
      </c>
    </row>
    <row r="210">
      <c r="A210" s="2"/>
      <c r="B210" s="2"/>
      <c r="C210" s="39" t="s">
        <v>203</v>
      </c>
      <c r="D210" s="39" t="s">
        <v>204</v>
      </c>
      <c r="E210" s="45" t="s">
        <v>16</v>
      </c>
      <c r="F210" s="45">
        <v>138.0</v>
      </c>
      <c r="G210" s="38">
        <v>34500.0</v>
      </c>
      <c r="H210" s="36">
        <f t="shared" si="35"/>
        <v>4761000</v>
      </c>
      <c r="I210" s="41">
        <f>H210</f>
        <v>4761000</v>
      </c>
      <c r="J210" s="2"/>
      <c r="K210" s="22" t="s">
        <v>167</v>
      </c>
    </row>
    <row r="211">
      <c r="A211" s="2"/>
      <c r="B211" s="2"/>
      <c r="C211" s="39" t="s">
        <v>205</v>
      </c>
      <c r="D211" s="39" t="s">
        <v>206</v>
      </c>
      <c r="E211" s="45" t="s">
        <v>50</v>
      </c>
      <c r="F211" s="45">
        <v>1270.0</v>
      </c>
      <c r="G211" s="38">
        <v>500.0</v>
      </c>
      <c r="H211" s="36">
        <f t="shared" si="35"/>
        <v>635000</v>
      </c>
      <c r="I211" s="27"/>
      <c r="J211" s="2"/>
      <c r="K211" s="2"/>
    </row>
    <row r="212">
      <c r="A212" s="2"/>
      <c r="B212" s="2"/>
      <c r="D212" s="39" t="s">
        <v>207</v>
      </c>
      <c r="E212" s="45" t="s">
        <v>133</v>
      </c>
      <c r="F212" s="45">
        <v>51.0</v>
      </c>
      <c r="G212" s="38">
        <v>12000.0</v>
      </c>
      <c r="H212" s="36">
        <f t="shared" si="35"/>
        <v>612000</v>
      </c>
      <c r="I212" s="27"/>
      <c r="J212" s="2"/>
      <c r="K212" s="2"/>
    </row>
    <row r="213">
      <c r="A213" s="2"/>
      <c r="B213" s="2"/>
      <c r="D213" s="39" t="s">
        <v>208</v>
      </c>
      <c r="E213" s="45" t="s">
        <v>50</v>
      </c>
      <c r="F213" s="45">
        <v>2028.0</v>
      </c>
      <c r="G213" s="38">
        <v>500.0</v>
      </c>
      <c r="H213" s="36">
        <f t="shared" si="35"/>
        <v>1014000</v>
      </c>
      <c r="I213" s="41">
        <f>sum(H211:H213)</f>
        <v>2261000</v>
      </c>
      <c r="J213" s="2"/>
      <c r="K213" s="22" t="s">
        <v>167</v>
      </c>
    </row>
    <row r="214">
      <c r="A214" s="2"/>
      <c r="B214" s="2"/>
      <c r="C214" s="31" t="s">
        <v>110</v>
      </c>
      <c r="D214" s="22" t="s">
        <v>209</v>
      </c>
      <c r="E214" s="32" t="s">
        <v>50</v>
      </c>
      <c r="F214" s="32">
        <v>430.0</v>
      </c>
      <c r="G214" s="35">
        <v>3500.0</v>
      </c>
      <c r="H214" s="35">
        <f t="shared" si="35"/>
        <v>1505000</v>
      </c>
      <c r="I214" s="41">
        <f>H214</f>
        <v>1505000</v>
      </c>
      <c r="J214" s="2"/>
      <c r="K214" s="22" t="s">
        <v>167</v>
      </c>
    </row>
    <row r="215">
      <c r="A215" s="2"/>
      <c r="B215" s="2"/>
      <c r="C215" s="39" t="s">
        <v>210</v>
      </c>
      <c r="D215" s="39" t="s">
        <v>211</v>
      </c>
      <c r="E215" s="45" t="s">
        <v>50</v>
      </c>
      <c r="F215" s="45">
        <v>115.0</v>
      </c>
      <c r="G215" s="38">
        <v>10500.0</v>
      </c>
      <c r="H215" s="35">
        <f t="shared" si="35"/>
        <v>1207500</v>
      </c>
      <c r="I215" s="27"/>
      <c r="J215" s="2"/>
      <c r="K215" s="2"/>
    </row>
    <row r="216">
      <c r="A216" s="2"/>
      <c r="B216" s="2"/>
      <c r="D216" s="39" t="s">
        <v>212</v>
      </c>
      <c r="E216" s="45" t="s">
        <v>50</v>
      </c>
      <c r="F216" s="45">
        <v>2550.0</v>
      </c>
      <c r="G216" s="38">
        <v>2000.0</v>
      </c>
      <c r="H216" s="35">
        <f t="shared" si="35"/>
        <v>5100000</v>
      </c>
      <c r="I216" s="27"/>
      <c r="J216" s="2"/>
      <c r="K216" s="2"/>
    </row>
    <row r="217">
      <c r="A217" s="2"/>
      <c r="B217" s="2"/>
      <c r="D217" s="39" t="s">
        <v>213</v>
      </c>
      <c r="E217" s="45" t="s">
        <v>186</v>
      </c>
      <c r="F217" s="45">
        <v>4.0</v>
      </c>
      <c r="G217" s="38">
        <v>300000.0</v>
      </c>
      <c r="H217" s="35">
        <f t="shared" si="35"/>
        <v>1200000</v>
      </c>
      <c r="I217" s="41">
        <f>SUM(H215:H217)</f>
        <v>7507500</v>
      </c>
      <c r="J217" s="2"/>
      <c r="K217" s="22" t="s">
        <v>167</v>
      </c>
    </row>
    <row r="218">
      <c r="A218" s="2"/>
      <c r="B218" s="2"/>
      <c r="C218" s="39" t="s">
        <v>214</v>
      </c>
      <c r="D218" s="39" t="s">
        <v>215</v>
      </c>
      <c r="E218" s="45" t="s">
        <v>50</v>
      </c>
      <c r="F218" s="45">
        <v>2080.0</v>
      </c>
      <c r="G218" s="38">
        <v>480.0</v>
      </c>
      <c r="H218" s="35">
        <f t="shared" si="35"/>
        <v>998400</v>
      </c>
      <c r="I218" s="27"/>
      <c r="J218" s="2"/>
      <c r="K218" s="2"/>
    </row>
    <row r="219">
      <c r="A219" s="2"/>
      <c r="B219" s="2"/>
      <c r="D219" s="39" t="s">
        <v>216</v>
      </c>
      <c r="E219" s="45" t="s">
        <v>50</v>
      </c>
      <c r="F219" s="45">
        <v>2225.0</v>
      </c>
      <c r="G219" s="38">
        <v>560.0</v>
      </c>
      <c r="H219" s="35">
        <f t="shared" si="35"/>
        <v>1246000</v>
      </c>
      <c r="I219" s="27"/>
      <c r="J219" s="2"/>
      <c r="K219" s="2"/>
    </row>
    <row r="220">
      <c r="A220" s="2"/>
      <c r="B220" s="2"/>
      <c r="D220" s="39" t="s">
        <v>217</v>
      </c>
      <c r="E220" s="45" t="s">
        <v>50</v>
      </c>
      <c r="F220" s="45">
        <v>2600.0</v>
      </c>
      <c r="G220" s="38">
        <v>480.0</v>
      </c>
      <c r="H220" s="35">
        <f t="shared" si="35"/>
        <v>1248000</v>
      </c>
      <c r="I220" s="27"/>
      <c r="J220" s="2"/>
      <c r="K220" s="2"/>
    </row>
    <row r="221">
      <c r="A221" s="2"/>
      <c r="B221" s="2"/>
      <c r="D221" s="39" t="s">
        <v>218</v>
      </c>
      <c r="E221" s="45" t="s">
        <v>50</v>
      </c>
      <c r="F221" s="45">
        <v>4265.0</v>
      </c>
      <c r="G221" s="38">
        <v>560.0</v>
      </c>
      <c r="H221" s="35">
        <f t="shared" si="35"/>
        <v>2388400</v>
      </c>
      <c r="I221" s="27"/>
      <c r="J221" s="2"/>
      <c r="K221" s="2"/>
    </row>
    <row r="222">
      <c r="A222" s="2"/>
      <c r="B222" s="2"/>
      <c r="D222" s="39" t="s">
        <v>219</v>
      </c>
      <c r="E222" s="45" t="s">
        <v>50</v>
      </c>
      <c r="F222" s="45">
        <v>1990.0</v>
      </c>
      <c r="G222" s="38">
        <v>480.0</v>
      </c>
      <c r="H222" s="35">
        <f t="shared" si="35"/>
        <v>955200</v>
      </c>
      <c r="I222" s="41">
        <f>sum(H218:H222)</f>
        <v>6836000</v>
      </c>
      <c r="J222" s="2"/>
      <c r="K222" s="22" t="s">
        <v>167</v>
      </c>
    </row>
    <row r="223">
      <c r="A223" s="2"/>
      <c r="B223" s="2"/>
      <c r="C223" s="39" t="s">
        <v>189</v>
      </c>
      <c r="D223" s="39" t="s">
        <v>220</v>
      </c>
      <c r="E223" s="45" t="s">
        <v>16</v>
      </c>
      <c r="F223" s="45">
        <v>94.1</v>
      </c>
      <c r="G223" s="38">
        <v>65000.0</v>
      </c>
      <c r="H223" s="35">
        <f t="shared" si="35"/>
        <v>6116500</v>
      </c>
      <c r="I223" s="27"/>
      <c r="J223" s="2"/>
      <c r="K223" s="2"/>
    </row>
    <row r="224">
      <c r="A224" s="2"/>
      <c r="B224" s="2"/>
      <c r="C224" s="39" t="s">
        <v>189</v>
      </c>
      <c r="D224" s="39" t="s">
        <v>221</v>
      </c>
      <c r="E224" s="45" t="s">
        <v>16</v>
      </c>
      <c r="F224" s="45">
        <v>36.0</v>
      </c>
      <c r="G224" s="38">
        <v>70000.0</v>
      </c>
      <c r="H224" s="35">
        <f t="shared" si="35"/>
        <v>2520000</v>
      </c>
      <c r="I224" s="27"/>
      <c r="J224" s="2"/>
      <c r="K224" s="2"/>
    </row>
    <row r="225">
      <c r="A225" s="2"/>
      <c r="B225" s="2"/>
      <c r="D225" s="39" t="s">
        <v>222</v>
      </c>
      <c r="E225" s="45" t="s">
        <v>16</v>
      </c>
      <c r="F225" s="45">
        <v>120.0</v>
      </c>
      <c r="G225" s="38">
        <v>37000.0</v>
      </c>
      <c r="H225" s="35">
        <f t="shared" si="35"/>
        <v>4440000</v>
      </c>
      <c r="I225" s="27"/>
      <c r="J225" s="2"/>
      <c r="K225" s="2"/>
    </row>
    <row r="226">
      <c r="A226" s="2"/>
      <c r="B226" s="2"/>
      <c r="D226" s="39" t="s">
        <v>223</v>
      </c>
      <c r="E226" s="45" t="s">
        <v>16</v>
      </c>
      <c r="F226" s="45">
        <v>535.0</v>
      </c>
      <c r="G226" s="38">
        <v>1650.0</v>
      </c>
      <c r="H226" s="35">
        <f t="shared" si="35"/>
        <v>882750</v>
      </c>
      <c r="I226" s="27"/>
      <c r="J226" s="2"/>
      <c r="K226" s="2"/>
    </row>
    <row r="227">
      <c r="A227" s="2"/>
      <c r="B227" s="2"/>
      <c r="C227" s="39" t="s">
        <v>189</v>
      </c>
      <c r="D227" s="39" t="s">
        <v>224</v>
      </c>
      <c r="E227" s="45" t="s">
        <v>16</v>
      </c>
      <c r="F227" s="45">
        <v>88.0</v>
      </c>
      <c r="G227" s="38">
        <v>70000.0</v>
      </c>
      <c r="H227" s="35">
        <f t="shared" si="35"/>
        <v>6160000</v>
      </c>
      <c r="I227" s="41">
        <f>sum(H223:H227)</f>
        <v>20119250</v>
      </c>
      <c r="J227" s="2"/>
      <c r="K227" s="22" t="s">
        <v>167</v>
      </c>
    </row>
    <row r="228">
      <c r="A228" s="2"/>
      <c r="B228" s="2"/>
      <c r="C228" s="39" t="s">
        <v>122</v>
      </c>
      <c r="D228" s="39" t="s">
        <v>225</v>
      </c>
      <c r="E228" s="45" t="s">
        <v>16</v>
      </c>
      <c r="F228" s="45">
        <v>125.0</v>
      </c>
      <c r="G228" s="38">
        <v>25000.0</v>
      </c>
      <c r="H228" s="35">
        <f t="shared" si="35"/>
        <v>3125000</v>
      </c>
      <c r="I228" s="27"/>
      <c r="J228" s="2"/>
      <c r="K228" s="2"/>
    </row>
    <row r="229">
      <c r="A229" s="2"/>
      <c r="B229" s="2"/>
      <c r="D229" s="39" t="s">
        <v>226</v>
      </c>
      <c r="E229" s="45" t="s">
        <v>16</v>
      </c>
      <c r="F229" s="45">
        <v>60.0</v>
      </c>
      <c r="G229" s="38">
        <v>25000.0</v>
      </c>
      <c r="H229" s="35">
        <f t="shared" si="35"/>
        <v>1500000</v>
      </c>
      <c r="I229" s="41">
        <f>SUM(H228:H229)</f>
        <v>4625000</v>
      </c>
      <c r="J229" s="2"/>
      <c r="K229" s="22" t="s">
        <v>167</v>
      </c>
    </row>
    <row r="230">
      <c r="A230" s="2"/>
      <c r="B230" s="2"/>
      <c r="C230" s="31" t="s">
        <v>227</v>
      </c>
      <c r="D230" s="22" t="s">
        <v>228</v>
      </c>
      <c r="E230" s="32" t="s">
        <v>16</v>
      </c>
      <c r="F230" s="32">
        <v>110.0</v>
      </c>
      <c r="G230" s="35">
        <v>46500.0</v>
      </c>
      <c r="H230" s="35">
        <f t="shared" si="35"/>
        <v>5115000</v>
      </c>
      <c r="I230" s="27"/>
      <c r="J230" s="2"/>
      <c r="K230" s="2"/>
    </row>
    <row r="231">
      <c r="A231" s="2"/>
      <c r="B231" s="2"/>
      <c r="C231" s="31"/>
      <c r="D231" s="22" t="s">
        <v>229</v>
      </c>
      <c r="E231" s="32" t="s">
        <v>16</v>
      </c>
      <c r="F231" s="32">
        <v>40.0</v>
      </c>
      <c r="G231" s="35">
        <v>25000.0</v>
      </c>
      <c r="H231" s="35">
        <f t="shared" si="35"/>
        <v>1000000</v>
      </c>
      <c r="I231" s="41">
        <f>SUM(H230:H231)</f>
        <v>6115000</v>
      </c>
      <c r="J231" s="2"/>
      <c r="K231" s="22" t="s">
        <v>167</v>
      </c>
    </row>
    <row r="232">
      <c r="A232" s="2"/>
      <c r="B232" s="2"/>
      <c r="C232" s="39"/>
      <c r="D232" s="39" t="s">
        <v>12</v>
      </c>
      <c r="E232" s="45"/>
      <c r="F232" s="45">
        <v>9.0</v>
      </c>
      <c r="G232" s="38">
        <v>2500.0</v>
      </c>
      <c r="H232" s="35">
        <f t="shared" si="35"/>
        <v>22500</v>
      </c>
      <c r="I232" s="27"/>
      <c r="J232" s="27">
        <f>H232</f>
        <v>22500</v>
      </c>
      <c r="K232" s="2"/>
    </row>
    <row r="233">
      <c r="A233" s="37" t="s">
        <v>230</v>
      </c>
      <c r="B233" s="14"/>
      <c r="C233" s="15"/>
      <c r="D233" s="14"/>
      <c r="E233" s="16"/>
      <c r="F233" s="16"/>
      <c r="G233" s="28"/>
      <c r="H233" s="17" t="s">
        <v>11</v>
      </c>
      <c r="I233" s="17">
        <f t="shared" ref="I233:J233" si="36">sum(I234:I236)</f>
        <v>4160000</v>
      </c>
      <c r="J233" s="17">
        <f t="shared" si="36"/>
        <v>2500</v>
      </c>
      <c r="K233" s="2"/>
      <c r="L233" s="22">
        <v>31.0</v>
      </c>
      <c r="M233" s="39" t="s">
        <v>165</v>
      </c>
      <c r="N233" s="40">
        <f>I233</f>
        <v>4160000</v>
      </c>
    </row>
    <row r="234">
      <c r="A234" s="2"/>
      <c r="B234" s="2"/>
      <c r="C234" s="39" t="s">
        <v>106</v>
      </c>
      <c r="D234" s="39" t="s">
        <v>231</v>
      </c>
      <c r="E234" s="45" t="s">
        <v>133</v>
      </c>
      <c r="F234" s="45">
        <v>18.0</v>
      </c>
      <c r="G234" s="38">
        <v>12000.0</v>
      </c>
      <c r="H234" s="35">
        <f t="shared" ref="H234:H236" si="37">F234*G234</f>
        <v>216000</v>
      </c>
      <c r="I234" s="27"/>
      <c r="J234" s="2"/>
      <c r="K234" s="2"/>
      <c r="L234" s="2"/>
      <c r="M234" s="39" t="s">
        <v>232</v>
      </c>
      <c r="N234" s="40">
        <f>'list Reimburse'!I12</f>
        <v>90000</v>
      </c>
    </row>
    <row r="235">
      <c r="A235" s="2"/>
      <c r="B235" s="2"/>
      <c r="D235" s="39" t="s">
        <v>233</v>
      </c>
      <c r="E235" s="45" t="s">
        <v>16</v>
      </c>
      <c r="F235" s="45">
        <v>116.0</v>
      </c>
      <c r="G235" s="38">
        <v>34000.0</v>
      </c>
      <c r="H235" s="35">
        <f t="shared" si="37"/>
        <v>3944000</v>
      </c>
      <c r="I235" s="27">
        <f>SUM(H234:H235)</f>
        <v>4160000</v>
      </c>
      <c r="J235" s="2"/>
      <c r="K235" s="2"/>
      <c r="L235" s="2"/>
      <c r="M235" s="39" t="s">
        <v>234</v>
      </c>
      <c r="N235" s="40">
        <f>J233</f>
        <v>2500</v>
      </c>
    </row>
    <row r="236">
      <c r="A236" s="2"/>
      <c r="B236" s="2"/>
      <c r="C236" s="34"/>
      <c r="D236" s="22" t="s">
        <v>12</v>
      </c>
      <c r="E236" s="12"/>
      <c r="F236" s="32">
        <v>1.0</v>
      </c>
      <c r="G236" s="35">
        <v>2500.0</v>
      </c>
      <c r="H236" s="36">
        <f t="shared" si="37"/>
        <v>2500</v>
      </c>
      <c r="I236" s="27"/>
      <c r="J236" s="27">
        <f>H236</f>
        <v>2500</v>
      </c>
      <c r="K236" s="2"/>
      <c r="L236" s="2"/>
      <c r="M236" s="42" t="s">
        <v>235</v>
      </c>
      <c r="N236" s="43">
        <f>sum(N233:N235)</f>
        <v>4252500</v>
      </c>
    </row>
    <row r="237">
      <c r="A237" s="37" t="s">
        <v>236</v>
      </c>
      <c r="B237" s="14"/>
      <c r="C237" s="15"/>
      <c r="D237" s="14"/>
      <c r="E237" s="16"/>
      <c r="F237" s="16"/>
      <c r="G237" s="28"/>
      <c r="H237" s="17" t="s">
        <v>11</v>
      </c>
      <c r="I237" s="17">
        <f t="shared" ref="I237:J237" si="38">SUM(I238:I289)</f>
        <v>71988350</v>
      </c>
      <c r="J237" s="17">
        <f t="shared" si="38"/>
        <v>32500</v>
      </c>
      <c r="K237" s="2"/>
    </row>
    <row r="238">
      <c r="A238" s="2"/>
      <c r="B238" s="2"/>
      <c r="C238" s="39" t="s">
        <v>237</v>
      </c>
      <c r="D238" s="39" t="s">
        <v>128</v>
      </c>
      <c r="E238" s="45" t="s">
        <v>16</v>
      </c>
      <c r="F238" s="45">
        <v>20.0</v>
      </c>
      <c r="G238" s="38">
        <v>20000.0</v>
      </c>
      <c r="H238" s="36">
        <f t="shared" ref="H238:H265" si="39">F238*G238</f>
        <v>400000</v>
      </c>
      <c r="I238" s="27"/>
      <c r="J238" s="2"/>
      <c r="K238" s="2"/>
      <c r="L238" s="22">
        <v>1.0</v>
      </c>
      <c r="M238" s="39" t="s">
        <v>165</v>
      </c>
      <c r="N238" s="40">
        <f>I237</f>
        <v>71988350</v>
      </c>
    </row>
    <row r="239">
      <c r="A239" s="2"/>
      <c r="B239" s="2"/>
      <c r="D239" s="39" t="s">
        <v>238</v>
      </c>
      <c r="E239" s="45" t="s">
        <v>50</v>
      </c>
      <c r="F239" s="45">
        <v>83.0</v>
      </c>
      <c r="G239" s="38">
        <v>29000.0</v>
      </c>
      <c r="H239" s="36">
        <f t="shared" si="39"/>
        <v>2407000</v>
      </c>
      <c r="I239" s="27"/>
      <c r="J239" s="2"/>
      <c r="K239" s="2"/>
      <c r="L239" s="2"/>
      <c r="M239" s="39" t="s">
        <v>168</v>
      </c>
      <c r="N239" s="40">
        <f>'Kas Fisik Oprasional'!I54</f>
        <v>13604500</v>
      </c>
    </row>
    <row r="240">
      <c r="A240" s="2"/>
      <c r="B240" s="2"/>
      <c r="D240" s="39" t="s">
        <v>239</v>
      </c>
      <c r="E240" s="45" t="s">
        <v>50</v>
      </c>
      <c r="F240" s="45">
        <v>400.0</v>
      </c>
      <c r="G240" s="38">
        <v>4000.0</v>
      </c>
      <c r="H240" s="36">
        <f t="shared" si="39"/>
        <v>1600000</v>
      </c>
      <c r="I240" s="27">
        <f>SUM(H238:H240)</f>
        <v>4407000</v>
      </c>
      <c r="J240" s="2"/>
      <c r="K240" s="22" t="s">
        <v>17</v>
      </c>
      <c r="L240" s="2"/>
      <c r="M240" s="39" t="s">
        <v>240</v>
      </c>
      <c r="N240" s="38">
        <v>2000000.0</v>
      </c>
    </row>
    <row r="241">
      <c r="A241" s="2"/>
      <c r="B241" s="2"/>
      <c r="C241" s="39" t="s">
        <v>113</v>
      </c>
      <c r="D241" s="39" t="s">
        <v>241</v>
      </c>
      <c r="E241" s="45" t="s">
        <v>16</v>
      </c>
      <c r="F241" s="45">
        <v>5.25</v>
      </c>
      <c r="G241" s="38">
        <v>22000.0</v>
      </c>
      <c r="H241" s="36">
        <f t="shared" si="39"/>
        <v>115500</v>
      </c>
      <c r="I241" s="27"/>
      <c r="J241" s="2"/>
      <c r="K241" s="2"/>
      <c r="L241" s="2"/>
      <c r="M241" s="39" t="s">
        <v>242</v>
      </c>
      <c r="N241" s="40">
        <f>'list Reimburse'!I15</f>
        <v>1517600</v>
      </c>
    </row>
    <row r="242">
      <c r="A242" s="2"/>
      <c r="B242" s="2"/>
      <c r="C242" s="39" t="s">
        <v>113</v>
      </c>
      <c r="D242" s="39" t="s">
        <v>243</v>
      </c>
      <c r="E242" s="45" t="s">
        <v>16</v>
      </c>
      <c r="F242" s="45">
        <v>308.0</v>
      </c>
      <c r="G242" s="38">
        <v>35000.0</v>
      </c>
      <c r="H242" s="36">
        <f t="shared" si="39"/>
        <v>10780000</v>
      </c>
      <c r="I242" s="27"/>
      <c r="J242" s="2"/>
      <c r="K242" s="2"/>
      <c r="L242" s="2"/>
      <c r="M242" s="39" t="s">
        <v>12</v>
      </c>
      <c r="N242" s="40">
        <f>J237+'Kas Fisik Oprasional'!J54+'list Reimburse'!J15</f>
        <v>42500</v>
      </c>
    </row>
    <row r="243">
      <c r="A243" s="2"/>
      <c r="B243" s="2"/>
      <c r="D243" s="39" t="s">
        <v>244</v>
      </c>
      <c r="E243" s="45" t="s">
        <v>16</v>
      </c>
      <c r="F243" s="45">
        <v>80.0</v>
      </c>
      <c r="G243" s="38">
        <v>46500.0</v>
      </c>
      <c r="H243" s="36">
        <f t="shared" si="39"/>
        <v>3720000</v>
      </c>
      <c r="I243" s="27"/>
      <c r="J243" s="2"/>
      <c r="K243" s="2"/>
      <c r="M243" s="42" t="s">
        <v>245</v>
      </c>
      <c r="N243" s="43">
        <f>SUM(N238:N242)</f>
        <v>89152950</v>
      </c>
    </row>
    <row r="244">
      <c r="A244" s="2"/>
      <c r="B244" s="2"/>
      <c r="D244" s="39" t="s">
        <v>246</v>
      </c>
      <c r="E244" s="45" t="s">
        <v>16</v>
      </c>
      <c r="F244" s="45">
        <v>12.0</v>
      </c>
      <c r="G244" s="38">
        <v>22000.0</v>
      </c>
      <c r="H244" s="36">
        <f t="shared" si="39"/>
        <v>264000</v>
      </c>
      <c r="I244" s="27"/>
      <c r="J244" s="2"/>
      <c r="K244" s="2"/>
    </row>
    <row r="245">
      <c r="A245" s="2"/>
      <c r="B245" s="2"/>
      <c r="D245" s="39" t="s">
        <v>247</v>
      </c>
      <c r="E245" s="45" t="s">
        <v>16</v>
      </c>
      <c r="F245" s="45">
        <v>90.0</v>
      </c>
      <c r="G245" s="38">
        <v>46500.0</v>
      </c>
      <c r="H245" s="36">
        <f t="shared" si="39"/>
        <v>4185000</v>
      </c>
      <c r="I245" s="27">
        <f>sum(H241:H245)</f>
        <v>19064500</v>
      </c>
      <c r="J245" s="2"/>
      <c r="K245" s="22" t="s">
        <v>17</v>
      </c>
    </row>
    <row r="246">
      <c r="A246" s="2"/>
      <c r="B246" s="2"/>
      <c r="C246" s="31" t="s">
        <v>248</v>
      </c>
      <c r="D246" s="22" t="s">
        <v>249</v>
      </c>
      <c r="E246" s="32" t="s">
        <v>16</v>
      </c>
      <c r="F246" s="32">
        <v>625.0</v>
      </c>
      <c r="G246" s="35">
        <v>15000.0</v>
      </c>
      <c r="H246" s="36">
        <f t="shared" si="39"/>
        <v>9375000</v>
      </c>
      <c r="I246" s="27">
        <f t="shared" ref="I246:I247" si="40">H246</f>
        <v>9375000</v>
      </c>
      <c r="J246" s="2"/>
      <c r="K246" s="22" t="s">
        <v>17</v>
      </c>
    </row>
    <row r="247">
      <c r="A247" s="2"/>
      <c r="B247" s="2"/>
      <c r="C247" s="31" t="s">
        <v>250</v>
      </c>
      <c r="D247" s="22" t="s">
        <v>251</v>
      </c>
      <c r="E247" s="32" t="s">
        <v>16</v>
      </c>
      <c r="F247" s="32">
        <v>88.0</v>
      </c>
      <c r="G247" s="35">
        <v>95000.0</v>
      </c>
      <c r="H247" s="36">
        <f t="shared" si="39"/>
        <v>8360000</v>
      </c>
      <c r="I247" s="27">
        <f t="shared" si="40"/>
        <v>8360000</v>
      </c>
      <c r="J247" s="2"/>
      <c r="K247" s="22" t="s">
        <v>17</v>
      </c>
    </row>
    <row r="248">
      <c r="A248" s="2"/>
      <c r="B248" s="2"/>
      <c r="C248" s="31" t="s">
        <v>79</v>
      </c>
      <c r="D248" s="22" t="s">
        <v>19</v>
      </c>
      <c r="E248" s="32" t="s">
        <v>16</v>
      </c>
      <c r="F248" s="32">
        <v>2.0</v>
      </c>
      <c r="G248" s="35">
        <v>40000.0</v>
      </c>
      <c r="H248" s="36">
        <f t="shared" si="39"/>
        <v>80000</v>
      </c>
      <c r="I248" s="27"/>
      <c r="J248" s="2"/>
      <c r="K248" s="2"/>
    </row>
    <row r="249">
      <c r="A249" s="2"/>
      <c r="B249" s="2"/>
      <c r="C249" s="31" t="s">
        <v>75</v>
      </c>
      <c r="D249" s="22" t="s">
        <v>20</v>
      </c>
      <c r="E249" s="32" t="s">
        <v>16</v>
      </c>
      <c r="F249" s="32">
        <v>6.0</v>
      </c>
      <c r="G249" s="35">
        <v>40000.0</v>
      </c>
      <c r="H249" s="36">
        <f t="shared" si="39"/>
        <v>240000</v>
      </c>
      <c r="I249" s="27"/>
      <c r="J249" s="2"/>
      <c r="K249" s="2"/>
    </row>
    <row r="250">
      <c r="A250" s="2"/>
      <c r="B250" s="2"/>
      <c r="C250" s="34"/>
      <c r="D250" s="22" t="s">
        <v>21</v>
      </c>
      <c r="E250" s="32" t="s">
        <v>16</v>
      </c>
      <c r="F250" s="32">
        <v>7.0</v>
      </c>
      <c r="G250" s="35">
        <v>30000.0</v>
      </c>
      <c r="H250" s="36">
        <f t="shared" si="39"/>
        <v>210000</v>
      </c>
      <c r="I250" s="27">
        <f>SUM(H248:H250)</f>
        <v>530000</v>
      </c>
      <c r="J250" s="2"/>
      <c r="K250" s="2"/>
    </row>
    <row r="251">
      <c r="A251" s="2"/>
      <c r="B251" s="2"/>
      <c r="C251" s="34"/>
      <c r="D251" s="22" t="s">
        <v>252</v>
      </c>
      <c r="E251" s="32" t="s">
        <v>16</v>
      </c>
      <c r="F251" s="32">
        <v>6.0</v>
      </c>
      <c r="G251" s="35">
        <v>94000.0</v>
      </c>
      <c r="H251" s="36">
        <f t="shared" si="39"/>
        <v>564000</v>
      </c>
      <c r="I251" s="27"/>
      <c r="J251" s="2"/>
      <c r="K251" s="2"/>
    </row>
    <row r="252">
      <c r="A252" s="2"/>
      <c r="B252" s="2"/>
      <c r="C252" s="34"/>
      <c r="D252" s="22" t="s">
        <v>253</v>
      </c>
      <c r="E252" s="32" t="s">
        <v>16</v>
      </c>
      <c r="F252" s="32">
        <v>3.0</v>
      </c>
      <c r="G252" s="35">
        <v>24000.0</v>
      </c>
      <c r="H252" s="36">
        <f t="shared" si="39"/>
        <v>72000</v>
      </c>
      <c r="I252" s="27">
        <f>SUM(H251:H252)</f>
        <v>636000</v>
      </c>
      <c r="J252" s="2"/>
      <c r="K252" s="2"/>
    </row>
    <row r="253">
      <c r="A253" s="2"/>
      <c r="B253" s="2"/>
      <c r="C253" s="31" t="s">
        <v>25</v>
      </c>
      <c r="D253" s="22" t="s">
        <v>26</v>
      </c>
      <c r="E253" s="32" t="s">
        <v>16</v>
      </c>
      <c r="F253" s="32">
        <v>80.0</v>
      </c>
      <c r="G253" s="35">
        <v>7000.0</v>
      </c>
      <c r="H253" s="36">
        <f t="shared" si="39"/>
        <v>560000</v>
      </c>
      <c r="I253" s="27">
        <f>H253</f>
        <v>560000</v>
      </c>
      <c r="J253" s="2"/>
      <c r="K253" s="2"/>
    </row>
    <row r="254">
      <c r="A254" s="2"/>
      <c r="B254" s="2"/>
      <c r="C254" s="31" t="s">
        <v>178</v>
      </c>
      <c r="D254" s="22" t="s">
        <v>28</v>
      </c>
      <c r="E254" s="32" t="s">
        <v>16</v>
      </c>
      <c r="F254" s="32">
        <v>13.0</v>
      </c>
      <c r="G254" s="35">
        <v>14000.0</v>
      </c>
      <c r="H254" s="36">
        <f t="shared" si="39"/>
        <v>182000</v>
      </c>
      <c r="I254" s="27"/>
      <c r="J254" s="2"/>
      <c r="K254" s="2"/>
    </row>
    <row r="255">
      <c r="A255" s="2"/>
      <c r="B255" s="2"/>
      <c r="C255" s="34"/>
      <c r="D255" s="22" t="s">
        <v>29</v>
      </c>
      <c r="E255" s="32" t="s">
        <v>16</v>
      </c>
      <c r="F255" s="32">
        <v>5.0</v>
      </c>
      <c r="G255" s="35">
        <v>60000.0</v>
      </c>
      <c r="H255" s="36">
        <f t="shared" si="39"/>
        <v>300000</v>
      </c>
      <c r="I255" s="27"/>
      <c r="J255" s="2"/>
      <c r="K255" s="2"/>
    </row>
    <row r="256">
      <c r="A256" s="2"/>
      <c r="B256" s="2"/>
      <c r="C256" s="34"/>
      <c r="D256" s="22" t="s">
        <v>254</v>
      </c>
      <c r="E256" s="32" t="s">
        <v>16</v>
      </c>
      <c r="F256" s="32">
        <v>2.0</v>
      </c>
      <c r="G256" s="35">
        <v>65000.0</v>
      </c>
      <c r="H256" s="36">
        <f t="shared" si="39"/>
        <v>130000</v>
      </c>
      <c r="I256" s="27"/>
      <c r="J256" s="2"/>
      <c r="K256" s="2"/>
    </row>
    <row r="257">
      <c r="A257" s="2"/>
      <c r="B257" s="2"/>
      <c r="C257" s="34"/>
      <c r="D257" s="22" t="s">
        <v>31</v>
      </c>
      <c r="E257" s="32" t="s">
        <v>16</v>
      </c>
      <c r="F257" s="32">
        <v>3.0</v>
      </c>
      <c r="G257" s="35">
        <v>15000.0</v>
      </c>
      <c r="H257" s="36">
        <f t="shared" si="39"/>
        <v>45000</v>
      </c>
      <c r="I257" s="27"/>
      <c r="J257" s="2"/>
      <c r="K257" s="2"/>
    </row>
    <row r="258">
      <c r="A258" s="2"/>
      <c r="B258" s="2"/>
      <c r="C258" s="34"/>
      <c r="D258" s="22" t="s">
        <v>32</v>
      </c>
      <c r="E258" s="32" t="s">
        <v>16</v>
      </c>
      <c r="F258" s="32">
        <v>1.0</v>
      </c>
      <c r="G258" s="35">
        <v>20000.0</v>
      </c>
      <c r="H258" s="36">
        <f t="shared" si="39"/>
        <v>20000</v>
      </c>
      <c r="I258" s="27"/>
      <c r="J258" s="2"/>
      <c r="K258" s="2"/>
    </row>
    <row r="259">
      <c r="A259" s="2"/>
      <c r="B259" s="2"/>
      <c r="C259" s="34"/>
      <c r="D259" s="22" t="s">
        <v>163</v>
      </c>
      <c r="E259" s="32" t="s">
        <v>16</v>
      </c>
      <c r="F259" s="32">
        <v>8.5</v>
      </c>
      <c r="G259" s="35">
        <v>35000.0</v>
      </c>
      <c r="H259" s="36">
        <f t="shared" si="39"/>
        <v>297500</v>
      </c>
      <c r="I259" s="27"/>
      <c r="J259" s="2"/>
      <c r="K259" s="2"/>
    </row>
    <row r="260">
      <c r="A260" s="2"/>
      <c r="B260" s="2"/>
      <c r="C260" s="34"/>
      <c r="D260" s="22" t="s">
        <v>85</v>
      </c>
      <c r="E260" s="32" t="s">
        <v>16</v>
      </c>
      <c r="F260" s="32">
        <v>2.0</v>
      </c>
      <c r="G260" s="35">
        <v>18000.0</v>
      </c>
      <c r="H260" s="36">
        <f t="shared" si="39"/>
        <v>36000</v>
      </c>
      <c r="I260" s="27"/>
      <c r="J260" s="2"/>
      <c r="K260" s="2"/>
    </row>
    <row r="261">
      <c r="A261" s="2"/>
      <c r="B261" s="2"/>
      <c r="C261" s="34"/>
      <c r="D261" s="22" t="s">
        <v>36</v>
      </c>
      <c r="E261" s="32" t="s">
        <v>16</v>
      </c>
      <c r="F261" s="32">
        <v>90.0</v>
      </c>
      <c r="G261" s="35">
        <v>10000.0</v>
      </c>
      <c r="H261" s="36">
        <f t="shared" si="39"/>
        <v>900000</v>
      </c>
      <c r="I261" s="27"/>
      <c r="J261" s="2"/>
      <c r="K261" s="2"/>
    </row>
    <row r="262">
      <c r="A262" s="2"/>
      <c r="B262" s="2"/>
      <c r="C262" s="34"/>
      <c r="D262" s="22" t="s">
        <v>33</v>
      </c>
      <c r="E262" s="32" t="s">
        <v>16</v>
      </c>
      <c r="F262" s="32">
        <v>20.0</v>
      </c>
      <c r="G262" s="35">
        <v>6000.0</v>
      </c>
      <c r="H262" s="36">
        <f t="shared" si="39"/>
        <v>120000</v>
      </c>
      <c r="I262" s="27"/>
      <c r="J262" s="2"/>
      <c r="K262" s="2"/>
    </row>
    <row r="263">
      <c r="A263" s="2"/>
      <c r="B263" s="2"/>
      <c r="C263" s="34"/>
      <c r="D263" s="22" t="s">
        <v>34</v>
      </c>
      <c r="E263" s="32" t="s">
        <v>16</v>
      </c>
      <c r="F263" s="32">
        <v>40.0</v>
      </c>
      <c r="G263" s="35">
        <v>9000.0</v>
      </c>
      <c r="H263" s="36">
        <f t="shared" si="39"/>
        <v>360000</v>
      </c>
      <c r="I263" s="27"/>
      <c r="J263" s="2"/>
      <c r="K263" s="2"/>
    </row>
    <row r="264">
      <c r="A264" s="2"/>
      <c r="B264" s="2"/>
      <c r="C264" s="31"/>
      <c r="D264" s="22" t="s">
        <v>35</v>
      </c>
      <c r="E264" s="32" t="s">
        <v>16</v>
      </c>
      <c r="F264" s="32">
        <v>188.0</v>
      </c>
      <c r="G264" s="35">
        <v>15000.0</v>
      </c>
      <c r="H264" s="36">
        <f t="shared" si="39"/>
        <v>2820000</v>
      </c>
      <c r="I264" s="27"/>
      <c r="J264" s="2"/>
      <c r="K264" s="2"/>
    </row>
    <row r="265">
      <c r="A265" s="2"/>
      <c r="B265" s="2"/>
      <c r="C265" s="34"/>
      <c r="D265" s="22" t="s">
        <v>255</v>
      </c>
      <c r="E265" s="32" t="s">
        <v>16</v>
      </c>
      <c r="F265" s="32">
        <v>15.0</v>
      </c>
      <c r="G265" s="35">
        <v>25000.0</v>
      </c>
      <c r="H265" s="36">
        <f t="shared" si="39"/>
        <v>375000</v>
      </c>
      <c r="I265" s="27"/>
      <c r="J265" s="2"/>
      <c r="K265" s="2"/>
    </row>
    <row r="266">
      <c r="A266" s="2"/>
      <c r="B266" s="2"/>
      <c r="C266" s="34"/>
      <c r="D266" s="22" t="s">
        <v>39</v>
      </c>
      <c r="E266" s="32" t="s">
        <v>16</v>
      </c>
      <c r="F266" s="32">
        <v>1.5</v>
      </c>
      <c r="G266" s="36">
        <f>H266/F266</f>
        <v>10666.66667</v>
      </c>
      <c r="H266" s="35">
        <v>16000.0</v>
      </c>
      <c r="I266" s="27"/>
      <c r="J266" s="2"/>
      <c r="K266" s="2"/>
    </row>
    <row r="267">
      <c r="A267" s="2"/>
      <c r="B267" s="2"/>
      <c r="C267" s="34"/>
      <c r="D267" s="22" t="s">
        <v>256</v>
      </c>
      <c r="E267" s="32" t="s">
        <v>16</v>
      </c>
      <c r="F267" s="32">
        <v>1.0</v>
      </c>
      <c r="G267" s="35">
        <v>13000.0</v>
      </c>
      <c r="H267" s="36">
        <f t="shared" ref="H267:H283" si="41">F267*G267</f>
        <v>13000</v>
      </c>
      <c r="I267" s="27">
        <f>SUM(H254:H267)</f>
        <v>5614500</v>
      </c>
      <c r="J267" s="2"/>
      <c r="K267" s="2"/>
    </row>
    <row r="268">
      <c r="A268" s="2"/>
      <c r="B268" s="2"/>
      <c r="C268" s="31" t="s">
        <v>42</v>
      </c>
      <c r="D268" s="22" t="s">
        <v>43</v>
      </c>
      <c r="E268" s="32" t="s">
        <v>16</v>
      </c>
      <c r="F268" s="32">
        <v>5.0</v>
      </c>
      <c r="G268" s="35">
        <v>11000.0</v>
      </c>
      <c r="H268" s="36">
        <f t="shared" si="41"/>
        <v>55000</v>
      </c>
      <c r="I268" s="27">
        <f>H268</f>
        <v>55000</v>
      </c>
      <c r="J268" s="2"/>
      <c r="K268" s="2"/>
    </row>
    <row r="269">
      <c r="A269" s="2"/>
      <c r="B269" s="2"/>
      <c r="C269" s="31" t="s">
        <v>44</v>
      </c>
      <c r="D269" s="22" t="s">
        <v>89</v>
      </c>
      <c r="E269" s="32" t="s">
        <v>16</v>
      </c>
      <c r="F269" s="45">
        <v>1.0</v>
      </c>
      <c r="G269" s="35">
        <v>20000.0</v>
      </c>
      <c r="H269" s="36">
        <f t="shared" si="41"/>
        <v>20000</v>
      </c>
      <c r="I269" s="27"/>
      <c r="J269" s="2"/>
      <c r="K269" s="2"/>
    </row>
    <row r="270">
      <c r="A270" s="2"/>
      <c r="B270" s="2"/>
      <c r="C270" s="34"/>
      <c r="D270" s="22" t="s">
        <v>158</v>
      </c>
      <c r="E270" s="32" t="s">
        <v>257</v>
      </c>
      <c r="F270" s="32">
        <v>1.0</v>
      </c>
      <c r="G270" s="35">
        <v>70000.0</v>
      </c>
      <c r="H270" s="36">
        <f t="shared" si="41"/>
        <v>70000</v>
      </c>
      <c r="I270" s="27"/>
      <c r="J270" s="2"/>
      <c r="K270" s="2"/>
    </row>
    <row r="271">
      <c r="A271" s="2"/>
      <c r="B271" s="2"/>
      <c r="C271" s="34"/>
      <c r="D271" s="22" t="s">
        <v>152</v>
      </c>
      <c r="E271" s="32" t="s">
        <v>16</v>
      </c>
      <c r="F271" s="32">
        <v>10.0</v>
      </c>
      <c r="G271" s="35">
        <v>18500.0</v>
      </c>
      <c r="H271" s="36">
        <f t="shared" si="41"/>
        <v>185000</v>
      </c>
      <c r="I271" s="27"/>
      <c r="J271" s="2"/>
      <c r="K271" s="2"/>
    </row>
    <row r="272">
      <c r="A272" s="2"/>
      <c r="B272" s="2"/>
      <c r="C272" s="34"/>
      <c r="D272" s="22" t="s">
        <v>258</v>
      </c>
      <c r="E272" s="32" t="s">
        <v>16</v>
      </c>
      <c r="F272" s="32">
        <v>1.0</v>
      </c>
      <c r="G272" s="35">
        <v>120000.0</v>
      </c>
      <c r="H272" s="36">
        <f t="shared" si="41"/>
        <v>120000</v>
      </c>
      <c r="I272" s="27"/>
      <c r="J272" s="2"/>
      <c r="K272" s="2"/>
    </row>
    <row r="273">
      <c r="A273" s="2"/>
      <c r="B273" s="2"/>
      <c r="C273" s="34"/>
      <c r="D273" s="22" t="s">
        <v>47</v>
      </c>
      <c r="E273" s="32" t="s">
        <v>50</v>
      </c>
      <c r="F273" s="32">
        <v>3.0</v>
      </c>
      <c r="G273" s="35">
        <v>48000.0</v>
      </c>
      <c r="H273" s="36">
        <f t="shared" si="41"/>
        <v>144000</v>
      </c>
      <c r="I273" s="27"/>
      <c r="J273" s="2"/>
      <c r="K273" s="2"/>
    </row>
    <row r="274">
      <c r="A274" s="2"/>
      <c r="B274" s="2"/>
      <c r="C274" s="34"/>
      <c r="D274" s="22" t="s">
        <v>259</v>
      </c>
      <c r="E274" s="32" t="s">
        <v>54</v>
      </c>
      <c r="F274" s="32">
        <v>8.0</v>
      </c>
      <c r="G274" s="35">
        <v>190000.0</v>
      </c>
      <c r="H274" s="36">
        <f t="shared" si="41"/>
        <v>1520000</v>
      </c>
      <c r="I274" s="27"/>
      <c r="J274" s="2"/>
      <c r="K274" s="2"/>
    </row>
    <row r="275">
      <c r="A275" s="2"/>
      <c r="B275" s="2"/>
      <c r="C275" s="34"/>
      <c r="D275" s="22" t="s">
        <v>49</v>
      </c>
      <c r="E275" s="32" t="s">
        <v>16</v>
      </c>
      <c r="F275" s="32">
        <v>2.5</v>
      </c>
      <c r="G275" s="35">
        <v>45000.0</v>
      </c>
      <c r="H275" s="36">
        <f t="shared" si="41"/>
        <v>112500</v>
      </c>
      <c r="I275" s="27"/>
      <c r="J275" s="2"/>
      <c r="K275" s="2"/>
    </row>
    <row r="276">
      <c r="A276" s="2"/>
      <c r="B276" s="2"/>
      <c r="C276" s="34"/>
      <c r="D276" s="22" t="s">
        <v>98</v>
      </c>
      <c r="E276" s="32" t="s">
        <v>16</v>
      </c>
      <c r="F276" s="32">
        <v>0.25</v>
      </c>
      <c r="G276" s="35">
        <v>80000.0</v>
      </c>
      <c r="H276" s="36">
        <f t="shared" si="41"/>
        <v>20000</v>
      </c>
      <c r="I276" s="27"/>
      <c r="J276" s="2"/>
      <c r="K276" s="2"/>
    </row>
    <row r="277">
      <c r="A277" s="2"/>
      <c r="B277" s="2"/>
      <c r="C277" s="34"/>
      <c r="D277" s="22" t="s">
        <v>94</v>
      </c>
      <c r="E277" s="32" t="s">
        <v>16</v>
      </c>
      <c r="F277" s="32">
        <v>1.0</v>
      </c>
      <c r="G277" s="35">
        <v>140000.0</v>
      </c>
      <c r="H277" s="36">
        <f t="shared" si="41"/>
        <v>140000</v>
      </c>
      <c r="I277" s="27"/>
      <c r="J277" s="2"/>
      <c r="K277" s="2"/>
    </row>
    <row r="278">
      <c r="A278" s="2"/>
      <c r="B278" s="2"/>
      <c r="C278" s="34"/>
      <c r="D278" s="22" t="s">
        <v>51</v>
      </c>
      <c r="E278" s="32" t="s">
        <v>16</v>
      </c>
      <c r="F278" s="32">
        <v>5.0</v>
      </c>
      <c r="G278" s="35">
        <v>180000.0</v>
      </c>
      <c r="H278" s="36">
        <f t="shared" si="41"/>
        <v>900000</v>
      </c>
      <c r="I278" s="27"/>
      <c r="J278" s="2"/>
      <c r="K278" s="2"/>
    </row>
    <row r="279">
      <c r="A279" s="2"/>
      <c r="B279" s="2"/>
      <c r="C279" s="34"/>
      <c r="D279" s="22" t="s">
        <v>260</v>
      </c>
      <c r="E279" s="32" t="s">
        <v>48</v>
      </c>
      <c r="F279" s="32">
        <v>2.0</v>
      </c>
      <c r="G279" s="35">
        <v>53000.0</v>
      </c>
      <c r="H279" s="36">
        <f t="shared" si="41"/>
        <v>106000</v>
      </c>
      <c r="I279" s="27"/>
      <c r="J279" s="2"/>
      <c r="K279" s="2"/>
    </row>
    <row r="280">
      <c r="A280" s="2"/>
      <c r="B280" s="2"/>
      <c r="C280" s="34"/>
      <c r="D280" s="22" t="s">
        <v>159</v>
      </c>
      <c r="E280" s="32" t="s">
        <v>48</v>
      </c>
      <c r="F280" s="32">
        <v>4.0</v>
      </c>
      <c r="G280" s="35">
        <v>52000.0</v>
      </c>
      <c r="H280" s="36">
        <f t="shared" si="41"/>
        <v>208000</v>
      </c>
      <c r="I280" s="27"/>
      <c r="J280" s="2"/>
      <c r="K280" s="2"/>
    </row>
    <row r="281">
      <c r="A281" s="2"/>
      <c r="B281" s="2"/>
      <c r="C281" s="34"/>
      <c r="D281" s="22" t="s">
        <v>154</v>
      </c>
      <c r="E281" s="32" t="s">
        <v>261</v>
      </c>
      <c r="F281" s="32">
        <v>6.0</v>
      </c>
      <c r="G281" s="35">
        <v>117000.0</v>
      </c>
      <c r="H281" s="36">
        <f t="shared" si="41"/>
        <v>702000</v>
      </c>
      <c r="I281" s="27"/>
      <c r="J281" s="2"/>
      <c r="K281" s="2"/>
    </row>
    <row r="282">
      <c r="A282" s="2"/>
      <c r="B282" s="2"/>
      <c r="C282" s="34"/>
      <c r="D282" s="22" t="s">
        <v>262</v>
      </c>
      <c r="E282" s="32" t="s">
        <v>16</v>
      </c>
      <c r="F282" s="32">
        <v>84.0</v>
      </c>
      <c r="G282" s="35">
        <v>14000.0</v>
      </c>
      <c r="H282" s="36">
        <f t="shared" si="41"/>
        <v>1176000</v>
      </c>
      <c r="I282" s="27"/>
      <c r="J282" s="2"/>
      <c r="K282" s="2"/>
    </row>
    <row r="283">
      <c r="A283" s="2"/>
      <c r="B283" s="2"/>
      <c r="C283" s="34"/>
      <c r="D283" s="22" t="s">
        <v>263</v>
      </c>
      <c r="E283" s="32" t="s">
        <v>59</v>
      </c>
      <c r="F283" s="32">
        <v>1.0</v>
      </c>
      <c r="G283" s="35">
        <v>225000.0</v>
      </c>
      <c r="H283" s="36">
        <f t="shared" si="41"/>
        <v>225000</v>
      </c>
      <c r="I283" s="27"/>
      <c r="J283" s="2"/>
      <c r="K283" s="2"/>
    </row>
    <row r="284">
      <c r="A284" s="2"/>
      <c r="B284" s="2"/>
      <c r="C284" s="34"/>
      <c r="D284" s="22" t="s">
        <v>263</v>
      </c>
      <c r="E284" s="32" t="s">
        <v>16</v>
      </c>
      <c r="F284" s="32">
        <v>15.0</v>
      </c>
      <c r="G284" s="36">
        <f>H284/F284</f>
        <v>11266.66667</v>
      </c>
      <c r="H284" s="35">
        <v>169000.0</v>
      </c>
      <c r="I284" s="27">
        <f>SUM(H269:H284)</f>
        <v>5817500</v>
      </c>
      <c r="J284" s="2"/>
      <c r="K284" s="2"/>
    </row>
    <row r="285">
      <c r="A285" s="2"/>
      <c r="B285" s="2"/>
      <c r="C285" s="31" t="s">
        <v>203</v>
      </c>
      <c r="D285" s="22" t="s">
        <v>264</v>
      </c>
      <c r="E285" s="32" t="s">
        <v>16</v>
      </c>
      <c r="F285" s="32">
        <v>103.0</v>
      </c>
      <c r="G285" s="35">
        <v>56000.0</v>
      </c>
      <c r="H285" s="36">
        <f t="shared" ref="H285:H289" si="42">F285*G285</f>
        <v>5768000</v>
      </c>
      <c r="I285" s="27">
        <f>H285</f>
        <v>5768000</v>
      </c>
      <c r="J285" s="2"/>
      <c r="K285" s="2"/>
    </row>
    <row r="286">
      <c r="A286" s="2"/>
      <c r="B286" s="2"/>
      <c r="C286" s="31" t="s">
        <v>265</v>
      </c>
      <c r="D286" s="22" t="s">
        <v>266</v>
      </c>
      <c r="E286" s="32" t="s">
        <v>16</v>
      </c>
      <c r="F286" s="32">
        <v>3.0</v>
      </c>
      <c r="G286" s="35">
        <v>26950.0</v>
      </c>
      <c r="H286" s="36">
        <f t="shared" si="42"/>
        <v>80850</v>
      </c>
      <c r="I286" s="27"/>
      <c r="J286" s="2"/>
      <c r="K286" s="2"/>
    </row>
    <row r="287">
      <c r="A287" s="2"/>
      <c r="B287" s="2"/>
      <c r="C287" s="34"/>
      <c r="D287" s="22" t="s">
        <v>266</v>
      </c>
      <c r="E287" s="32" t="s">
        <v>16</v>
      </c>
      <c r="F287" s="32">
        <v>4.0</v>
      </c>
      <c r="G287" s="35">
        <v>30000.0</v>
      </c>
      <c r="H287" s="36">
        <f t="shared" si="42"/>
        <v>120000</v>
      </c>
      <c r="I287" s="27">
        <f>SUM(H286:H287)</f>
        <v>200850</v>
      </c>
      <c r="J287" s="2"/>
      <c r="K287" s="2"/>
    </row>
    <row r="288">
      <c r="A288" s="2"/>
      <c r="B288" s="2"/>
      <c r="C288" s="31" t="s">
        <v>73</v>
      </c>
      <c r="D288" s="22" t="s">
        <v>74</v>
      </c>
      <c r="E288" s="32" t="s">
        <v>16</v>
      </c>
      <c r="F288" s="32">
        <v>800.0</v>
      </c>
      <c r="G288" s="35">
        <v>14500.0</v>
      </c>
      <c r="H288" s="36">
        <f t="shared" si="42"/>
        <v>11600000</v>
      </c>
      <c r="I288" s="27">
        <f>H288</f>
        <v>11600000</v>
      </c>
      <c r="J288" s="2"/>
      <c r="K288" s="2"/>
    </row>
    <row r="289">
      <c r="A289" s="2"/>
      <c r="B289" s="2"/>
      <c r="C289" s="34"/>
      <c r="D289" s="22" t="s">
        <v>12</v>
      </c>
      <c r="E289" s="12"/>
      <c r="F289" s="32">
        <v>13.0</v>
      </c>
      <c r="G289" s="35">
        <v>2500.0</v>
      </c>
      <c r="H289" s="36">
        <f t="shared" si="42"/>
        <v>32500</v>
      </c>
      <c r="I289" s="27"/>
      <c r="J289" s="27">
        <f>H289</f>
        <v>32500</v>
      </c>
      <c r="K289" s="2"/>
    </row>
    <row r="290">
      <c r="A290" s="46" t="s">
        <v>267</v>
      </c>
      <c r="B290" s="47"/>
      <c r="C290" s="47"/>
      <c r="D290" s="47"/>
      <c r="E290" s="48"/>
      <c r="F290" s="48"/>
      <c r="G290" s="49"/>
      <c r="H290" s="50" t="s">
        <v>11</v>
      </c>
      <c r="I290" s="51">
        <f t="shared" ref="I290:J290" si="43">SUM(I291:I332)</f>
        <v>16698000</v>
      </c>
      <c r="J290" s="51">
        <f t="shared" si="43"/>
        <v>20000</v>
      </c>
      <c r="K290" s="2"/>
      <c r="L290" s="39">
        <v>2.0</v>
      </c>
      <c r="M290" s="39" t="s">
        <v>165</v>
      </c>
      <c r="N290" s="40">
        <f>I290</f>
        <v>16698000</v>
      </c>
    </row>
    <row r="291">
      <c r="A291" s="2"/>
      <c r="B291" s="2"/>
      <c r="C291" s="31" t="s">
        <v>79</v>
      </c>
      <c r="D291" s="22" t="s">
        <v>19</v>
      </c>
      <c r="E291" s="32" t="s">
        <v>16</v>
      </c>
      <c r="F291" s="32">
        <v>2.5</v>
      </c>
      <c r="G291" s="35">
        <v>40000.0</v>
      </c>
      <c r="H291" s="36">
        <f t="shared" ref="H291:H329" si="44">F291*G291</f>
        <v>100000</v>
      </c>
      <c r="I291" s="27"/>
      <c r="J291" s="2"/>
      <c r="K291" s="2"/>
      <c r="M291" s="39" t="s">
        <v>168</v>
      </c>
      <c r="N291" s="40">
        <f>'Kas Fisik Oprasional'!I69</f>
        <v>4464020</v>
      </c>
    </row>
    <row r="292">
      <c r="A292" s="2"/>
      <c r="B292" s="2"/>
      <c r="C292" s="34"/>
      <c r="D292" s="22" t="s">
        <v>20</v>
      </c>
      <c r="E292" s="32" t="s">
        <v>16</v>
      </c>
      <c r="F292" s="32">
        <v>5.0</v>
      </c>
      <c r="G292" s="35">
        <v>43000.0</v>
      </c>
      <c r="H292" s="36">
        <f t="shared" si="44"/>
        <v>215000</v>
      </c>
      <c r="I292" s="27"/>
      <c r="J292" s="2"/>
      <c r="K292" s="2"/>
      <c r="M292" s="39" t="s">
        <v>268</v>
      </c>
      <c r="N292" s="38">
        <v>500000.0</v>
      </c>
    </row>
    <row r="293">
      <c r="A293" s="2"/>
      <c r="B293" s="2"/>
      <c r="C293" s="34"/>
      <c r="D293" s="22" t="s">
        <v>21</v>
      </c>
      <c r="E293" s="32" t="s">
        <v>16</v>
      </c>
      <c r="F293" s="32">
        <v>5.0</v>
      </c>
      <c r="G293" s="35">
        <v>30000.0</v>
      </c>
      <c r="H293" s="36">
        <f t="shared" si="44"/>
        <v>150000</v>
      </c>
      <c r="I293" s="27">
        <f>SUM(H291:H293)</f>
        <v>465000</v>
      </c>
      <c r="J293" s="2"/>
      <c r="K293" s="2"/>
      <c r="M293" s="39" t="s">
        <v>12</v>
      </c>
      <c r="N293" s="40">
        <f>J290+'Kas Fisik Oprasional'!J69</f>
        <v>37500</v>
      </c>
    </row>
    <row r="294">
      <c r="A294" s="2"/>
      <c r="B294" s="2"/>
      <c r="C294" s="31" t="s">
        <v>75</v>
      </c>
      <c r="D294" s="22" t="s">
        <v>269</v>
      </c>
      <c r="E294" s="32" t="s">
        <v>90</v>
      </c>
      <c r="F294" s="32">
        <v>5.0</v>
      </c>
      <c r="G294" s="38">
        <v>140000.0</v>
      </c>
      <c r="H294" s="36">
        <f t="shared" si="44"/>
        <v>700000</v>
      </c>
      <c r="I294" s="27"/>
      <c r="J294" s="2"/>
      <c r="K294" s="2"/>
      <c r="M294" s="42" t="s">
        <v>245</v>
      </c>
      <c r="N294" s="43">
        <f>SUM(N290:N293)</f>
        <v>21699520</v>
      </c>
    </row>
    <row r="295">
      <c r="A295" s="2"/>
      <c r="B295" s="2"/>
      <c r="C295" s="34"/>
      <c r="D295" s="22" t="s">
        <v>253</v>
      </c>
      <c r="E295" s="32" t="s">
        <v>16</v>
      </c>
      <c r="F295" s="32">
        <v>5.0</v>
      </c>
      <c r="G295" s="35">
        <v>24000.0</v>
      </c>
      <c r="H295" s="36">
        <f t="shared" si="44"/>
        <v>120000</v>
      </c>
      <c r="I295" s="27">
        <f>SUM(H294:H295)</f>
        <v>820000</v>
      </c>
      <c r="J295" s="2"/>
      <c r="K295" s="2"/>
    </row>
    <row r="296">
      <c r="A296" s="2"/>
      <c r="B296" s="2"/>
      <c r="C296" s="31" t="s">
        <v>270</v>
      </c>
      <c r="D296" s="22" t="s">
        <v>271</v>
      </c>
      <c r="E296" s="32" t="s">
        <v>90</v>
      </c>
      <c r="F296" s="32">
        <v>10.0</v>
      </c>
      <c r="G296" s="35">
        <v>83000.0</v>
      </c>
      <c r="H296" s="36">
        <f t="shared" si="44"/>
        <v>830000</v>
      </c>
      <c r="I296" s="27">
        <f t="shared" ref="I296:I298" si="45">H296</f>
        <v>830000</v>
      </c>
      <c r="J296" s="2"/>
      <c r="K296" s="2"/>
    </row>
    <row r="297">
      <c r="A297" s="2"/>
      <c r="B297" s="2"/>
      <c r="C297" s="39" t="s">
        <v>272</v>
      </c>
      <c r="D297" s="39" t="s">
        <v>170</v>
      </c>
      <c r="E297" s="45" t="s">
        <v>16</v>
      </c>
      <c r="F297" s="45">
        <v>60.0</v>
      </c>
      <c r="G297" s="38">
        <v>24000.0</v>
      </c>
      <c r="H297" s="40">
        <f t="shared" si="44"/>
        <v>1440000</v>
      </c>
      <c r="I297" s="40">
        <f t="shared" si="45"/>
        <v>1440000</v>
      </c>
      <c r="J297" s="2"/>
      <c r="K297" s="2"/>
    </row>
    <row r="298">
      <c r="A298" s="2"/>
      <c r="B298" s="2"/>
      <c r="C298" s="39" t="s">
        <v>25</v>
      </c>
      <c r="D298" s="39" t="s">
        <v>26</v>
      </c>
      <c r="E298" s="45" t="s">
        <v>16</v>
      </c>
      <c r="F298" s="45">
        <v>50.0</v>
      </c>
      <c r="G298" s="38">
        <v>7000.0</v>
      </c>
      <c r="H298" s="40">
        <f t="shared" si="44"/>
        <v>350000</v>
      </c>
      <c r="I298" s="40">
        <f t="shared" si="45"/>
        <v>350000</v>
      </c>
      <c r="J298" s="2"/>
      <c r="K298" s="2"/>
    </row>
    <row r="299">
      <c r="A299" s="2"/>
      <c r="B299" s="2"/>
      <c r="C299" s="39" t="s">
        <v>178</v>
      </c>
      <c r="D299" s="39" t="s">
        <v>34</v>
      </c>
      <c r="E299" s="45" t="s">
        <v>16</v>
      </c>
      <c r="F299" s="45">
        <v>40.0</v>
      </c>
      <c r="G299" s="38">
        <v>8000.0</v>
      </c>
      <c r="H299" s="40">
        <f t="shared" si="44"/>
        <v>320000</v>
      </c>
      <c r="I299" s="40"/>
      <c r="J299" s="2"/>
      <c r="K299" s="2"/>
    </row>
    <row r="300">
      <c r="A300" s="2"/>
      <c r="B300" s="2"/>
      <c r="D300" s="39" t="s">
        <v>29</v>
      </c>
      <c r="E300" s="45" t="s">
        <v>16</v>
      </c>
      <c r="F300" s="45">
        <v>10.0</v>
      </c>
      <c r="G300" s="38">
        <v>60000.0</v>
      </c>
      <c r="H300" s="40">
        <f t="shared" si="44"/>
        <v>600000</v>
      </c>
      <c r="I300" s="40"/>
      <c r="J300" s="2"/>
      <c r="K300" s="2"/>
    </row>
    <row r="301">
      <c r="A301" s="2"/>
      <c r="B301" s="2"/>
      <c r="D301" s="39" t="s">
        <v>85</v>
      </c>
      <c r="E301" s="45" t="s">
        <v>16</v>
      </c>
      <c r="F301" s="45">
        <v>1.0</v>
      </c>
      <c r="G301" s="38">
        <v>55000.0</v>
      </c>
      <c r="H301" s="40">
        <f t="shared" si="44"/>
        <v>55000</v>
      </c>
      <c r="I301" s="40"/>
      <c r="J301" s="2"/>
      <c r="K301" s="2"/>
    </row>
    <row r="302">
      <c r="A302" s="2"/>
      <c r="B302" s="2"/>
      <c r="D302" s="39" t="s">
        <v>31</v>
      </c>
      <c r="E302" s="45" t="s">
        <v>16</v>
      </c>
      <c r="F302" s="45">
        <v>5.0</v>
      </c>
      <c r="G302" s="38">
        <v>15000.0</v>
      </c>
      <c r="H302" s="40">
        <f t="shared" si="44"/>
        <v>75000</v>
      </c>
      <c r="I302" s="40"/>
      <c r="J302" s="2"/>
      <c r="K302" s="2"/>
    </row>
    <row r="303">
      <c r="A303" s="2"/>
      <c r="B303" s="2"/>
      <c r="C303" s="34"/>
      <c r="D303" s="22" t="s">
        <v>87</v>
      </c>
      <c r="E303" s="45" t="s">
        <v>16</v>
      </c>
      <c r="F303" s="32">
        <v>35.0</v>
      </c>
      <c r="G303" s="35">
        <v>9000.0</v>
      </c>
      <c r="H303" s="40">
        <f t="shared" si="44"/>
        <v>315000</v>
      </c>
      <c r="I303" s="27"/>
      <c r="J303" s="2"/>
      <c r="K303" s="2"/>
    </row>
    <row r="304">
      <c r="A304" s="2"/>
      <c r="B304" s="2"/>
      <c r="C304" s="34"/>
      <c r="D304" s="22" t="s">
        <v>33</v>
      </c>
      <c r="E304" s="45" t="s">
        <v>16</v>
      </c>
      <c r="F304" s="32">
        <v>53.0</v>
      </c>
      <c r="G304" s="35">
        <v>7000.0</v>
      </c>
      <c r="H304" s="40">
        <f t="shared" si="44"/>
        <v>371000</v>
      </c>
      <c r="I304" s="27"/>
      <c r="J304" s="2"/>
      <c r="K304" s="2"/>
    </row>
    <row r="305">
      <c r="A305" s="2"/>
      <c r="B305" s="2"/>
      <c r="C305" s="34"/>
      <c r="D305" s="22" t="s">
        <v>43</v>
      </c>
      <c r="E305" s="45" t="s">
        <v>16</v>
      </c>
      <c r="F305" s="32">
        <v>2.0</v>
      </c>
      <c r="G305" s="35">
        <v>10000.0</v>
      </c>
      <c r="H305" s="40">
        <f t="shared" si="44"/>
        <v>20000</v>
      </c>
      <c r="I305" s="27"/>
      <c r="J305" s="2"/>
      <c r="K305" s="2"/>
    </row>
    <row r="306">
      <c r="A306" s="2"/>
      <c r="B306" s="2"/>
      <c r="C306" s="34"/>
      <c r="D306" s="22" t="s">
        <v>35</v>
      </c>
      <c r="E306" s="45" t="s">
        <v>16</v>
      </c>
      <c r="F306" s="32">
        <v>94.0</v>
      </c>
      <c r="G306" s="35">
        <v>15000.0</v>
      </c>
      <c r="H306" s="40">
        <f t="shared" si="44"/>
        <v>1410000</v>
      </c>
      <c r="I306" s="27"/>
      <c r="J306" s="2"/>
      <c r="K306" s="2"/>
    </row>
    <row r="307">
      <c r="A307" s="2"/>
      <c r="B307" s="2"/>
      <c r="C307" s="34"/>
      <c r="D307" s="22" t="s">
        <v>84</v>
      </c>
      <c r="E307" s="45" t="s">
        <v>16</v>
      </c>
      <c r="F307" s="32">
        <v>60.0</v>
      </c>
      <c r="G307" s="35">
        <v>9000.0</v>
      </c>
      <c r="H307" s="40">
        <f t="shared" si="44"/>
        <v>540000</v>
      </c>
      <c r="I307" s="27"/>
      <c r="J307" s="2"/>
      <c r="K307" s="2"/>
    </row>
    <row r="308">
      <c r="A308" s="2"/>
      <c r="B308" s="2"/>
      <c r="C308" s="34"/>
      <c r="D308" s="22" t="s">
        <v>85</v>
      </c>
      <c r="E308" s="45" t="s">
        <v>16</v>
      </c>
      <c r="F308" s="32">
        <v>5.0</v>
      </c>
      <c r="G308" s="35">
        <v>18000.0</v>
      </c>
      <c r="H308" s="40">
        <f t="shared" si="44"/>
        <v>90000</v>
      </c>
      <c r="I308" s="27"/>
      <c r="J308" s="2"/>
      <c r="K308" s="2"/>
    </row>
    <row r="309">
      <c r="A309" s="2"/>
      <c r="B309" s="2"/>
      <c r="C309" s="34"/>
      <c r="D309" s="22" t="s">
        <v>273</v>
      </c>
      <c r="E309" s="45" t="s">
        <v>16</v>
      </c>
      <c r="F309" s="32">
        <v>0.5</v>
      </c>
      <c r="G309" s="35">
        <v>36000.0</v>
      </c>
      <c r="H309" s="40">
        <f t="shared" si="44"/>
        <v>18000</v>
      </c>
      <c r="I309" s="27"/>
      <c r="J309" s="2"/>
      <c r="K309" s="2"/>
    </row>
    <row r="310">
      <c r="A310" s="2"/>
      <c r="B310" s="2"/>
      <c r="C310" s="34"/>
      <c r="D310" s="22" t="s">
        <v>274</v>
      </c>
      <c r="E310" s="45" t="s">
        <v>16</v>
      </c>
      <c r="F310" s="32">
        <v>0.5</v>
      </c>
      <c r="G310" s="35">
        <v>20000.0</v>
      </c>
      <c r="H310" s="40">
        <f t="shared" si="44"/>
        <v>10000</v>
      </c>
      <c r="I310" s="27"/>
      <c r="J310" s="2"/>
      <c r="K310" s="2"/>
    </row>
    <row r="311">
      <c r="A311" s="2"/>
      <c r="B311" s="2"/>
      <c r="C311" s="34"/>
      <c r="D311" s="22" t="s">
        <v>150</v>
      </c>
      <c r="E311" s="45" t="s">
        <v>16</v>
      </c>
      <c r="F311" s="32">
        <v>0.5</v>
      </c>
      <c r="G311" s="35">
        <v>10000.0</v>
      </c>
      <c r="H311" s="40">
        <f t="shared" si="44"/>
        <v>5000</v>
      </c>
      <c r="I311" s="27"/>
      <c r="J311" s="2"/>
      <c r="K311" s="2"/>
    </row>
    <row r="312">
      <c r="A312" s="2"/>
      <c r="B312" s="2"/>
      <c r="C312" s="34"/>
      <c r="D312" s="22" t="s">
        <v>38</v>
      </c>
      <c r="E312" s="45" t="s">
        <v>16</v>
      </c>
      <c r="F312" s="32">
        <v>0.5</v>
      </c>
      <c r="G312" s="35">
        <v>10000.0</v>
      </c>
      <c r="H312" s="40">
        <f t="shared" si="44"/>
        <v>5000</v>
      </c>
      <c r="I312" s="27"/>
      <c r="J312" s="2"/>
      <c r="K312" s="2"/>
    </row>
    <row r="313">
      <c r="A313" s="2"/>
      <c r="B313" s="2"/>
      <c r="C313" s="34"/>
      <c r="D313" s="22" t="s">
        <v>39</v>
      </c>
      <c r="E313" s="45" t="s">
        <v>16</v>
      </c>
      <c r="F313" s="32">
        <v>1.0</v>
      </c>
      <c r="G313" s="35">
        <v>10000.0</v>
      </c>
      <c r="H313" s="40">
        <f t="shared" si="44"/>
        <v>10000</v>
      </c>
      <c r="I313" s="27"/>
      <c r="J313" s="2"/>
      <c r="K313" s="2"/>
    </row>
    <row r="314">
      <c r="A314" s="2"/>
      <c r="B314" s="2"/>
      <c r="C314" s="34"/>
      <c r="D314" s="22" t="s">
        <v>275</v>
      </c>
      <c r="E314" s="45" t="s">
        <v>16</v>
      </c>
      <c r="F314" s="32">
        <v>2.0</v>
      </c>
      <c r="G314" s="35">
        <v>100000.0</v>
      </c>
      <c r="H314" s="40">
        <f t="shared" si="44"/>
        <v>200000</v>
      </c>
      <c r="I314" s="27">
        <f>SUM(H299:H314)</f>
        <v>4044000</v>
      </c>
      <c r="J314" s="2"/>
      <c r="K314" s="2"/>
    </row>
    <row r="315">
      <c r="A315" s="2"/>
      <c r="B315" s="2"/>
      <c r="C315" s="31" t="s">
        <v>44</v>
      </c>
      <c r="D315" s="22" t="s">
        <v>89</v>
      </c>
      <c r="E315" s="45" t="s">
        <v>90</v>
      </c>
      <c r="F315" s="32">
        <v>1.0</v>
      </c>
      <c r="G315" s="35">
        <v>20000.0</v>
      </c>
      <c r="H315" s="40">
        <f t="shared" si="44"/>
        <v>20000</v>
      </c>
      <c r="I315" s="27"/>
      <c r="J315" s="2"/>
      <c r="K315" s="2"/>
    </row>
    <row r="316">
      <c r="A316" s="2"/>
      <c r="B316" s="2"/>
      <c r="C316" s="34"/>
      <c r="D316" s="22" t="s">
        <v>276</v>
      </c>
      <c r="E316" s="45" t="s">
        <v>16</v>
      </c>
      <c r="F316" s="32">
        <v>3.0</v>
      </c>
      <c r="G316" s="35">
        <v>65000.0</v>
      </c>
      <c r="H316" s="40">
        <f t="shared" si="44"/>
        <v>195000</v>
      </c>
      <c r="I316" s="27"/>
      <c r="J316" s="2"/>
      <c r="K316" s="2"/>
    </row>
    <row r="317">
      <c r="A317" s="2"/>
      <c r="B317" s="2"/>
      <c r="C317" s="34"/>
      <c r="D317" s="22" t="s">
        <v>172</v>
      </c>
      <c r="E317" s="45" t="s">
        <v>16</v>
      </c>
      <c r="F317" s="32">
        <v>3.0</v>
      </c>
      <c r="G317" s="35">
        <v>110000.0</v>
      </c>
      <c r="H317" s="40">
        <f t="shared" si="44"/>
        <v>330000</v>
      </c>
      <c r="I317" s="27"/>
      <c r="J317" s="2"/>
      <c r="K317" s="2"/>
    </row>
    <row r="318">
      <c r="A318" s="2"/>
      <c r="B318" s="2"/>
      <c r="C318" s="34"/>
      <c r="D318" s="22" t="s">
        <v>46</v>
      </c>
      <c r="E318" s="45" t="s">
        <v>48</v>
      </c>
      <c r="F318" s="32">
        <v>2.0</v>
      </c>
      <c r="G318" s="35">
        <v>47000.0</v>
      </c>
      <c r="H318" s="40">
        <f t="shared" si="44"/>
        <v>94000</v>
      </c>
      <c r="I318" s="27"/>
      <c r="J318" s="2"/>
      <c r="K318" s="2"/>
    </row>
    <row r="319">
      <c r="A319" s="2"/>
      <c r="B319" s="2"/>
      <c r="C319" s="34"/>
      <c r="D319" s="22" t="s">
        <v>63</v>
      </c>
      <c r="E319" s="45" t="s">
        <v>54</v>
      </c>
      <c r="F319" s="32">
        <v>3.0</v>
      </c>
      <c r="G319" s="35">
        <v>190000.0</v>
      </c>
      <c r="H319" s="40">
        <f t="shared" si="44"/>
        <v>570000</v>
      </c>
      <c r="I319" s="27"/>
      <c r="J319" s="2"/>
      <c r="K319" s="2"/>
    </row>
    <row r="320">
      <c r="A320" s="2"/>
      <c r="B320" s="2"/>
      <c r="C320" s="34"/>
      <c r="D320" s="22" t="s">
        <v>151</v>
      </c>
      <c r="E320" s="45" t="s">
        <v>50</v>
      </c>
      <c r="F320" s="32">
        <v>7.0</v>
      </c>
      <c r="G320" s="35">
        <v>48000.0</v>
      </c>
      <c r="H320" s="40">
        <f t="shared" si="44"/>
        <v>336000</v>
      </c>
      <c r="I320" s="27"/>
      <c r="J320" s="2"/>
      <c r="K320" s="2"/>
    </row>
    <row r="321">
      <c r="A321" s="2"/>
      <c r="B321" s="2"/>
      <c r="C321" s="34"/>
      <c r="D321" s="22" t="s">
        <v>49</v>
      </c>
      <c r="E321" s="45" t="s">
        <v>16</v>
      </c>
      <c r="F321" s="32">
        <v>2.0</v>
      </c>
      <c r="G321" s="35">
        <v>45000.0</v>
      </c>
      <c r="H321" s="40">
        <f t="shared" si="44"/>
        <v>90000</v>
      </c>
      <c r="I321" s="27"/>
      <c r="J321" s="2"/>
      <c r="K321" s="2"/>
    </row>
    <row r="322">
      <c r="A322" s="2"/>
      <c r="B322" s="2"/>
      <c r="C322" s="34"/>
      <c r="D322" s="22" t="s">
        <v>53</v>
      </c>
      <c r="E322" s="45" t="s">
        <v>54</v>
      </c>
      <c r="F322" s="32">
        <v>2.0</v>
      </c>
      <c r="G322" s="35">
        <v>95000.0</v>
      </c>
      <c r="H322" s="40">
        <f t="shared" si="44"/>
        <v>190000</v>
      </c>
      <c r="I322" s="27"/>
      <c r="J322" s="2"/>
      <c r="K322" s="2"/>
    </row>
    <row r="323">
      <c r="A323" s="2"/>
      <c r="B323" s="2"/>
      <c r="C323" s="34"/>
      <c r="D323" s="22" t="s">
        <v>154</v>
      </c>
      <c r="E323" s="45" t="s">
        <v>186</v>
      </c>
      <c r="F323" s="32">
        <v>5.0</v>
      </c>
      <c r="G323" s="35">
        <v>118000.0</v>
      </c>
      <c r="H323" s="40">
        <f t="shared" si="44"/>
        <v>590000</v>
      </c>
      <c r="I323" s="27"/>
      <c r="J323" s="2"/>
      <c r="K323" s="2"/>
    </row>
    <row r="324">
      <c r="A324" s="2"/>
      <c r="B324" s="2"/>
      <c r="C324" s="34"/>
      <c r="D324" s="22" t="s">
        <v>277</v>
      </c>
      <c r="E324" s="45" t="s">
        <v>59</v>
      </c>
      <c r="F324" s="32">
        <v>4.0</v>
      </c>
      <c r="G324" s="35">
        <v>140000.0</v>
      </c>
      <c r="H324" s="40">
        <f t="shared" si="44"/>
        <v>560000</v>
      </c>
      <c r="I324" s="27"/>
      <c r="J324" s="2"/>
      <c r="K324" s="2"/>
    </row>
    <row r="325">
      <c r="A325" s="2"/>
      <c r="B325" s="2"/>
      <c r="C325" s="34"/>
      <c r="D325" s="22" t="s">
        <v>278</v>
      </c>
      <c r="E325" s="45" t="s">
        <v>59</v>
      </c>
      <c r="F325" s="32">
        <v>1.0</v>
      </c>
      <c r="G325" s="35">
        <v>225000.0</v>
      </c>
      <c r="H325" s="40">
        <f t="shared" si="44"/>
        <v>225000</v>
      </c>
      <c r="I325" s="27"/>
      <c r="J325" s="2"/>
      <c r="K325" s="2"/>
    </row>
    <row r="326">
      <c r="A326" s="2"/>
      <c r="B326" s="2"/>
      <c r="C326" s="34"/>
      <c r="D326" s="22" t="s">
        <v>95</v>
      </c>
      <c r="E326" s="45" t="s">
        <v>16</v>
      </c>
      <c r="F326" s="32">
        <v>1.0</v>
      </c>
      <c r="G326" s="35">
        <v>17000.0</v>
      </c>
      <c r="H326" s="40">
        <f t="shared" si="44"/>
        <v>17000</v>
      </c>
      <c r="I326" s="27"/>
      <c r="J326" s="2"/>
      <c r="K326" s="2"/>
    </row>
    <row r="327">
      <c r="A327" s="2"/>
      <c r="B327" s="2"/>
      <c r="C327" s="34"/>
      <c r="D327" s="22" t="s">
        <v>158</v>
      </c>
      <c r="E327" s="45" t="s">
        <v>257</v>
      </c>
      <c r="F327" s="32">
        <v>1.0</v>
      </c>
      <c r="G327" s="35">
        <v>70000.0</v>
      </c>
      <c r="H327" s="40">
        <f t="shared" si="44"/>
        <v>70000</v>
      </c>
      <c r="I327" s="27"/>
      <c r="J327" s="2"/>
      <c r="K327" s="2"/>
    </row>
    <row r="328">
      <c r="A328" s="2"/>
      <c r="B328" s="2"/>
      <c r="C328" s="34"/>
      <c r="D328" s="22" t="s">
        <v>93</v>
      </c>
      <c r="E328" s="45" t="s">
        <v>48</v>
      </c>
      <c r="F328" s="32">
        <v>2.0</v>
      </c>
      <c r="G328" s="35">
        <v>47000.0</v>
      </c>
      <c r="H328" s="40">
        <f t="shared" si="44"/>
        <v>94000</v>
      </c>
      <c r="I328" s="27"/>
      <c r="J328" s="2"/>
      <c r="K328" s="2"/>
    </row>
    <row r="329">
      <c r="A329" s="2"/>
      <c r="B329" s="2"/>
      <c r="C329" s="34"/>
      <c r="D329" s="22" t="s">
        <v>103</v>
      </c>
      <c r="E329" s="45" t="s">
        <v>16</v>
      </c>
      <c r="F329" s="32">
        <v>20.0</v>
      </c>
      <c r="G329" s="35">
        <v>28000.0</v>
      </c>
      <c r="H329" s="40">
        <f t="shared" si="44"/>
        <v>560000</v>
      </c>
      <c r="I329" s="27"/>
      <c r="J329" s="2"/>
      <c r="K329" s="2"/>
    </row>
    <row r="330">
      <c r="A330" s="2"/>
      <c r="B330" s="2"/>
      <c r="C330" s="34"/>
      <c r="D330" s="22" t="s">
        <v>173</v>
      </c>
      <c r="E330" s="45" t="s">
        <v>16</v>
      </c>
      <c r="F330" s="32">
        <v>5.0</v>
      </c>
      <c r="G330" s="35">
        <f>H330/F330</f>
        <v>11200</v>
      </c>
      <c r="H330" s="35">
        <v>56000.0</v>
      </c>
      <c r="I330" s="27">
        <f>SUM(H315:H330)</f>
        <v>3997000</v>
      </c>
      <c r="J330" s="2"/>
      <c r="K330" s="2"/>
    </row>
    <row r="331">
      <c r="A331" s="2"/>
      <c r="B331" s="2"/>
      <c r="C331" s="39" t="s">
        <v>203</v>
      </c>
      <c r="D331" s="39" t="s">
        <v>279</v>
      </c>
      <c r="E331" s="45" t="s">
        <v>16</v>
      </c>
      <c r="F331" s="45">
        <v>99.0</v>
      </c>
      <c r="G331" s="38">
        <v>48000.0</v>
      </c>
      <c r="H331" s="40">
        <f t="shared" ref="H331:H332" si="46">F331*G331</f>
        <v>4752000</v>
      </c>
      <c r="I331" s="27">
        <f>H331</f>
        <v>4752000</v>
      </c>
      <c r="J331" s="2"/>
      <c r="K331" s="2"/>
    </row>
    <row r="332">
      <c r="A332" s="2"/>
      <c r="B332" s="2"/>
      <c r="C332" s="31"/>
      <c r="D332" s="22" t="s">
        <v>12</v>
      </c>
      <c r="E332" s="12"/>
      <c r="F332" s="32">
        <v>8.0</v>
      </c>
      <c r="G332" s="35">
        <v>2500.0</v>
      </c>
      <c r="H332" s="36">
        <f t="shared" si="46"/>
        <v>20000</v>
      </c>
      <c r="I332" s="27"/>
      <c r="J332" s="27">
        <f>H332</f>
        <v>20000</v>
      </c>
      <c r="K332" s="2"/>
    </row>
    <row r="333">
      <c r="A333" s="46" t="s">
        <v>280</v>
      </c>
      <c r="B333" s="47"/>
      <c r="C333" s="47"/>
      <c r="D333" s="47"/>
      <c r="E333" s="48"/>
      <c r="F333" s="48"/>
      <c r="G333" s="49"/>
      <c r="H333" s="50" t="s">
        <v>11</v>
      </c>
      <c r="I333" s="51">
        <f>SUM(H334:H380)</f>
        <v>26718750</v>
      </c>
      <c r="J333" s="51">
        <f>SUM(J334:J381)</f>
        <v>22500</v>
      </c>
      <c r="K333" s="2"/>
      <c r="L333" s="39">
        <v>3.0</v>
      </c>
      <c r="M333" s="39" t="s">
        <v>165</v>
      </c>
      <c r="N333" s="40">
        <f>I333</f>
        <v>26718750</v>
      </c>
    </row>
    <row r="334">
      <c r="A334" s="2"/>
      <c r="B334" s="2"/>
      <c r="C334" s="31" t="s">
        <v>75</v>
      </c>
      <c r="D334" s="22" t="s">
        <v>252</v>
      </c>
      <c r="E334" s="32" t="s">
        <v>16</v>
      </c>
      <c r="F334" s="32">
        <v>6.0</v>
      </c>
      <c r="G334" s="36">
        <f>H334/F334</f>
        <v>94000</v>
      </c>
      <c r="H334" s="35">
        <v>564000.0</v>
      </c>
      <c r="I334" s="27"/>
      <c r="J334" s="2"/>
      <c r="K334" s="2"/>
      <c r="M334" s="39" t="s">
        <v>168</v>
      </c>
      <c r="N334" s="40">
        <f>'Kas Fisik Oprasional'!I95</f>
        <v>2466000</v>
      </c>
    </row>
    <row r="335">
      <c r="A335" s="2"/>
      <c r="B335" s="2"/>
      <c r="C335" s="34"/>
      <c r="D335" s="22" t="s">
        <v>281</v>
      </c>
      <c r="E335" s="32" t="s">
        <v>282</v>
      </c>
      <c r="F335" s="32">
        <v>4.0</v>
      </c>
      <c r="G335" s="35">
        <v>118000.0</v>
      </c>
      <c r="H335" s="35">
        <f t="shared" ref="H335:H351" si="47">F335*G335</f>
        <v>472000</v>
      </c>
      <c r="I335" s="41">
        <f>SUM(H334:H335)</f>
        <v>1036000</v>
      </c>
      <c r="J335" s="2"/>
      <c r="K335" s="2"/>
      <c r="M335" s="39" t="s">
        <v>242</v>
      </c>
      <c r="N335" s="39" t="s">
        <v>197</v>
      </c>
    </row>
    <row r="336">
      <c r="A336" s="2"/>
      <c r="B336" s="2"/>
      <c r="C336" s="31" t="s">
        <v>73</v>
      </c>
      <c r="D336" s="22" t="s">
        <v>74</v>
      </c>
      <c r="E336" s="32" t="s">
        <v>16</v>
      </c>
      <c r="F336" s="32">
        <v>625.0</v>
      </c>
      <c r="G336" s="35">
        <v>14500.0</v>
      </c>
      <c r="H336" s="36">
        <f t="shared" si="47"/>
        <v>9062500</v>
      </c>
      <c r="I336" s="41">
        <f>H336</f>
        <v>9062500</v>
      </c>
      <c r="J336" s="2"/>
      <c r="K336" s="2"/>
      <c r="M336" s="39" t="s">
        <v>12</v>
      </c>
      <c r="N336" s="40">
        <f>J333+'Kas Fisik Oprasional'!J95</f>
        <v>30000</v>
      </c>
    </row>
    <row r="337">
      <c r="A337" s="2"/>
      <c r="B337" s="2"/>
      <c r="C337" s="31" t="s">
        <v>18</v>
      </c>
      <c r="D337" s="22" t="s">
        <v>283</v>
      </c>
      <c r="E337" s="32" t="s">
        <v>16</v>
      </c>
      <c r="F337" s="32">
        <v>11.0</v>
      </c>
      <c r="G337" s="35">
        <v>40000.0</v>
      </c>
      <c r="H337" s="36">
        <f t="shared" si="47"/>
        <v>440000</v>
      </c>
      <c r="I337" s="27"/>
      <c r="J337" s="2"/>
      <c r="K337" s="2"/>
      <c r="M337" s="52" t="s">
        <v>245</v>
      </c>
      <c r="N337" s="53">
        <f>SUM(N333:N336)</f>
        <v>29214750</v>
      </c>
    </row>
    <row r="338">
      <c r="A338" s="2"/>
      <c r="B338" s="2"/>
      <c r="C338" s="34"/>
      <c r="D338" s="22" t="s">
        <v>284</v>
      </c>
      <c r="E338" s="32" t="s">
        <v>16</v>
      </c>
      <c r="F338" s="32">
        <v>5.0</v>
      </c>
      <c r="G338" s="35">
        <v>43000.0</v>
      </c>
      <c r="H338" s="36">
        <f t="shared" si="47"/>
        <v>215000</v>
      </c>
      <c r="I338" s="27"/>
      <c r="J338" s="2"/>
      <c r="K338" s="2"/>
    </row>
    <row r="339">
      <c r="A339" s="2"/>
      <c r="B339" s="2"/>
      <c r="C339" s="34"/>
      <c r="D339" s="22" t="s">
        <v>285</v>
      </c>
      <c r="E339" s="32" t="s">
        <v>16</v>
      </c>
      <c r="F339" s="32">
        <v>5.0</v>
      </c>
      <c r="G339" s="35">
        <v>33000.0</v>
      </c>
      <c r="H339" s="36">
        <f t="shared" si="47"/>
        <v>165000</v>
      </c>
      <c r="I339" s="41">
        <f>SUM(H337:H339)</f>
        <v>820000</v>
      </c>
      <c r="J339" s="2"/>
      <c r="K339" s="2"/>
    </row>
    <row r="340">
      <c r="A340" s="2"/>
      <c r="B340" s="2"/>
      <c r="C340" s="31" t="s">
        <v>25</v>
      </c>
      <c r="D340" s="22" t="s">
        <v>26</v>
      </c>
      <c r="E340" s="32" t="s">
        <v>16</v>
      </c>
      <c r="F340" s="32">
        <v>20.0</v>
      </c>
      <c r="G340" s="35">
        <v>7000.0</v>
      </c>
      <c r="H340" s="36">
        <f t="shared" si="47"/>
        <v>140000</v>
      </c>
      <c r="I340" s="27">
        <f t="shared" ref="I340:I341" si="48">H340</f>
        <v>140000</v>
      </c>
      <c r="J340" s="2"/>
      <c r="K340" s="2"/>
    </row>
    <row r="341">
      <c r="A341" s="2"/>
      <c r="B341" s="2"/>
      <c r="C341" s="31" t="s">
        <v>286</v>
      </c>
      <c r="D341" s="22" t="s">
        <v>173</v>
      </c>
      <c r="E341" s="32" t="s">
        <v>287</v>
      </c>
      <c r="F341" s="32">
        <v>1.0</v>
      </c>
      <c r="G341" s="35">
        <v>440000.0</v>
      </c>
      <c r="H341" s="36">
        <f t="shared" si="47"/>
        <v>440000</v>
      </c>
      <c r="I341" s="27">
        <f t="shared" si="48"/>
        <v>440000</v>
      </c>
      <c r="J341" s="2"/>
      <c r="K341" s="2"/>
    </row>
    <row r="342">
      <c r="A342" s="2"/>
      <c r="B342" s="2"/>
      <c r="C342" s="34"/>
      <c r="D342" s="22" t="s">
        <v>35</v>
      </c>
      <c r="E342" s="32" t="s">
        <v>16</v>
      </c>
      <c r="F342" s="32">
        <v>194.0</v>
      </c>
      <c r="G342" s="35">
        <v>14000.0</v>
      </c>
      <c r="H342" s="36">
        <f t="shared" si="47"/>
        <v>2716000</v>
      </c>
      <c r="I342" s="27"/>
      <c r="J342" s="2"/>
      <c r="K342" s="2"/>
    </row>
    <row r="343">
      <c r="A343" s="2"/>
      <c r="B343" s="2"/>
      <c r="C343" s="34"/>
      <c r="D343" s="22" t="s">
        <v>34</v>
      </c>
      <c r="E343" s="32" t="s">
        <v>16</v>
      </c>
      <c r="F343" s="32">
        <v>210.0</v>
      </c>
      <c r="G343" s="35">
        <v>8000.0</v>
      </c>
      <c r="H343" s="36">
        <f t="shared" si="47"/>
        <v>1680000</v>
      </c>
      <c r="I343" s="27"/>
      <c r="J343" s="2"/>
      <c r="K343" s="2"/>
    </row>
    <row r="344">
      <c r="A344" s="2"/>
      <c r="B344" s="2"/>
      <c r="C344" s="34"/>
      <c r="D344" s="22" t="s">
        <v>28</v>
      </c>
      <c r="E344" s="32" t="s">
        <v>16</v>
      </c>
      <c r="F344" s="32">
        <v>30.0</v>
      </c>
      <c r="G344" s="35">
        <v>15000.0</v>
      </c>
      <c r="H344" s="36">
        <f t="shared" si="47"/>
        <v>450000</v>
      </c>
      <c r="I344" s="27"/>
      <c r="J344" s="2"/>
      <c r="K344" s="2"/>
    </row>
    <row r="345">
      <c r="A345" s="2"/>
      <c r="B345" s="2"/>
      <c r="C345" s="34"/>
      <c r="D345" s="22" t="s">
        <v>288</v>
      </c>
      <c r="E345" s="32" t="s">
        <v>16</v>
      </c>
      <c r="F345" s="32">
        <v>0.5</v>
      </c>
      <c r="G345" s="35">
        <v>30000.0</v>
      </c>
      <c r="H345" s="36">
        <f t="shared" si="47"/>
        <v>15000</v>
      </c>
      <c r="I345" s="27"/>
      <c r="J345" s="2"/>
      <c r="K345" s="2"/>
    </row>
    <row r="346">
      <c r="A346" s="2"/>
      <c r="B346" s="2"/>
      <c r="C346" s="34"/>
      <c r="D346" s="22" t="s">
        <v>33</v>
      </c>
      <c r="E346" s="32" t="s">
        <v>16</v>
      </c>
      <c r="F346" s="32">
        <v>50.0</v>
      </c>
      <c r="G346" s="35">
        <v>7000.0</v>
      </c>
      <c r="H346" s="36">
        <f t="shared" si="47"/>
        <v>350000</v>
      </c>
      <c r="I346" s="27"/>
      <c r="J346" s="2"/>
      <c r="K346" s="2"/>
    </row>
    <row r="347">
      <c r="A347" s="2"/>
      <c r="B347" s="2"/>
      <c r="C347" s="34"/>
      <c r="D347" s="22" t="s">
        <v>87</v>
      </c>
      <c r="E347" s="32" t="s">
        <v>16</v>
      </c>
      <c r="F347" s="32">
        <v>45.0</v>
      </c>
      <c r="G347" s="35">
        <v>8000.0</v>
      </c>
      <c r="H347" s="36">
        <f t="shared" si="47"/>
        <v>360000</v>
      </c>
      <c r="I347" s="27"/>
      <c r="J347" s="2"/>
      <c r="K347" s="2"/>
    </row>
    <row r="348">
      <c r="A348" s="2"/>
      <c r="B348" s="2"/>
      <c r="C348" s="34"/>
      <c r="D348" s="22" t="s">
        <v>32</v>
      </c>
      <c r="E348" s="32" t="s">
        <v>16</v>
      </c>
      <c r="F348" s="32">
        <v>4.0</v>
      </c>
      <c r="G348" s="35">
        <v>20000.0</v>
      </c>
      <c r="H348" s="36">
        <f t="shared" si="47"/>
        <v>80000</v>
      </c>
      <c r="I348" s="27"/>
      <c r="J348" s="2"/>
      <c r="K348" s="2"/>
    </row>
    <row r="349">
      <c r="A349" s="2"/>
      <c r="B349" s="2"/>
      <c r="C349" s="34"/>
      <c r="D349" s="22" t="s">
        <v>31</v>
      </c>
      <c r="E349" s="32" t="s">
        <v>16</v>
      </c>
      <c r="F349" s="32">
        <v>4.0</v>
      </c>
      <c r="G349" s="35">
        <v>15000.0</v>
      </c>
      <c r="H349" s="36">
        <f t="shared" si="47"/>
        <v>60000</v>
      </c>
      <c r="I349" s="27"/>
      <c r="J349" s="2"/>
      <c r="K349" s="2"/>
    </row>
    <row r="350">
      <c r="A350" s="2"/>
      <c r="B350" s="2"/>
      <c r="C350" s="34"/>
      <c r="D350" s="22" t="s">
        <v>29</v>
      </c>
      <c r="E350" s="32" t="s">
        <v>16</v>
      </c>
      <c r="F350" s="32">
        <v>1.0</v>
      </c>
      <c r="G350" s="35">
        <v>55000.0</v>
      </c>
      <c r="H350" s="36">
        <f t="shared" si="47"/>
        <v>55000</v>
      </c>
      <c r="I350" s="27"/>
      <c r="J350" s="2"/>
      <c r="K350" s="2"/>
    </row>
    <row r="351">
      <c r="A351" s="2"/>
      <c r="B351" s="2"/>
      <c r="C351" s="34"/>
      <c r="D351" s="22" t="s">
        <v>274</v>
      </c>
      <c r="E351" s="32" t="s">
        <v>16</v>
      </c>
      <c r="F351" s="32">
        <v>1.0</v>
      </c>
      <c r="G351" s="35">
        <v>22000.0</v>
      </c>
      <c r="H351" s="36">
        <f t="shared" si="47"/>
        <v>22000</v>
      </c>
      <c r="I351" s="27"/>
      <c r="J351" s="2"/>
      <c r="K351" s="2"/>
    </row>
    <row r="352">
      <c r="A352" s="2"/>
      <c r="B352" s="2"/>
      <c r="C352" s="34"/>
      <c r="D352" s="22" t="s">
        <v>289</v>
      </c>
      <c r="E352" s="32" t="s">
        <v>16</v>
      </c>
      <c r="F352" s="12"/>
      <c r="G352" s="35">
        <v>15000.0</v>
      </c>
      <c r="H352" s="35">
        <v>15000.0</v>
      </c>
      <c r="I352" s="27"/>
      <c r="J352" s="2"/>
      <c r="K352" s="2"/>
    </row>
    <row r="353">
      <c r="A353" s="2"/>
      <c r="B353" s="2"/>
      <c r="C353" s="34"/>
      <c r="D353" s="22" t="s">
        <v>80</v>
      </c>
      <c r="E353" s="32" t="s">
        <v>16</v>
      </c>
      <c r="F353" s="32">
        <v>0.5</v>
      </c>
      <c r="G353" s="35">
        <v>36000.0</v>
      </c>
      <c r="H353" s="36">
        <f>F353*G353</f>
        <v>18000</v>
      </c>
      <c r="I353" s="27"/>
      <c r="J353" s="2"/>
      <c r="K353" s="2"/>
    </row>
    <row r="354">
      <c r="A354" s="2"/>
      <c r="B354" s="2"/>
      <c r="C354" s="34"/>
      <c r="D354" s="22" t="s">
        <v>150</v>
      </c>
      <c r="E354" s="32" t="s">
        <v>16</v>
      </c>
      <c r="F354" s="32">
        <v>12.0</v>
      </c>
      <c r="G354" s="35">
        <f>H354/F354</f>
        <v>7000</v>
      </c>
      <c r="H354" s="35">
        <v>84000.0</v>
      </c>
      <c r="I354" s="27"/>
      <c r="J354" s="2"/>
      <c r="K354" s="2"/>
    </row>
    <row r="355">
      <c r="A355" s="2"/>
      <c r="B355" s="2"/>
      <c r="C355" s="34"/>
      <c r="D355" s="22" t="s">
        <v>38</v>
      </c>
      <c r="E355" s="32" t="s">
        <v>16</v>
      </c>
      <c r="F355" s="32">
        <v>5.0</v>
      </c>
      <c r="G355" s="35">
        <v>10000.0</v>
      </c>
      <c r="H355" s="36">
        <f t="shared" ref="H355:H381" si="49">F355*G355</f>
        <v>50000</v>
      </c>
      <c r="I355" s="41">
        <f>SUM(H342:H355)</f>
        <v>5955000</v>
      </c>
      <c r="J355" s="2"/>
      <c r="K355" s="2"/>
    </row>
    <row r="356">
      <c r="A356" s="2"/>
      <c r="B356" s="2"/>
      <c r="C356" s="39" t="s">
        <v>106</v>
      </c>
      <c r="D356" s="39" t="s">
        <v>290</v>
      </c>
      <c r="E356" s="45" t="s">
        <v>133</v>
      </c>
      <c r="F356" s="45">
        <v>93.0</v>
      </c>
      <c r="G356" s="38">
        <v>12000.0</v>
      </c>
      <c r="H356" s="36">
        <f t="shared" si="49"/>
        <v>1116000</v>
      </c>
      <c r="J356" s="2"/>
      <c r="K356" s="2"/>
    </row>
    <row r="357">
      <c r="A357" s="2"/>
      <c r="B357" s="2"/>
      <c r="D357" s="39" t="s">
        <v>291</v>
      </c>
      <c r="E357" s="45" t="s">
        <v>133</v>
      </c>
      <c r="F357" s="45">
        <v>83.0</v>
      </c>
      <c r="G357" s="38">
        <v>12000.0</v>
      </c>
      <c r="H357" s="36">
        <f t="shared" si="49"/>
        <v>996000</v>
      </c>
      <c r="I357" s="54">
        <f>sum(H356:H357)</f>
        <v>2112000</v>
      </c>
      <c r="J357" s="2"/>
      <c r="K357" s="2"/>
    </row>
    <row r="358">
      <c r="A358" s="2"/>
      <c r="B358" s="2"/>
      <c r="C358" s="39" t="s">
        <v>106</v>
      </c>
      <c r="D358" s="39" t="s">
        <v>292</v>
      </c>
      <c r="E358" s="45" t="s">
        <v>16</v>
      </c>
      <c r="F358" s="45">
        <v>100.0</v>
      </c>
      <c r="G358" s="38">
        <v>34000.0</v>
      </c>
      <c r="H358" s="36">
        <f t="shared" si="49"/>
        <v>3400000</v>
      </c>
      <c r="I358" s="54">
        <f>H358</f>
        <v>3400000</v>
      </c>
      <c r="J358" s="2"/>
      <c r="K358" s="2"/>
    </row>
    <row r="359">
      <c r="A359" s="2"/>
      <c r="B359" s="2"/>
      <c r="C359" s="31" t="s">
        <v>44</v>
      </c>
      <c r="D359" s="22" t="s">
        <v>89</v>
      </c>
      <c r="E359" s="32" t="s">
        <v>90</v>
      </c>
      <c r="F359" s="32">
        <v>1.0</v>
      </c>
      <c r="G359" s="35">
        <v>20000.0</v>
      </c>
      <c r="H359" s="36">
        <f t="shared" si="49"/>
        <v>20000</v>
      </c>
      <c r="J359" s="2"/>
      <c r="K359" s="2"/>
    </row>
    <row r="360">
      <c r="A360" s="2"/>
      <c r="B360" s="2"/>
      <c r="C360" s="34"/>
      <c r="D360" s="22" t="s">
        <v>293</v>
      </c>
      <c r="E360" s="32" t="s">
        <v>16</v>
      </c>
      <c r="F360" s="32">
        <v>1.0</v>
      </c>
      <c r="G360" s="35">
        <v>70000.0</v>
      </c>
      <c r="H360" s="36">
        <f t="shared" si="49"/>
        <v>70000</v>
      </c>
      <c r="J360" s="2"/>
      <c r="K360" s="2"/>
    </row>
    <row r="361">
      <c r="A361" s="2"/>
      <c r="B361" s="2"/>
      <c r="C361" s="34"/>
      <c r="D361" s="22" t="s">
        <v>95</v>
      </c>
      <c r="E361" s="32" t="s">
        <v>16</v>
      </c>
      <c r="F361" s="32">
        <v>1.0</v>
      </c>
      <c r="G361" s="35">
        <v>80000.0</v>
      </c>
      <c r="H361" s="36">
        <f t="shared" si="49"/>
        <v>80000</v>
      </c>
      <c r="J361" s="2"/>
      <c r="K361" s="2"/>
    </row>
    <row r="362">
      <c r="A362" s="2"/>
      <c r="B362" s="2"/>
      <c r="C362" s="34"/>
      <c r="D362" s="22" t="s">
        <v>172</v>
      </c>
      <c r="E362" s="32" t="s">
        <v>16</v>
      </c>
      <c r="F362" s="32">
        <v>2.0</v>
      </c>
      <c r="G362" s="35">
        <v>110000.0</v>
      </c>
      <c r="H362" s="36">
        <f t="shared" si="49"/>
        <v>220000</v>
      </c>
      <c r="J362" s="2"/>
      <c r="K362" s="2"/>
    </row>
    <row r="363">
      <c r="A363" s="2"/>
      <c r="B363" s="2"/>
      <c r="C363" s="34"/>
      <c r="D363" s="22" t="s">
        <v>98</v>
      </c>
      <c r="E363" s="32" t="s">
        <v>16</v>
      </c>
      <c r="F363" s="32">
        <v>0.5</v>
      </c>
      <c r="G363" s="35">
        <v>32000.0</v>
      </c>
      <c r="H363" s="36">
        <f t="shared" si="49"/>
        <v>16000</v>
      </c>
      <c r="J363" s="2"/>
      <c r="K363" s="2"/>
    </row>
    <row r="364">
      <c r="A364" s="2"/>
      <c r="B364" s="2"/>
      <c r="C364" s="34"/>
      <c r="D364" s="22" t="s">
        <v>94</v>
      </c>
      <c r="E364" s="32" t="s">
        <v>16</v>
      </c>
      <c r="F364" s="32">
        <v>1.0</v>
      </c>
      <c r="G364" s="35">
        <v>140000.0</v>
      </c>
      <c r="H364" s="36">
        <f t="shared" si="49"/>
        <v>140000</v>
      </c>
      <c r="J364" s="2"/>
      <c r="K364" s="2"/>
    </row>
    <row r="365">
      <c r="A365" s="2"/>
      <c r="B365" s="2"/>
      <c r="C365" s="34"/>
      <c r="D365" s="22" t="s">
        <v>52</v>
      </c>
      <c r="E365" s="32" t="s">
        <v>186</v>
      </c>
      <c r="F365" s="32">
        <v>1.0</v>
      </c>
      <c r="G365" s="35">
        <v>252000.0</v>
      </c>
      <c r="H365" s="36">
        <f t="shared" si="49"/>
        <v>252000</v>
      </c>
      <c r="J365" s="2"/>
      <c r="K365" s="2"/>
    </row>
    <row r="366">
      <c r="A366" s="2"/>
      <c r="B366" s="2"/>
      <c r="C366" s="34"/>
      <c r="D366" s="22" t="s">
        <v>294</v>
      </c>
      <c r="E366" s="32" t="s">
        <v>186</v>
      </c>
      <c r="F366" s="32">
        <v>3.0</v>
      </c>
      <c r="G366" s="35">
        <v>138000.0</v>
      </c>
      <c r="H366" s="36">
        <f t="shared" si="49"/>
        <v>414000</v>
      </c>
      <c r="J366" s="2"/>
      <c r="K366" s="2"/>
    </row>
    <row r="367">
      <c r="A367" s="2"/>
      <c r="B367" s="2"/>
      <c r="C367" s="34"/>
      <c r="D367" s="22" t="s">
        <v>154</v>
      </c>
      <c r="E367" s="32" t="s">
        <v>295</v>
      </c>
      <c r="F367" s="32">
        <v>3.0</v>
      </c>
      <c r="G367" s="35">
        <v>118000.0</v>
      </c>
      <c r="H367" s="36">
        <f t="shared" si="49"/>
        <v>354000</v>
      </c>
      <c r="J367" s="2"/>
      <c r="K367" s="2"/>
    </row>
    <row r="368">
      <c r="A368" s="2"/>
      <c r="B368" s="2"/>
      <c r="C368" s="34"/>
      <c r="D368" s="22" t="s">
        <v>296</v>
      </c>
      <c r="E368" s="32" t="s">
        <v>295</v>
      </c>
      <c r="F368" s="32">
        <v>2.0</v>
      </c>
      <c r="G368" s="35">
        <v>170000.0</v>
      </c>
      <c r="H368" s="36">
        <f t="shared" si="49"/>
        <v>340000</v>
      </c>
      <c r="J368" s="2"/>
      <c r="K368" s="2"/>
    </row>
    <row r="369">
      <c r="A369" s="2"/>
      <c r="B369" s="2"/>
      <c r="C369" s="34"/>
      <c r="D369" s="22" t="s">
        <v>60</v>
      </c>
      <c r="E369" s="32" t="s">
        <v>295</v>
      </c>
      <c r="F369" s="32">
        <v>7.0</v>
      </c>
      <c r="G369" s="35">
        <v>24000.0</v>
      </c>
      <c r="H369" s="36">
        <f t="shared" si="49"/>
        <v>168000</v>
      </c>
      <c r="J369" s="2"/>
      <c r="K369" s="2"/>
    </row>
    <row r="370">
      <c r="A370" s="2"/>
      <c r="B370" s="2"/>
      <c r="C370" s="34"/>
      <c r="D370" s="22" t="s">
        <v>102</v>
      </c>
      <c r="E370" s="32" t="s">
        <v>59</v>
      </c>
      <c r="F370" s="32">
        <v>2.0</v>
      </c>
      <c r="G370" s="35">
        <v>225000.0</v>
      </c>
      <c r="H370" s="36">
        <f t="shared" si="49"/>
        <v>450000</v>
      </c>
      <c r="J370" s="2"/>
      <c r="K370" s="2"/>
    </row>
    <row r="371">
      <c r="A371" s="2"/>
      <c r="B371" s="2"/>
      <c r="C371" s="34"/>
      <c r="D371" s="22" t="s">
        <v>102</v>
      </c>
      <c r="E371" s="32" t="s">
        <v>16</v>
      </c>
      <c r="F371" s="32">
        <v>15.0</v>
      </c>
      <c r="G371" s="35">
        <v>11250.0</v>
      </c>
      <c r="H371" s="36">
        <f t="shared" si="49"/>
        <v>168750</v>
      </c>
      <c r="J371" s="2"/>
      <c r="K371" s="2"/>
    </row>
    <row r="372">
      <c r="A372" s="2"/>
      <c r="B372" s="2"/>
      <c r="C372" s="34"/>
      <c r="D372" s="22" t="s">
        <v>93</v>
      </c>
      <c r="E372" s="32" t="s">
        <v>48</v>
      </c>
      <c r="F372" s="32">
        <v>1.0</v>
      </c>
      <c r="G372" s="35">
        <v>47000.0</v>
      </c>
      <c r="H372" s="36">
        <f t="shared" si="49"/>
        <v>47000</v>
      </c>
      <c r="J372" s="2"/>
      <c r="K372" s="2"/>
    </row>
    <row r="373">
      <c r="A373" s="2"/>
      <c r="B373" s="2"/>
      <c r="C373" s="34"/>
      <c r="D373" s="22" t="s">
        <v>297</v>
      </c>
      <c r="E373" s="32" t="s">
        <v>16</v>
      </c>
      <c r="F373" s="32">
        <v>6.0</v>
      </c>
      <c r="G373" s="35">
        <v>23500.0</v>
      </c>
      <c r="H373" s="36">
        <f t="shared" si="49"/>
        <v>141000</v>
      </c>
      <c r="J373" s="2"/>
      <c r="K373" s="2"/>
    </row>
    <row r="374">
      <c r="A374" s="2"/>
      <c r="B374" s="2"/>
      <c r="C374" s="34"/>
      <c r="D374" s="22" t="s">
        <v>158</v>
      </c>
      <c r="E374" s="32" t="s">
        <v>62</v>
      </c>
      <c r="F374" s="32">
        <v>1.0</v>
      </c>
      <c r="G374" s="35">
        <v>70000.0</v>
      </c>
      <c r="H374" s="36">
        <f t="shared" si="49"/>
        <v>70000</v>
      </c>
      <c r="J374" s="2"/>
      <c r="K374" s="2"/>
    </row>
    <row r="375">
      <c r="A375" s="2"/>
      <c r="B375" s="2"/>
      <c r="C375" s="34"/>
      <c r="D375" s="22" t="s">
        <v>53</v>
      </c>
      <c r="E375" s="32" t="s">
        <v>298</v>
      </c>
      <c r="F375" s="32">
        <v>1.0</v>
      </c>
      <c r="G375" s="35">
        <v>95000.0</v>
      </c>
      <c r="H375" s="36">
        <f t="shared" si="49"/>
        <v>95000</v>
      </c>
      <c r="J375" s="2"/>
      <c r="K375" s="2"/>
    </row>
    <row r="376">
      <c r="A376" s="2"/>
      <c r="B376" s="2"/>
      <c r="C376" s="34"/>
      <c r="D376" s="22" t="s">
        <v>45</v>
      </c>
      <c r="E376" s="32" t="s">
        <v>16</v>
      </c>
      <c r="F376" s="32">
        <v>5.0</v>
      </c>
      <c r="G376" s="35">
        <v>18500.0</v>
      </c>
      <c r="H376" s="36">
        <f t="shared" si="49"/>
        <v>92500</v>
      </c>
      <c r="J376" s="2"/>
      <c r="K376" s="2"/>
    </row>
    <row r="377">
      <c r="A377" s="2"/>
      <c r="B377" s="2"/>
      <c r="C377" s="34"/>
      <c r="D377" s="22" t="s">
        <v>89</v>
      </c>
      <c r="E377" s="32" t="s">
        <v>16</v>
      </c>
      <c r="F377" s="32">
        <v>1.0</v>
      </c>
      <c r="G377" s="35">
        <v>20000.0</v>
      </c>
      <c r="H377" s="36">
        <f t="shared" si="49"/>
        <v>20000</v>
      </c>
      <c r="J377" s="2"/>
      <c r="K377" s="2"/>
    </row>
    <row r="378">
      <c r="A378" s="2"/>
      <c r="B378" s="2"/>
      <c r="C378" s="34"/>
      <c r="D378" s="22" t="s">
        <v>95</v>
      </c>
      <c r="E378" s="32" t="s">
        <v>16</v>
      </c>
      <c r="F378" s="32">
        <v>5.0</v>
      </c>
      <c r="G378" s="35">
        <v>16000.0</v>
      </c>
      <c r="H378" s="36">
        <f t="shared" si="49"/>
        <v>80000</v>
      </c>
      <c r="I378" s="27"/>
      <c r="J378" s="2"/>
      <c r="K378" s="2"/>
    </row>
    <row r="379">
      <c r="A379" s="2"/>
      <c r="B379" s="2"/>
      <c r="C379" s="34"/>
      <c r="D379" s="22" t="s">
        <v>152</v>
      </c>
      <c r="E379" s="32" t="s">
        <v>16</v>
      </c>
      <c r="F379" s="32">
        <v>10.0</v>
      </c>
      <c r="G379" s="35">
        <v>18500.0</v>
      </c>
      <c r="H379" s="36">
        <f t="shared" si="49"/>
        <v>185000</v>
      </c>
      <c r="I379" s="27"/>
      <c r="J379" s="2"/>
      <c r="K379" s="2"/>
    </row>
    <row r="380">
      <c r="A380" s="2"/>
      <c r="B380" s="2"/>
      <c r="C380" s="34"/>
      <c r="D380" s="22" t="s">
        <v>296</v>
      </c>
      <c r="E380" s="32" t="s">
        <v>186</v>
      </c>
      <c r="F380" s="32">
        <v>2.0</v>
      </c>
      <c r="G380" s="35">
        <v>165000.0</v>
      </c>
      <c r="H380" s="36">
        <f t="shared" si="49"/>
        <v>330000</v>
      </c>
      <c r="I380" s="41">
        <f>SUM(H359:H380)</f>
        <v>3753250</v>
      </c>
      <c r="J380" s="2"/>
      <c r="K380" s="2"/>
    </row>
    <row r="381">
      <c r="A381" s="2"/>
      <c r="B381" s="2"/>
      <c r="C381" s="34"/>
      <c r="D381" s="22" t="s">
        <v>12</v>
      </c>
      <c r="E381" s="12"/>
      <c r="F381" s="32">
        <v>9.0</v>
      </c>
      <c r="G381" s="35">
        <v>2500.0</v>
      </c>
      <c r="H381" s="36">
        <f t="shared" si="49"/>
        <v>22500</v>
      </c>
      <c r="I381" s="27"/>
      <c r="J381" s="27">
        <f>H381</f>
        <v>22500</v>
      </c>
      <c r="K381" s="2"/>
    </row>
    <row r="382">
      <c r="A382" s="46" t="s">
        <v>299</v>
      </c>
      <c r="B382" s="47"/>
      <c r="C382" s="47"/>
      <c r="D382" s="47"/>
      <c r="E382" s="48"/>
      <c r="F382" s="48"/>
      <c r="G382" s="49"/>
      <c r="H382" s="50" t="s">
        <v>11</v>
      </c>
      <c r="I382" s="51">
        <f t="shared" ref="I382:J382" si="50">SUM(I383:I454)</f>
        <v>113690400</v>
      </c>
      <c r="J382" s="51">
        <f t="shared" si="50"/>
        <v>47500</v>
      </c>
      <c r="K382" s="2"/>
      <c r="L382" s="39">
        <v>4.0</v>
      </c>
      <c r="M382" s="39" t="s">
        <v>165</v>
      </c>
      <c r="N382" s="40">
        <f>I382</f>
        <v>113690400</v>
      </c>
    </row>
    <row r="383">
      <c r="A383" s="2"/>
      <c r="B383" s="2"/>
      <c r="C383" s="39" t="s">
        <v>110</v>
      </c>
      <c r="D383" s="39" t="s">
        <v>300</v>
      </c>
      <c r="E383" s="45" t="s">
        <v>301</v>
      </c>
      <c r="F383" s="45">
        <v>2080.0</v>
      </c>
      <c r="G383" s="38">
        <v>3500.0</v>
      </c>
      <c r="H383" s="36">
        <f t="shared" ref="H383:H408" si="51">F383*G383</f>
        <v>7280000</v>
      </c>
      <c r="I383" s="41">
        <f t="shared" ref="I383:I384" si="52">H383</f>
        <v>7280000</v>
      </c>
      <c r="J383" s="2"/>
      <c r="K383" s="2"/>
      <c r="M383" s="39" t="s">
        <v>168</v>
      </c>
      <c r="N383" s="40">
        <f>'Kas Fisik Oprasional'!I104</f>
        <v>1150000</v>
      </c>
    </row>
    <row r="384">
      <c r="A384" s="2"/>
      <c r="B384" s="2"/>
      <c r="C384" s="39" t="s">
        <v>189</v>
      </c>
      <c r="D384" s="39" t="s">
        <v>302</v>
      </c>
      <c r="E384" s="45" t="s">
        <v>16</v>
      </c>
      <c r="F384" s="45">
        <v>9.15</v>
      </c>
      <c r="G384" s="38">
        <v>70000.0</v>
      </c>
      <c r="H384" s="36">
        <f t="shared" si="51"/>
        <v>640500</v>
      </c>
      <c r="I384" s="41">
        <f t="shared" si="52"/>
        <v>640500</v>
      </c>
      <c r="J384" s="2"/>
      <c r="K384" s="2"/>
      <c r="M384" s="39" t="s">
        <v>242</v>
      </c>
      <c r="N384" s="39" t="s">
        <v>197</v>
      </c>
    </row>
    <row r="385">
      <c r="A385" s="2"/>
      <c r="B385" s="2"/>
      <c r="C385" s="39" t="s">
        <v>122</v>
      </c>
      <c r="D385" s="39" t="s">
        <v>303</v>
      </c>
      <c r="E385" s="45" t="s">
        <v>50</v>
      </c>
      <c r="F385" s="45">
        <v>2600.0</v>
      </c>
      <c r="G385" s="38">
        <v>1800.0</v>
      </c>
      <c r="H385" s="36">
        <f t="shared" si="51"/>
        <v>4680000</v>
      </c>
      <c r="I385" s="27"/>
      <c r="J385" s="2"/>
      <c r="K385" s="2"/>
      <c r="M385" s="39" t="s">
        <v>12</v>
      </c>
      <c r="N385" s="40">
        <f>J382+'Kas Fisik Oprasional'!J104+'list Reimburse'!J32</f>
        <v>55000</v>
      </c>
    </row>
    <row r="386">
      <c r="A386" s="2"/>
      <c r="B386" s="2"/>
      <c r="D386" s="39" t="s">
        <v>304</v>
      </c>
      <c r="E386" s="45" t="s">
        <v>50</v>
      </c>
      <c r="F386" s="45">
        <v>2010.0</v>
      </c>
      <c r="G386" s="38">
        <v>1800.0</v>
      </c>
      <c r="H386" s="36">
        <f t="shared" si="51"/>
        <v>3618000</v>
      </c>
      <c r="I386" s="27"/>
      <c r="J386" s="2"/>
      <c r="K386" s="2"/>
      <c r="M386" s="42" t="s">
        <v>11</v>
      </c>
      <c r="N386" s="43">
        <f>SUM(N382:N385)</f>
        <v>114895400</v>
      </c>
    </row>
    <row r="387">
      <c r="A387" s="2"/>
      <c r="B387" s="2"/>
      <c r="D387" s="39" t="s">
        <v>305</v>
      </c>
      <c r="E387" s="45" t="s">
        <v>16</v>
      </c>
      <c r="F387" s="45">
        <v>176.4</v>
      </c>
      <c r="G387" s="38">
        <v>18500.0</v>
      </c>
      <c r="H387" s="36">
        <f t="shared" si="51"/>
        <v>3263400</v>
      </c>
      <c r="I387" s="27"/>
      <c r="J387" s="2"/>
      <c r="K387" s="2"/>
    </row>
    <row r="388">
      <c r="A388" s="2"/>
      <c r="B388" s="2"/>
      <c r="D388" s="39" t="s">
        <v>306</v>
      </c>
      <c r="E388" s="45" t="s">
        <v>186</v>
      </c>
      <c r="F388" s="45">
        <v>30.0</v>
      </c>
      <c r="G388" s="38">
        <v>240000.0</v>
      </c>
      <c r="H388" s="36">
        <f t="shared" si="51"/>
        <v>7200000</v>
      </c>
      <c r="I388" s="27"/>
      <c r="J388" s="2"/>
      <c r="K388" s="2"/>
    </row>
    <row r="389">
      <c r="A389" s="2"/>
      <c r="B389" s="2"/>
      <c r="D389" s="39" t="s">
        <v>225</v>
      </c>
      <c r="E389" s="45" t="s">
        <v>16</v>
      </c>
      <c r="F389" s="45">
        <v>237.0</v>
      </c>
      <c r="G389" s="38">
        <v>25000.0</v>
      </c>
      <c r="H389" s="36">
        <f t="shared" si="51"/>
        <v>5925000</v>
      </c>
      <c r="I389" s="41">
        <f>SUM(H385:H389)</f>
        <v>24686400</v>
      </c>
      <c r="J389" s="2"/>
      <c r="K389" s="2"/>
    </row>
    <row r="390">
      <c r="A390" s="2"/>
      <c r="B390" s="2"/>
      <c r="C390" s="31" t="s">
        <v>18</v>
      </c>
      <c r="D390" s="22" t="s">
        <v>283</v>
      </c>
      <c r="E390" s="32" t="s">
        <v>16</v>
      </c>
      <c r="F390" s="32">
        <v>6.0</v>
      </c>
      <c r="G390" s="35">
        <v>38000.0</v>
      </c>
      <c r="H390" s="36">
        <f t="shared" si="51"/>
        <v>228000</v>
      </c>
      <c r="I390" s="41">
        <f>H390</f>
        <v>228000</v>
      </c>
      <c r="J390" s="2"/>
      <c r="K390" s="2"/>
    </row>
    <row r="391">
      <c r="A391" s="2"/>
      <c r="B391" s="2"/>
      <c r="C391" s="31" t="s">
        <v>14</v>
      </c>
      <c r="D391" s="22" t="s">
        <v>307</v>
      </c>
      <c r="E391" s="32" t="s">
        <v>16</v>
      </c>
      <c r="F391" s="32">
        <v>2.0</v>
      </c>
      <c r="G391" s="35">
        <v>30000.0</v>
      </c>
      <c r="H391" s="36">
        <f t="shared" si="51"/>
        <v>60000</v>
      </c>
      <c r="I391" s="27"/>
      <c r="J391" s="2"/>
      <c r="K391" s="2"/>
    </row>
    <row r="392">
      <c r="A392" s="2"/>
      <c r="B392" s="2"/>
      <c r="C392" s="34"/>
      <c r="D392" s="22" t="s">
        <v>308</v>
      </c>
      <c r="E392" s="32" t="s">
        <v>309</v>
      </c>
      <c r="F392" s="32">
        <v>3.0</v>
      </c>
      <c r="G392" s="35">
        <v>94500.0</v>
      </c>
      <c r="H392" s="36">
        <f t="shared" si="51"/>
        <v>283500</v>
      </c>
      <c r="I392" s="27"/>
      <c r="J392" s="2"/>
      <c r="K392" s="2"/>
    </row>
    <row r="393">
      <c r="A393" s="2"/>
      <c r="B393" s="2"/>
      <c r="C393" s="34"/>
      <c r="D393" s="22" t="s">
        <v>253</v>
      </c>
      <c r="E393" s="32" t="s">
        <v>310</v>
      </c>
      <c r="F393" s="32">
        <v>1.1</v>
      </c>
      <c r="G393" s="35">
        <v>235000.0</v>
      </c>
      <c r="H393" s="36">
        <f t="shared" si="51"/>
        <v>258500</v>
      </c>
      <c r="I393" s="27"/>
      <c r="J393" s="2"/>
      <c r="K393" s="2"/>
    </row>
    <row r="394">
      <c r="A394" s="2"/>
      <c r="B394" s="2"/>
      <c r="C394" s="34"/>
      <c r="D394" s="22" t="s">
        <v>281</v>
      </c>
      <c r="E394" s="32" t="s">
        <v>282</v>
      </c>
      <c r="F394" s="32">
        <v>3.0</v>
      </c>
      <c r="G394" s="35">
        <v>118000.0</v>
      </c>
      <c r="H394" s="36">
        <f t="shared" si="51"/>
        <v>354000</v>
      </c>
      <c r="I394" s="27"/>
      <c r="J394" s="2"/>
      <c r="K394" s="2"/>
    </row>
    <row r="395">
      <c r="A395" s="2"/>
      <c r="B395" s="2"/>
      <c r="C395" s="34"/>
      <c r="D395" s="22" t="s">
        <v>311</v>
      </c>
      <c r="E395" s="32" t="s">
        <v>282</v>
      </c>
      <c r="F395" s="32">
        <v>1.0</v>
      </c>
      <c r="G395" s="35">
        <v>140000.0</v>
      </c>
      <c r="H395" s="36">
        <f t="shared" si="51"/>
        <v>140000</v>
      </c>
      <c r="I395" s="27"/>
      <c r="J395" s="2"/>
      <c r="K395" s="2"/>
    </row>
    <row r="396">
      <c r="A396" s="2"/>
      <c r="B396" s="2"/>
      <c r="C396" s="34"/>
      <c r="D396" s="22" t="s">
        <v>312</v>
      </c>
      <c r="E396" s="32" t="s">
        <v>310</v>
      </c>
      <c r="F396" s="32">
        <v>3.0</v>
      </c>
      <c r="G396" s="35">
        <v>142500.0</v>
      </c>
      <c r="H396" s="36">
        <f t="shared" si="51"/>
        <v>427500</v>
      </c>
      <c r="I396" s="27"/>
      <c r="J396" s="2"/>
      <c r="K396" s="2"/>
    </row>
    <row r="397">
      <c r="A397" s="2"/>
      <c r="B397" s="2"/>
      <c r="C397" s="34"/>
      <c r="D397" s="22" t="s">
        <v>313</v>
      </c>
      <c r="E397" s="32" t="s">
        <v>310</v>
      </c>
      <c r="F397" s="32">
        <v>1.5</v>
      </c>
      <c r="G397" s="35">
        <v>225000.0</v>
      </c>
      <c r="H397" s="36">
        <f t="shared" si="51"/>
        <v>337500</v>
      </c>
      <c r="I397" s="41">
        <f>SUM(H391:H397)</f>
        <v>1861000</v>
      </c>
      <c r="J397" s="2"/>
      <c r="K397" s="2"/>
    </row>
    <row r="398">
      <c r="A398" s="2"/>
      <c r="B398" s="2"/>
      <c r="C398" s="31" t="s">
        <v>178</v>
      </c>
      <c r="D398" s="22" t="s">
        <v>28</v>
      </c>
      <c r="E398" s="32" t="s">
        <v>16</v>
      </c>
      <c r="F398" s="32">
        <v>70.0</v>
      </c>
      <c r="G398" s="35">
        <v>15000.0</v>
      </c>
      <c r="H398" s="36">
        <f t="shared" si="51"/>
        <v>1050000</v>
      </c>
      <c r="I398" s="27"/>
      <c r="J398" s="2"/>
      <c r="K398" s="2"/>
    </row>
    <row r="399">
      <c r="A399" s="2"/>
      <c r="B399" s="2"/>
      <c r="C399" s="34"/>
      <c r="D399" s="22" t="s">
        <v>29</v>
      </c>
      <c r="E399" s="32" t="s">
        <v>16</v>
      </c>
      <c r="F399" s="32">
        <v>6.0</v>
      </c>
      <c r="G399" s="35">
        <v>60000.0</v>
      </c>
      <c r="H399" s="36">
        <f t="shared" si="51"/>
        <v>360000</v>
      </c>
      <c r="I399" s="27"/>
      <c r="J399" s="2"/>
      <c r="K399" s="2"/>
    </row>
    <row r="400">
      <c r="A400" s="2"/>
      <c r="B400" s="2"/>
      <c r="C400" s="34"/>
      <c r="D400" s="22" t="s">
        <v>314</v>
      </c>
      <c r="E400" s="32" t="s">
        <v>16</v>
      </c>
      <c r="F400" s="32">
        <v>3.0</v>
      </c>
      <c r="G400" s="35">
        <v>45000.0</v>
      </c>
      <c r="H400" s="36">
        <f t="shared" si="51"/>
        <v>135000</v>
      </c>
      <c r="I400" s="27"/>
      <c r="J400" s="2"/>
      <c r="K400" s="2"/>
    </row>
    <row r="401">
      <c r="A401" s="2"/>
      <c r="B401" s="2"/>
      <c r="C401" s="34"/>
      <c r="D401" s="22" t="s">
        <v>31</v>
      </c>
      <c r="E401" s="32" t="s">
        <v>16</v>
      </c>
      <c r="F401" s="32">
        <v>4.0</v>
      </c>
      <c r="G401" s="35">
        <v>15000.0</v>
      </c>
      <c r="H401" s="36">
        <f t="shared" si="51"/>
        <v>60000</v>
      </c>
      <c r="I401" s="27"/>
      <c r="J401" s="2"/>
      <c r="K401" s="2"/>
    </row>
    <row r="402">
      <c r="A402" s="2"/>
      <c r="B402" s="2"/>
      <c r="C402" s="34"/>
      <c r="D402" s="22" t="s">
        <v>32</v>
      </c>
      <c r="E402" s="32" t="s">
        <v>16</v>
      </c>
      <c r="F402" s="32">
        <v>1.0</v>
      </c>
      <c r="G402" s="35">
        <v>20000.0</v>
      </c>
      <c r="H402" s="36">
        <f t="shared" si="51"/>
        <v>20000</v>
      </c>
      <c r="I402" s="27"/>
      <c r="J402" s="2"/>
      <c r="K402" s="2"/>
    </row>
    <row r="403">
      <c r="A403" s="2"/>
      <c r="B403" s="2"/>
      <c r="C403" s="34"/>
      <c r="D403" s="22" t="s">
        <v>34</v>
      </c>
      <c r="E403" s="32" t="s">
        <v>16</v>
      </c>
      <c r="F403" s="32">
        <v>64.0</v>
      </c>
      <c r="G403" s="35">
        <v>8000.0</v>
      </c>
      <c r="H403" s="36">
        <f t="shared" si="51"/>
        <v>512000</v>
      </c>
      <c r="I403" s="27"/>
      <c r="J403" s="2"/>
      <c r="K403" s="2"/>
    </row>
    <row r="404">
      <c r="A404" s="2"/>
      <c r="B404" s="2"/>
      <c r="C404" s="34"/>
      <c r="D404" s="22" t="s">
        <v>35</v>
      </c>
      <c r="E404" s="32" t="s">
        <v>16</v>
      </c>
      <c r="F404" s="32">
        <v>77.0</v>
      </c>
      <c r="G404" s="35">
        <v>14000.0</v>
      </c>
      <c r="H404" s="36">
        <f t="shared" si="51"/>
        <v>1078000</v>
      </c>
      <c r="I404" s="27"/>
      <c r="J404" s="2"/>
      <c r="K404" s="2"/>
    </row>
    <row r="405">
      <c r="A405" s="2"/>
      <c r="B405" s="2"/>
      <c r="C405" s="34"/>
      <c r="D405" s="22" t="s">
        <v>43</v>
      </c>
      <c r="E405" s="32" t="s">
        <v>16</v>
      </c>
      <c r="F405" s="32">
        <v>4.0</v>
      </c>
      <c r="G405" s="35">
        <v>12000.0</v>
      </c>
      <c r="H405" s="36">
        <f t="shared" si="51"/>
        <v>48000</v>
      </c>
      <c r="I405" s="27"/>
      <c r="J405" s="2"/>
      <c r="K405" s="2"/>
    </row>
    <row r="406">
      <c r="A406" s="2"/>
      <c r="B406" s="2"/>
      <c r="C406" s="34"/>
      <c r="D406" s="22" t="s">
        <v>80</v>
      </c>
      <c r="E406" s="32" t="s">
        <v>16</v>
      </c>
      <c r="F406" s="32">
        <v>0.5</v>
      </c>
      <c r="G406" s="35">
        <v>36000.0</v>
      </c>
      <c r="H406" s="36">
        <f t="shared" si="51"/>
        <v>18000</v>
      </c>
      <c r="I406" s="27"/>
      <c r="J406" s="2"/>
      <c r="K406" s="2"/>
    </row>
    <row r="407">
      <c r="A407" s="2"/>
      <c r="B407" s="2"/>
      <c r="C407" s="34"/>
      <c r="D407" s="22" t="s">
        <v>38</v>
      </c>
      <c r="E407" s="32" t="s">
        <v>16</v>
      </c>
      <c r="F407" s="32">
        <v>2.0</v>
      </c>
      <c r="G407" s="35">
        <v>11000.0</v>
      </c>
      <c r="H407" s="36">
        <f t="shared" si="51"/>
        <v>22000</v>
      </c>
      <c r="I407" s="27"/>
      <c r="J407" s="2"/>
      <c r="K407" s="2"/>
    </row>
    <row r="408">
      <c r="A408" s="2"/>
      <c r="B408" s="2"/>
      <c r="C408" s="34"/>
      <c r="D408" s="22" t="s">
        <v>39</v>
      </c>
      <c r="E408" s="32" t="s">
        <v>16</v>
      </c>
      <c r="F408" s="32">
        <v>0.5</v>
      </c>
      <c r="G408" s="35">
        <v>16000.0</v>
      </c>
      <c r="H408" s="36">
        <f t="shared" si="51"/>
        <v>8000</v>
      </c>
      <c r="I408" s="27"/>
      <c r="J408" s="2"/>
      <c r="K408" s="2"/>
    </row>
    <row r="409">
      <c r="A409" s="2"/>
      <c r="B409" s="2"/>
      <c r="C409" s="34"/>
      <c r="D409" s="22" t="s">
        <v>41</v>
      </c>
      <c r="E409" s="32" t="s">
        <v>16</v>
      </c>
      <c r="F409" s="32"/>
      <c r="G409" s="36"/>
      <c r="H409" s="35">
        <v>6000.0</v>
      </c>
      <c r="I409" s="27"/>
      <c r="J409" s="2"/>
      <c r="K409" s="2"/>
    </row>
    <row r="410">
      <c r="A410" s="2"/>
      <c r="B410" s="2"/>
      <c r="C410" s="34"/>
      <c r="D410" s="22" t="s">
        <v>150</v>
      </c>
      <c r="E410" s="32" t="s">
        <v>16</v>
      </c>
      <c r="F410" s="32">
        <v>1.0</v>
      </c>
      <c r="G410" s="35">
        <v>13000.0</v>
      </c>
      <c r="H410" s="36">
        <f t="shared" ref="H410:H411" si="53">F410*G410</f>
        <v>13000</v>
      </c>
      <c r="I410" s="27"/>
      <c r="J410" s="2"/>
      <c r="K410" s="2"/>
    </row>
    <row r="411">
      <c r="A411" s="2"/>
      <c r="B411" s="2"/>
      <c r="C411" s="34"/>
      <c r="D411" s="22" t="s">
        <v>39</v>
      </c>
      <c r="E411" s="32" t="s">
        <v>16</v>
      </c>
      <c r="F411" s="32">
        <v>1.0</v>
      </c>
      <c r="G411" s="35">
        <v>14000.0</v>
      </c>
      <c r="H411" s="36">
        <f t="shared" si="53"/>
        <v>14000</v>
      </c>
      <c r="I411" s="27"/>
      <c r="J411" s="2"/>
      <c r="K411" s="2"/>
    </row>
    <row r="412">
      <c r="A412" s="2"/>
      <c r="B412" s="2"/>
      <c r="C412" s="34"/>
      <c r="D412" s="22" t="s">
        <v>85</v>
      </c>
      <c r="E412" s="32" t="s">
        <v>16</v>
      </c>
      <c r="F412" s="32">
        <v>42.0</v>
      </c>
      <c r="G412" s="36">
        <f>H412/42</f>
        <v>14285.71429</v>
      </c>
      <c r="H412" s="35">
        <v>600000.0</v>
      </c>
      <c r="I412" s="41">
        <f>SUM(H398:H412)</f>
        <v>3944000</v>
      </c>
      <c r="J412" s="2"/>
      <c r="K412" s="2"/>
    </row>
    <row r="413">
      <c r="A413" s="2"/>
      <c r="B413" s="2"/>
      <c r="C413" s="31" t="s">
        <v>315</v>
      </c>
      <c r="D413" s="22" t="s">
        <v>316</v>
      </c>
      <c r="E413" s="32" t="s">
        <v>50</v>
      </c>
      <c r="F413" s="32">
        <v>2040.0</v>
      </c>
      <c r="G413" s="35">
        <v>1500.0</v>
      </c>
      <c r="H413" s="36">
        <f t="shared" ref="H413:H454" si="54">F413*G413</f>
        <v>3060000</v>
      </c>
      <c r="I413" s="41">
        <f>H413</f>
        <v>3060000</v>
      </c>
      <c r="J413" s="2"/>
      <c r="K413" s="2"/>
    </row>
    <row r="414">
      <c r="A414" s="2"/>
      <c r="B414" s="2"/>
      <c r="C414" s="31" t="s">
        <v>44</v>
      </c>
      <c r="D414" s="22" t="s">
        <v>93</v>
      </c>
      <c r="E414" s="32" t="s">
        <v>16</v>
      </c>
      <c r="F414" s="32">
        <v>0.5</v>
      </c>
      <c r="G414" s="35">
        <v>48000.0</v>
      </c>
      <c r="H414" s="36">
        <f t="shared" si="54"/>
        <v>24000</v>
      </c>
      <c r="I414" s="27"/>
      <c r="J414" s="2"/>
      <c r="K414" s="2"/>
    </row>
    <row r="415">
      <c r="A415" s="2"/>
      <c r="B415" s="2"/>
      <c r="C415" s="34"/>
      <c r="D415" s="22" t="s">
        <v>152</v>
      </c>
      <c r="E415" s="32" t="s">
        <v>16</v>
      </c>
      <c r="F415" s="32">
        <v>30.0</v>
      </c>
      <c r="G415" s="35">
        <v>18500.0</v>
      </c>
      <c r="H415" s="36">
        <f t="shared" si="54"/>
        <v>555000</v>
      </c>
      <c r="I415" s="27"/>
      <c r="J415" s="2"/>
      <c r="K415" s="2"/>
    </row>
    <row r="416">
      <c r="A416" s="2"/>
      <c r="B416" s="2"/>
      <c r="C416" s="34"/>
      <c r="D416" s="22" t="s">
        <v>172</v>
      </c>
      <c r="E416" s="32" t="s">
        <v>16</v>
      </c>
      <c r="F416" s="32">
        <v>3.0</v>
      </c>
      <c r="G416" s="35">
        <v>110000.0</v>
      </c>
      <c r="H416" s="36">
        <f t="shared" si="54"/>
        <v>330000</v>
      </c>
      <c r="I416" s="27"/>
      <c r="J416" s="2"/>
      <c r="K416" s="2"/>
    </row>
    <row r="417">
      <c r="A417" s="2"/>
      <c r="B417" s="2"/>
      <c r="C417" s="34"/>
      <c r="D417" s="22" t="s">
        <v>47</v>
      </c>
      <c r="E417" s="32" t="s">
        <v>50</v>
      </c>
      <c r="F417" s="32">
        <v>3.0</v>
      </c>
      <c r="G417" s="35">
        <v>48000.0</v>
      </c>
      <c r="H417" s="36">
        <f t="shared" si="54"/>
        <v>144000</v>
      </c>
      <c r="I417" s="27"/>
      <c r="J417" s="2"/>
      <c r="K417" s="2"/>
    </row>
    <row r="418">
      <c r="A418" s="2"/>
      <c r="B418" s="2"/>
      <c r="C418" s="34"/>
      <c r="D418" s="22" t="s">
        <v>49</v>
      </c>
      <c r="E418" s="32" t="s">
        <v>16</v>
      </c>
      <c r="F418" s="32">
        <v>4.0</v>
      </c>
      <c r="G418" s="35">
        <v>45000.0</v>
      </c>
      <c r="H418" s="36">
        <f t="shared" si="54"/>
        <v>180000</v>
      </c>
      <c r="I418" s="27"/>
      <c r="J418" s="2"/>
      <c r="K418" s="2"/>
    </row>
    <row r="419">
      <c r="A419" s="2"/>
      <c r="B419" s="2"/>
      <c r="C419" s="34"/>
      <c r="D419" s="22" t="s">
        <v>94</v>
      </c>
      <c r="E419" s="32" t="s">
        <v>16</v>
      </c>
      <c r="F419" s="32">
        <v>0.5</v>
      </c>
      <c r="G419" s="35">
        <v>140000.0</v>
      </c>
      <c r="H419" s="36">
        <f t="shared" si="54"/>
        <v>70000</v>
      </c>
      <c r="I419" s="27"/>
      <c r="J419" s="2"/>
      <c r="K419" s="2"/>
    </row>
    <row r="420">
      <c r="A420" s="2"/>
      <c r="B420" s="2"/>
      <c r="C420" s="34"/>
      <c r="D420" s="22" t="s">
        <v>260</v>
      </c>
      <c r="E420" s="32" t="s">
        <v>48</v>
      </c>
      <c r="F420" s="32">
        <v>4.0</v>
      </c>
      <c r="G420" s="35">
        <v>53000.0</v>
      </c>
      <c r="H420" s="36">
        <f t="shared" si="54"/>
        <v>212000</v>
      </c>
      <c r="I420" s="27"/>
      <c r="J420" s="2"/>
      <c r="K420" s="2"/>
    </row>
    <row r="421">
      <c r="A421" s="2"/>
      <c r="B421" s="2"/>
      <c r="C421" s="34"/>
      <c r="D421" s="22" t="s">
        <v>317</v>
      </c>
      <c r="E421" s="32" t="s">
        <v>186</v>
      </c>
      <c r="F421" s="32">
        <v>2.0</v>
      </c>
      <c r="G421" s="35">
        <v>170000.0</v>
      </c>
      <c r="H421" s="36">
        <f t="shared" si="54"/>
        <v>340000</v>
      </c>
      <c r="I421" s="27"/>
      <c r="J421" s="2"/>
      <c r="K421" s="2"/>
    </row>
    <row r="422">
      <c r="A422" s="2"/>
      <c r="B422" s="2"/>
      <c r="C422" s="34"/>
      <c r="D422" s="22" t="s">
        <v>60</v>
      </c>
      <c r="E422" s="32" t="s">
        <v>16</v>
      </c>
      <c r="F422" s="32">
        <v>15.0</v>
      </c>
      <c r="G422" s="35">
        <v>26000.0</v>
      </c>
      <c r="H422" s="36">
        <f t="shared" si="54"/>
        <v>390000</v>
      </c>
      <c r="I422" s="27"/>
      <c r="J422" s="2"/>
      <c r="K422" s="2"/>
    </row>
    <row r="423">
      <c r="A423" s="2"/>
      <c r="B423" s="2"/>
      <c r="C423" s="34"/>
      <c r="D423" s="22" t="s">
        <v>262</v>
      </c>
      <c r="E423" s="32" t="s">
        <v>59</v>
      </c>
      <c r="F423" s="32">
        <v>3.0</v>
      </c>
      <c r="G423" s="35">
        <v>140000.0</v>
      </c>
      <c r="H423" s="36">
        <f t="shared" si="54"/>
        <v>420000</v>
      </c>
      <c r="I423" s="27"/>
      <c r="J423" s="2"/>
      <c r="K423" s="2"/>
    </row>
    <row r="424">
      <c r="A424" s="2"/>
      <c r="B424" s="2"/>
      <c r="C424" s="34"/>
      <c r="D424" s="22" t="s">
        <v>318</v>
      </c>
      <c r="E424" s="32" t="s">
        <v>59</v>
      </c>
      <c r="F424" s="32">
        <v>1.0</v>
      </c>
      <c r="G424" s="35">
        <v>225000.0</v>
      </c>
      <c r="H424" s="36">
        <f t="shared" si="54"/>
        <v>225000</v>
      </c>
      <c r="I424" s="27"/>
      <c r="J424" s="2"/>
      <c r="K424" s="2"/>
    </row>
    <row r="425">
      <c r="A425" s="2"/>
      <c r="B425" s="2"/>
      <c r="C425" s="34"/>
      <c r="D425" s="22" t="s">
        <v>154</v>
      </c>
      <c r="E425" s="32" t="s">
        <v>54</v>
      </c>
      <c r="F425" s="32">
        <v>1.0</v>
      </c>
      <c r="G425" s="35">
        <v>95000.0</v>
      </c>
      <c r="H425" s="36">
        <f t="shared" si="54"/>
        <v>95000</v>
      </c>
      <c r="I425" s="27"/>
      <c r="J425" s="2"/>
      <c r="K425" s="2"/>
    </row>
    <row r="426">
      <c r="A426" s="2"/>
      <c r="B426" s="2"/>
      <c r="C426" s="34"/>
      <c r="D426" s="22" t="s">
        <v>152</v>
      </c>
      <c r="E426" s="32" t="s">
        <v>16</v>
      </c>
      <c r="F426" s="32">
        <v>10.0</v>
      </c>
      <c r="G426" s="35">
        <v>18500.0</v>
      </c>
      <c r="H426" s="36">
        <f t="shared" si="54"/>
        <v>185000</v>
      </c>
      <c r="I426" s="27"/>
      <c r="J426" s="2"/>
      <c r="K426" s="2"/>
    </row>
    <row r="427">
      <c r="A427" s="2"/>
      <c r="B427" s="2"/>
      <c r="C427" s="34"/>
      <c r="D427" s="22" t="s">
        <v>174</v>
      </c>
      <c r="E427" s="32" t="s">
        <v>16</v>
      </c>
      <c r="F427" s="32">
        <v>2.5</v>
      </c>
      <c r="G427" s="35">
        <v>32000.0</v>
      </c>
      <c r="H427" s="36">
        <f t="shared" si="54"/>
        <v>80000</v>
      </c>
      <c r="I427" s="27"/>
      <c r="J427" s="2"/>
      <c r="K427" s="2"/>
    </row>
    <row r="428">
      <c r="A428" s="2"/>
      <c r="B428" s="2"/>
      <c r="C428" s="34"/>
      <c r="D428" s="22" t="s">
        <v>172</v>
      </c>
      <c r="E428" s="32" t="s">
        <v>16</v>
      </c>
      <c r="F428" s="32">
        <v>2.0</v>
      </c>
      <c r="G428" s="35">
        <v>110000.0</v>
      </c>
      <c r="H428" s="36">
        <f t="shared" si="54"/>
        <v>220000</v>
      </c>
      <c r="I428" s="27"/>
      <c r="J428" s="2"/>
      <c r="K428" s="2"/>
    </row>
    <row r="429">
      <c r="A429" s="2"/>
      <c r="B429" s="2"/>
      <c r="C429" s="34"/>
      <c r="D429" s="22" t="s">
        <v>319</v>
      </c>
      <c r="E429" s="32" t="s">
        <v>16</v>
      </c>
      <c r="F429" s="32">
        <v>4.0</v>
      </c>
      <c r="G429" s="35">
        <v>8000.0</v>
      </c>
      <c r="H429" s="36">
        <f t="shared" si="54"/>
        <v>32000</v>
      </c>
      <c r="I429" s="27"/>
      <c r="J429" s="2"/>
      <c r="K429" s="2"/>
    </row>
    <row r="430">
      <c r="A430" s="2"/>
      <c r="B430" s="2"/>
      <c r="C430" s="34"/>
      <c r="D430" s="22" t="s">
        <v>104</v>
      </c>
      <c r="E430" s="32" t="s">
        <v>16</v>
      </c>
      <c r="F430" s="32">
        <v>1.0</v>
      </c>
      <c r="G430" s="35">
        <v>85000.0</v>
      </c>
      <c r="H430" s="36">
        <f t="shared" si="54"/>
        <v>85000</v>
      </c>
      <c r="I430" s="41">
        <f>SUM((H414:H430))</f>
        <v>3587000</v>
      </c>
      <c r="J430" s="2"/>
      <c r="K430" s="2"/>
    </row>
    <row r="431">
      <c r="A431" s="2"/>
      <c r="B431" s="2"/>
      <c r="C431" s="31" t="s">
        <v>27</v>
      </c>
      <c r="D431" s="22" t="s">
        <v>320</v>
      </c>
      <c r="E431" s="32" t="s">
        <v>16</v>
      </c>
      <c r="F431" s="32">
        <v>103.0</v>
      </c>
      <c r="G431" s="35">
        <v>28000.0</v>
      </c>
      <c r="H431" s="36">
        <f t="shared" si="54"/>
        <v>2884000</v>
      </c>
      <c r="I431" s="41">
        <f>H431</f>
        <v>2884000</v>
      </c>
      <c r="J431" s="2"/>
      <c r="K431" s="2"/>
    </row>
    <row r="432">
      <c r="A432" s="2"/>
      <c r="B432" s="2"/>
      <c r="C432" s="39" t="s">
        <v>106</v>
      </c>
      <c r="D432" s="39" t="s">
        <v>321</v>
      </c>
      <c r="E432" s="45" t="s">
        <v>133</v>
      </c>
      <c r="F432" s="45">
        <v>109.0</v>
      </c>
      <c r="G432" s="38">
        <v>12000.0</v>
      </c>
      <c r="H432" s="36">
        <f t="shared" si="54"/>
        <v>1308000</v>
      </c>
      <c r="I432" s="27"/>
      <c r="J432" s="2"/>
      <c r="K432" s="2"/>
    </row>
    <row r="433">
      <c r="A433" s="2"/>
      <c r="B433" s="2"/>
      <c r="D433" s="39" t="s">
        <v>322</v>
      </c>
      <c r="E433" s="45" t="s">
        <v>133</v>
      </c>
      <c r="F433" s="45">
        <v>95.0</v>
      </c>
      <c r="G433" s="38">
        <v>12000.0</v>
      </c>
      <c r="H433" s="36">
        <f t="shared" si="54"/>
        <v>1140000</v>
      </c>
      <c r="I433" s="27"/>
      <c r="J433" s="2"/>
      <c r="K433" s="2"/>
    </row>
    <row r="434">
      <c r="A434" s="2"/>
      <c r="B434" s="2"/>
      <c r="D434" s="39" t="s">
        <v>323</v>
      </c>
      <c r="E434" s="45" t="s">
        <v>133</v>
      </c>
      <c r="F434" s="45">
        <v>80.0</v>
      </c>
      <c r="G434" s="38">
        <v>12000.0</v>
      </c>
      <c r="H434" s="36">
        <f t="shared" si="54"/>
        <v>960000</v>
      </c>
      <c r="I434" s="41">
        <f>sum(H432:H434)</f>
        <v>3408000</v>
      </c>
      <c r="J434" s="2"/>
      <c r="K434" s="2"/>
    </row>
    <row r="435">
      <c r="A435" s="2"/>
      <c r="B435" s="2"/>
      <c r="C435" s="39" t="s">
        <v>180</v>
      </c>
      <c r="D435" s="39" t="s">
        <v>324</v>
      </c>
      <c r="E435" s="45" t="s">
        <v>16</v>
      </c>
      <c r="F435" s="45">
        <v>110.0</v>
      </c>
      <c r="G435" s="38">
        <v>50500.0</v>
      </c>
      <c r="H435" s="36">
        <f t="shared" si="54"/>
        <v>5555000</v>
      </c>
      <c r="I435" s="41">
        <f t="shared" ref="I435:I437" si="55">H435</f>
        <v>5555000</v>
      </c>
      <c r="J435" s="2"/>
      <c r="K435" s="2"/>
    </row>
    <row r="436">
      <c r="A436" s="2"/>
      <c r="B436" s="2"/>
      <c r="C436" s="39" t="s">
        <v>180</v>
      </c>
      <c r="D436" s="39" t="s">
        <v>325</v>
      </c>
      <c r="E436" s="45" t="s">
        <v>16</v>
      </c>
      <c r="F436" s="45">
        <v>110.0</v>
      </c>
      <c r="G436" s="38">
        <v>50500.0</v>
      </c>
      <c r="H436" s="36">
        <f t="shared" si="54"/>
        <v>5555000</v>
      </c>
      <c r="I436" s="41">
        <f t="shared" si="55"/>
        <v>5555000</v>
      </c>
      <c r="J436" s="2"/>
      <c r="K436" s="2"/>
    </row>
    <row r="437">
      <c r="A437" s="2"/>
      <c r="B437" s="2"/>
      <c r="C437" s="31" t="s">
        <v>248</v>
      </c>
      <c r="D437" s="22" t="s">
        <v>249</v>
      </c>
      <c r="E437" s="32" t="s">
        <v>16</v>
      </c>
      <c r="F437" s="32">
        <v>625.0</v>
      </c>
      <c r="G437" s="35">
        <v>15000.0</v>
      </c>
      <c r="H437" s="36">
        <f t="shared" si="54"/>
        <v>9375000</v>
      </c>
      <c r="I437" s="41">
        <f t="shared" si="55"/>
        <v>9375000</v>
      </c>
      <c r="J437" s="2"/>
      <c r="K437" s="2"/>
    </row>
    <row r="438">
      <c r="A438" s="2"/>
      <c r="B438" s="2"/>
      <c r="C438" s="31" t="s">
        <v>162</v>
      </c>
      <c r="D438" s="22" t="s">
        <v>174</v>
      </c>
      <c r="E438" s="32" t="s">
        <v>16</v>
      </c>
      <c r="F438" s="32">
        <v>2.0</v>
      </c>
      <c r="G438" s="35">
        <v>32000.0</v>
      </c>
      <c r="H438" s="36">
        <f t="shared" si="54"/>
        <v>64000</v>
      </c>
      <c r="I438" s="27"/>
      <c r="J438" s="2"/>
      <c r="K438" s="2"/>
    </row>
    <row r="439">
      <c r="A439" s="2"/>
      <c r="B439" s="2"/>
      <c r="C439" s="34"/>
      <c r="D439" s="22" t="s">
        <v>60</v>
      </c>
      <c r="E439" s="32" t="s">
        <v>16</v>
      </c>
      <c r="F439" s="32">
        <v>2.0</v>
      </c>
      <c r="G439" s="35">
        <v>26000.0</v>
      </c>
      <c r="H439" s="36">
        <f t="shared" si="54"/>
        <v>52000</v>
      </c>
      <c r="I439" s="27"/>
      <c r="J439" s="2"/>
      <c r="K439" s="2"/>
    </row>
    <row r="440">
      <c r="A440" s="2"/>
      <c r="B440" s="2"/>
      <c r="C440" s="34"/>
      <c r="D440" s="22" t="s">
        <v>326</v>
      </c>
      <c r="E440" s="32" t="s">
        <v>54</v>
      </c>
      <c r="F440" s="32">
        <v>1.0</v>
      </c>
      <c r="G440" s="35">
        <v>190000.0</v>
      </c>
      <c r="H440" s="36">
        <f t="shared" si="54"/>
        <v>190000</v>
      </c>
      <c r="I440" s="27"/>
      <c r="J440" s="2"/>
      <c r="K440" s="2"/>
    </row>
    <row r="441">
      <c r="A441" s="2"/>
      <c r="B441" s="2"/>
      <c r="C441" s="34"/>
      <c r="D441" s="22" t="s">
        <v>49</v>
      </c>
      <c r="E441" s="32" t="s">
        <v>16</v>
      </c>
      <c r="F441" s="32">
        <v>0.5</v>
      </c>
      <c r="G441" s="35">
        <v>45000.0</v>
      </c>
      <c r="H441" s="36">
        <f t="shared" si="54"/>
        <v>22500</v>
      </c>
      <c r="I441" s="27"/>
      <c r="J441" s="2"/>
      <c r="K441" s="2"/>
    </row>
    <row r="442">
      <c r="A442" s="2"/>
      <c r="B442" s="2"/>
      <c r="C442" s="34"/>
      <c r="D442" s="22" t="s">
        <v>327</v>
      </c>
      <c r="E442" s="32" t="s">
        <v>48</v>
      </c>
      <c r="F442" s="32">
        <v>2.0</v>
      </c>
      <c r="G442" s="35">
        <v>17000.0</v>
      </c>
      <c r="H442" s="36">
        <f t="shared" si="54"/>
        <v>34000</v>
      </c>
      <c r="I442" s="27"/>
      <c r="J442" s="2"/>
      <c r="K442" s="2"/>
    </row>
    <row r="443">
      <c r="A443" s="2"/>
      <c r="B443" s="2"/>
      <c r="C443" s="34"/>
      <c r="D443" s="22" t="s">
        <v>53</v>
      </c>
      <c r="E443" s="32" t="s">
        <v>54</v>
      </c>
      <c r="F443" s="32">
        <v>1.0</v>
      </c>
      <c r="G443" s="35">
        <v>85000.0</v>
      </c>
      <c r="H443" s="36">
        <f t="shared" si="54"/>
        <v>85000</v>
      </c>
      <c r="I443" s="41">
        <f>SUM(H438:H443)</f>
        <v>447500</v>
      </c>
      <c r="J443" s="2"/>
      <c r="K443" s="2"/>
    </row>
    <row r="444">
      <c r="A444" s="2"/>
      <c r="B444" s="2"/>
      <c r="C444" s="31" t="s">
        <v>183</v>
      </c>
      <c r="D444" s="22" t="s">
        <v>328</v>
      </c>
      <c r="E444" s="32" t="s">
        <v>16</v>
      </c>
      <c r="F444" s="32">
        <v>145.0</v>
      </c>
      <c r="G444" s="35">
        <v>25000.0</v>
      </c>
      <c r="H444" s="36">
        <f t="shared" si="54"/>
        <v>3625000</v>
      </c>
      <c r="I444" s="27"/>
      <c r="J444" s="2"/>
      <c r="K444" s="2"/>
    </row>
    <row r="445">
      <c r="A445" s="2"/>
      <c r="B445" s="2"/>
      <c r="C445" s="34"/>
      <c r="D445" s="22" t="s">
        <v>329</v>
      </c>
      <c r="E445" s="32" t="s">
        <v>16</v>
      </c>
      <c r="F445" s="32">
        <v>120.0</v>
      </c>
      <c r="G445" s="35">
        <v>25000.0</v>
      </c>
      <c r="H445" s="36">
        <f t="shared" si="54"/>
        <v>3000000</v>
      </c>
      <c r="I445" s="27"/>
      <c r="J445" s="2"/>
      <c r="K445" s="2"/>
    </row>
    <row r="446">
      <c r="A446" s="2"/>
      <c r="B446" s="2"/>
      <c r="C446" s="34"/>
      <c r="D446" s="22" t="s">
        <v>330</v>
      </c>
      <c r="E446" s="32" t="s">
        <v>16</v>
      </c>
      <c r="F446" s="32">
        <v>90.0</v>
      </c>
      <c r="G446" s="35">
        <v>28000.0</v>
      </c>
      <c r="H446" s="36">
        <f t="shared" si="54"/>
        <v>2520000</v>
      </c>
      <c r="I446" s="41">
        <f>SUM(H444:H446)</f>
        <v>9145000</v>
      </c>
      <c r="J446" s="2"/>
      <c r="K446" s="2"/>
    </row>
    <row r="447">
      <c r="A447" s="2"/>
      <c r="B447" s="2"/>
      <c r="C447" s="39" t="s">
        <v>113</v>
      </c>
      <c r="D447" s="39" t="s">
        <v>331</v>
      </c>
      <c r="E447" s="45" t="s">
        <v>16</v>
      </c>
      <c r="F447" s="45">
        <v>215.0</v>
      </c>
      <c r="G447" s="38">
        <v>33000.0</v>
      </c>
      <c r="H447" s="36">
        <f t="shared" si="54"/>
        <v>7095000</v>
      </c>
      <c r="I447" s="27"/>
      <c r="J447" s="2"/>
      <c r="K447" s="2"/>
    </row>
    <row r="448">
      <c r="A448" s="2"/>
      <c r="B448" s="2"/>
      <c r="D448" s="39" t="s">
        <v>332</v>
      </c>
      <c r="E448" s="45" t="s">
        <v>16</v>
      </c>
      <c r="F448" s="45">
        <v>163.0</v>
      </c>
      <c r="G448" s="38">
        <v>33000.0</v>
      </c>
      <c r="H448" s="36">
        <f t="shared" si="54"/>
        <v>5379000</v>
      </c>
      <c r="I448" s="27"/>
      <c r="J448" s="2"/>
      <c r="K448" s="2"/>
    </row>
    <row r="449">
      <c r="A449" s="2"/>
      <c r="B449" s="2"/>
      <c r="D449" s="39" t="s">
        <v>333</v>
      </c>
      <c r="E449" s="45" t="s">
        <v>16</v>
      </c>
      <c r="F449" s="45">
        <v>110.0</v>
      </c>
      <c r="G449" s="38">
        <v>46000.0</v>
      </c>
      <c r="H449" s="36">
        <f t="shared" si="54"/>
        <v>5060000</v>
      </c>
      <c r="I449" s="41">
        <f>SUM(H447:H449)</f>
        <v>17534000</v>
      </c>
      <c r="J449" s="2"/>
      <c r="K449" s="2"/>
    </row>
    <row r="450">
      <c r="A450" s="2"/>
      <c r="B450" s="2"/>
      <c r="C450" s="31" t="s">
        <v>334</v>
      </c>
      <c r="D450" s="22" t="s">
        <v>335</v>
      </c>
      <c r="E450" s="32" t="s">
        <v>16</v>
      </c>
      <c r="F450" s="32">
        <v>20.0</v>
      </c>
      <c r="G450" s="35">
        <v>30000.0</v>
      </c>
      <c r="H450" s="36">
        <f t="shared" si="54"/>
        <v>600000</v>
      </c>
      <c r="I450" s="41">
        <f>H450</f>
        <v>600000</v>
      </c>
      <c r="J450" s="2"/>
      <c r="K450" s="2"/>
    </row>
    <row r="451">
      <c r="A451" s="2"/>
      <c r="B451" s="2"/>
      <c r="C451" s="31" t="s">
        <v>336</v>
      </c>
      <c r="D451" s="22" t="s">
        <v>170</v>
      </c>
      <c r="E451" s="32" t="s">
        <v>16</v>
      </c>
      <c r="F451" s="32">
        <v>80.0</v>
      </c>
      <c r="G451" s="35">
        <v>25000.0</v>
      </c>
      <c r="H451" s="36">
        <f t="shared" si="54"/>
        <v>2000000</v>
      </c>
      <c r="I451" s="27"/>
      <c r="J451" s="2"/>
      <c r="K451" s="2"/>
    </row>
    <row r="452">
      <c r="A452" s="2"/>
      <c r="B452" s="2"/>
      <c r="C452" s="34"/>
      <c r="D452" s="22" t="s">
        <v>337</v>
      </c>
      <c r="E452" s="32" t="s">
        <v>16</v>
      </c>
      <c r="F452" s="32">
        <v>8.0</v>
      </c>
      <c r="G452" s="35">
        <v>25000.0</v>
      </c>
      <c r="H452" s="36">
        <f t="shared" si="54"/>
        <v>200000</v>
      </c>
      <c r="I452" s="41">
        <f>SUM(H451:H452)</f>
        <v>2200000</v>
      </c>
      <c r="J452" s="2"/>
      <c r="K452" s="2"/>
    </row>
    <row r="453">
      <c r="A453" s="2"/>
      <c r="B453" s="2"/>
      <c r="C453" s="31" t="s">
        <v>338</v>
      </c>
      <c r="D453" s="22" t="s">
        <v>339</v>
      </c>
      <c r="E453" s="32" t="s">
        <v>186</v>
      </c>
      <c r="F453" s="32">
        <v>100.0</v>
      </c>
      <c r="G453" s="35">
        <v>117000.0</v>
      </c>
      <c r="H453" s="36">
        <f t="shared" si="54"/>
        <v>11700000</v>
      </c>
      <c r="I453" s="41">
        <f>H453</f>
        <v>11700000</v>
      </c>
      <c r="J453" s="2"/>
      <c r="K453" s="2"/>
    </row>
    <row r="454">
      <c r="A454" s="2"/>
      <c r="B454" s="2"/>
      <c r="C454" s="34"/>
      <c r="D454" s="22" t="s">
        <v>12</v>
      </c>
      <c r="E454" s="12"/>
      <c r="F454" s="32">
        <v>19.0</v>
      </c>
      <c r="G454" s="35">
        <v>2500.0</v>
      </c>
      <c r="H454" s="36">
        <f t="shared" si="54"/>
        <v>47500</v>
      </c>
      <c r="I454" s="27"/>
      <c r="J454" s="27">
        <f>H454</f>
        <v>47500</v>
      </c>
      <c r="K454" s="2"/>
    </row>
    <row r="455">
      <c r="A455" s="46" t="s">
        <v>340</v>
      </c>
      <c r="B455" s="47"/>
      <c r="C455" s="47"/>
      <c r="D455" s="47"/>
      <c r="E455" s="48"/>
      <c r="F455" s="48"/>
      <c r="G455" s="49"/>
      <c r="H455" s="50" t="s">
        <v>11</v>
      </c>
      <c r="I455" s="51">
        <f t="shared" ref="I455:J455" si="56">SUM(I456:I510)</f>
        <v>185383825</v>
      </c>
      <c r="J455" s="51">
        <f t="shared" si="56"/>
        <v>32500</v>
      </c>
      <c r="K455" s="2"/>
      <c r="L455" s="39">
        <v>5.0</v>
      </c>
      <c r="M455" s="39" t="s">
        <v>165</v>
      </c>
      <c r="N455" s="40">
        <f>I455</f>
        <v>185383825</v>
      </c>
    </row>
    <row r="456">
      <c r="A456" s="2"/>
      <c r="B456" s="2"/>
      <c r="C456" s="31" t="s">
        <v>341</v>
      </c>
      <c r="D456" s="22" t="s">
        <v>342</v>
      </c>
      <c r="E456" s="32" t="s">
        <v>186</v>
      </c>
      <c r="F456" s="32">
        <v>250.0</v>
      </c>
      <c r="G456" s="35">
        <v>116000.0</v>
      </c>
      <c r="H456" s="36">
        <f t="shared" ref="H456:H487" si="57">F456*G456</f>
        <v>29000000</v>
      </c>
      <c r="I456" s="41">
        <f>H456</f>
        <v>29000000</v>
      </c>
      <c r="J456" s="2"/>
      <c r="K456" s="2"/>
      <c r="M456" s="39" t="s">
        <v>168</v>
      </c>
      <c r="N456" s="40">
        <f>'Kas Fisik Oprasional'!I110</f>
        <v>33543330</v>
      </c>
    </row>
    <row r="457">
      <c r="A457" s="2"/>
      <c r="B457" s="2"/>
      <c r="C457" s="39" t="s">
        <v>189</v>
      </c>
      <c r="D457" s="39" t="s">
        <v>343</v>
      </c>
      <c r="E457" s="45" t="s">
        <v>16</v>
      </c>
      <c r="F457" s="45">
        <v>106.0</v>
      </c>
      <c r="G457" s="38">
        <v>34500.0</v>
      </c>
      <c r="H457" s="36">
        <f t="shared" si="57"/>
        <v>3657000</v>
      </c>
      <c r="I457" s="27"/>
      <c r="J457" s="2"/>
      <c r="K457" s="2"/>
      <c r="M457" s="39" t="s">
        <v>242</v>
      </c>
      <c r="N457" s="40">
        <f>'list Reimburse'!I32</f>
        <v>682500</v>
      </c>
    </row>
    <row r="458">
      <c r="A458" s="2"/>
      <c r="B458" s="2"/>
      <c r="D458" s="39" t="s">
        <v>344</v>
      </c>
      <c r="E458" s="45" t="s">
        <v>50</v>
      </c>
      <c r="F458" s="45">
        <v>80.0</v>
      </c>
      <c r="G458" s="38">
        <v>1650.0</v>
      </c>
      <c r="H458" s="36">
        <f t="shared" si="57"/>
        <v>132000</v>
      </c>
      <c r="I458" s="27"/>
      <c r="J458" s="2"/>
      <c r="K458" s="2"/>
      <c r="M458" s="39" t="s">
        <v>345</v>
      </c>
      <c r="N458" s="40">
        <f>'Kas Besar'!H10</f>
        <v>36700000</v>
      </c>
    </row>
    <row r="459">
      <c r="A459" s="2"/>
      <c r="B459" s="2"/>
      <c r="D459" s="39" t="s">
        <v>346</v>
      </c>
      <c r="E459" s="45" t="s">
        <v>16</v>
      </c>
      <c r="F459" s="45">
        <v>55.0</v>
      </c>
      <c r="G459" s="38">
        <v>70000.0</v>
      </c>
      <c r="H459" s="36">
        <f t="shared" si="57"/>
        <v>3850000</v>
      </c>
      <c r="I459" s="27"/>
      <c r="J459" s="2"/>
      <c r="K459" s="2"/>
      <c r="M459" s="39" t="s">
        <v>12</v>
      </c>
      <c r="N459" s="40">
        <f>J455+'Kas Fisik Oprasional'!J110</f>
        <v>42500</v>
      </c>
    </row>
    <row r="460">
      <c r="A460" s="2"/>
      <c r="B460" s="2"/>
      <c r="D460" s="39" t="s">
        <v>347</v>
      </c>
      <c r="E460" s="45" t="s">
        <v>16</v>
      </c>
      <c r="F460" s="45">
        <v>111.3</v>
      </c>
      <c r="G460" s="38">
        <v>12000.0</v>
      </c>
      <c r="H460" s="36">
        <f t="shared" si="57"/>
        <v>1335600</v>
      </c>
      <c r="I460" s="41">
        <f>SUM(H457:H460)</f>
        <v>8974600</v>
      </c>
      <c r="J460" s="22"/>
      <c r="K460" s="2"/>
      <c r="M460" s="42" t="s">
        <v>11</v>
      </c>
      <c r="N460" s="40">
        <f>SUM(N455:N459)</f>
        <v>256352155</v>
      </c>
    </row>
    <row r="461">
      <c r="A461" s="2"/>
      <c r="B461" s="2"/>
      <c r="C461" s="31" t="s">
        <v>127</v>
      </c>
      <c r="D461" s="22" t="s">
        <v>348</v>
      </c>
      <c r="E461" s="32" t="s">
        <v>16</v>
      </c>
      <c r="F461" s="32">
        <v>125.0</v>
      </c>
      <c r="G461" s="35">
        <v>22000.0</v>
      </c>
      <c r="H461" s="36">
        <f t="shared" si="57"/>
        <v>2750000</v>
      </c>
      <c r="I461" s="41">
        <f t="shared" ref="I461:I463" si="58">H461</f>
        <v>2750000</v>
      </c>
      <c r="J461" s="2"/>
      <c r="K461" s="2"/>
    </row>
    <row r="462">
      <c r="A462" s="2"/>
      <c r="B462" s="2"/>
      <c r="C462" s="31" t="s">
        <v>106</v>
      </c>
      <c r="D462" s="22" t="s">
        <v>349</v>
      </c>
      <c r="E462" s="32" t="s">
        <v>133</v>
      </c>
      <c r="F462" s="32">
        <v>50.0</v>
      </c>
      <c r="G462" s="35">
        <v>12000.0</v>
      </c>
      <c r="H462" s="36">
        <f t="shared" si="57"/>
        <v>600000</v>
      </c>
      <c r="I462" s="41">
        <f t="shared" si="58"/>
        <v>600000</v>
      </c>
      <c r="J462" s="2"/>
      <c r="K462" s="2"/>
    </row>
    <row r="463">
      <c r="A463" s="2"/>
      <c r="B463" s="2"/>
      <c r="C463" s="31" t="s">
        <v>350</v>
      </c>
      <c r="D463" s="22" t="s">
        <v>184</v>
      </c>
      <c r="E463" s="32" t="s">
        <v>16</v>
      </c>
      <c r="F463" s="32">
        <v>981.0</v>
      </c>
      <c r="G463" s="35">
        <v>25000.0</v>
      </c>
      <c r="H463" s="36">
        <f t="shared" si="57"/>
        <v>24525000</v>
      </c>
      <c r="I463" s="41">
        <f t="shared" si="58"/>
        <v>24525000</v>
      </c>
      <c r="J463" s="2"/>
      <c r="K463" s="2"/>
    </row>
    <row r="464">
      <c r="A464" s="2"/>
      <c r="B464" s="2"/>
      <c r="C464" s="39" t="s">
        <v>237</v>
      </c>
      <c r="D464" s="39" t="s">
        <v>128</v>
      </c>
      <c r="E464" s="45" t="s">
        <v>16</v>
      </c>
      <c r="F464" s="45">
        <v>49.0</v>
      </c>
      <c r="G464" s="38">
        <v>22000.0</v>
      </c>
      <c r="H464" s="36">
        <f t="shared" si="57"/>
        <v>1078000</v>
      </c>
      <c r="I464" s="27"/>
      <c r="J464" s="2"/>
      <c r="K464" s="2"/>
    </row>
    <row r="465">
      <c r="A465" s="2"/>
      <c r="B465" s="2"/>
      <c r="D465" s="39" t="s">
        <v>351</v>
      </c>
      <c r="E465" s="45" t="s">
        <v>50</v>
      </c>
      <c r="F465" s="45">
        <v>20.0</v>
      </c>
      <c r="G465" s="38">
        <v>13000.0</v>
      </c>
      <c r="H465" s="36">
        <f t="shared" si="57"/>
        <v>260000</v>
      </c>
      <c r="I465" s="27"/>
      <c r="J465" s="2"/>
      <c r="K465" s="2"/>
    </row>
    <row r="466">
      <c r="A466" s="2"/>
      <c r="B466" s="2"/>
      <c r="D466" s="39" t="s">
        <v>352</v>
      </c>
      <c r="E466" s="45" t="s">
        <v>50</v>
      </c>
      <c r="F466" s="45">
        <v>130.0</v>
      </c>
      <c r="G466" s="38">
        <v>30000.0</v>
      </c>
      <c r="H466" s="36">
        <f t="shared" si="57"/>
        <v>3900000</v>
      </c>
      <c r="I466" s="27"/>
      <c r="J466" s="2"/>
      <c r="K466" s="2"/>
    </row>
    <row r="467">
      <c r="A467" s="2"/>
      <c r="B467" s="2"/>
      <c r="D467" s="39" t="s">
        <v>353</v>
      </c>
      <c r="E467" s="45" t="s">
        <v>90</v>
      </c>
      <c r="F467" s="45">
        <v>196.0</v>
      </c>
      <c r="G467" s="38">
        <v>28000.0</v>
      </c>
      <c r="H467" s="36">
        <f t="shared" si="57"/>
        <v>5488000</v>
      </c>
      <c r="I467" s="41">
        <f>SUM(H464:H467)</f>
        <v>10726000</v>
      </c>
      <c r="J467" s="2"/>
      <c r="K467" s="2"/>
    </row>
    <row r="468">
      <c r="A468" s="2"/>
      <c r="B468" s="2"/>
      <c r="C468" s="31" t="s">
        <v>178</v>
      </c>
      <c r="D468" s="22" t="s">
        <v>354</v>
      </c>
      <c r="E468" s="32" t="s">
        <v>16</v>
      </c>
      <c r="F468" s="32">
        <v>1.0</v>
      </c>
      <c r="G468" s="35">
        <v>40000.0</v>
      </c>
      <c r="H468" s="36">
        <f t="shared" si="57"/>
        <v>40000</v>
      </c>
      <c r="I468" s="27"/>
      <c r="J468" s="2"/>
      <c r="K468" s="2"/>
    </row>
    <row r="469">
      <c r="A469" s="2"/>
      <c r="B469" s="2"/>
      <c r="C469" s="34"/>
      <c r="D469" s="22" t="s">
        <v>38</v>
      </c>
      <c r="E469" s="32" t="s">
        <v>16</v>
      </c>
      <c r="F469" s="32">
        <v>1.0</v>
      </c>
      <c r="G469" s="35">
        <v>12000.0</v>
      </c>
      <c r="H469" s="36">
        <f t="shared" si="57"/>
        <v>12000</v>
      </c>
      <c r="I469" s="27"/>
      <c r="J469" s="2"/>
      <c r="K469" s="2"/>
    </row>
    <row r="470">
      <c r="A470" s="2"/>
      <c r="B470" s="2"/>
      <c r="C470" s="34"/>
      <c r="D470" s="22" t="s">
        <v>32</v>
      </c>
      <c r="E470" s="32" t="s">
        <v>16</v>
      </c>
      <c r="F470" s="32">
        <v>1.0</v>
      </c>
      <c r="G470" s="35">
        <v>15000.0</v>
      </c>
      <c r="H470" s="36">
        <f t="shared" si="57"/>
        <v>15000</v>
      </c>
      <c r="I470" s="27"/>
      <c r="J470" s="2"/>
      <c r="K470" s="2"/>
    </row>
    <row r="471">
      <c r="A471" s="2"/>
      <c r="B471" s="2"/>
      <c r="C471" s="34"/>
      <c r="D471" s="22" t="s">
        <v>29</v>
      </c>
      <c r="E471" s="32" t="s">
        <v>16</v>
      </c>
      <c r="F471" s="32">
        <v>2.0</v>
      </c>
      <c r="G471" s="35">
        <v>60000.0</v>
      </c>
      <c r="H471" s="36">
        <f t="shared" si="57"/>
        <v>120000</v>
      </c>
      <c r="I471" s="27"/>
      <c r="J471" s="2"/>
      <c r="K471" s="2"/>
    </row>
    <row r="472">
      <c r="A472" s="2"/>
      <c r="B472" s="2"/>
      <c r="C472" s="34"/>
      <c r="D472" s="22" t="s">
        <v>41</v>
      </c>
      <c r="E472" s="32" t="s">
        <v>16</v>
      </c>
      <c r="F472" s="32">
        <v>1.0</v>
      </c>
      <c r="G472" s="35">
        <v>5000.0</v>
      </c>
      <c r="H472" s="36">
        <f t="shared" si="57"/>
        <v>5000</v>
      </c>
      <c r="I472" s="27"/>
      <c r="J472" s="2"/>
      <c r="K472" s="2"/>
    </row>
    <row r="473">
      <c r="A473" s="2"/>
      <c r="B473" s="2"/>
      <c r="C473" s="34"/>
      <c r="D473" s="22" t="s">
        <v>31</v>
      </c>
      <c r="E473" s="32" t="s">
        <v>16</v>
      </c>
      <c r="F473" s="32">
        <v>2.0</v>
      </c>
      <c r="G473" s="35">
        <v>15000.0</v>
      </c>
      <c r="H473" s="36">
        <f t="shared" si="57"/>
        <v>30000</v>
      </c>
      <c r="I473" s="27"/>
      <c r="J473" s="2"/>
      <c r="K473" s="2"/>
    </row>
    <row r="474">
      <c r="A474" s="2"/>
      <c r="B474" s="2"/>
      <c r="C474" s="34"/>
      <c r="D474" s="22" t="s">
        <v>39</v>
      </c>
      <c r="E474" s="32" t="s">
        <v>16</v>
      </c>
      <c r="F474" s="32">
        <v>0.5</v>
      </c>
      <c r="G474" s="35">
        <v>12000.0</v>
      </c>
      <c r="H474" s="36">
        <f t="shared" si="57"/>
        <v>6000</v>
      </c>
      <c r="I474" s="27"/>
      <c r="J474" s="2"/>
      <c r="K474" s="2"/>
    </row>
    <row r="475">
      <c r="A475" s="2"/>
      <c r="B475" s="2"/>
      <c r="C475" s="34"/>
      <c r="D475" s="22" t="s">
        <v>150</v>
      </c>
      <c r="E475" s="32" t="s">
        <v>16</v>
      </c>
      <c r="F475" s="32">
        <v>1.0</v>
      </c>
      <c r="G475" s="35">
        <v>10000.0</v>
      </c>
      <c r="H475" s="36">
        <f t="shared" si="57"/>
        <v>10000</v>
      </c>
      <c r="I475" s="27"/>
      <c r="J475" s="2"/>
      <c r="K475" s="2"/>
    </row>
    <row r="476">
      <c r="A476" s="2"/>
      <c r="B476" s="2"/>
      <c r="C476" s="34"/>
      <c r="D476" s="22" t="s">
        <v>35</v>
      </c>
      <c r="E476" s="32" t="s">
        <v>16</v>
      </c>
      <c r="F476" s="32">
        <v>40.0</v>
      </c>
      <c r="G476" s="35">
        <v>14000.0</v>
      </c>
      <c r="H476" s="36">
        <f t="shared" si="57"/>
        <v>560000</v>
      </c>
      <c r="I476" s="27"/>
      <c r="J476" s="2"/>
      <c r="K476" s="2"/>
    </row>
    <row r="477">
      <c r="A477" s="2"/>
      <c r="B477" s="2"/>
      <c r="C477" s="34"/>
      <c r="D477" s="2"/>
      <c r="E477" s="32" t="s">
        <v>16</v>
      </c>
      <c r="F477" s="32">
        <v>30.0</v>
      </c>
      <c r="G477" s="35">
        <v>10000.0</v>
      </c>
      <c r="H477" s="36">
        <f t="shared" si="57"/>
        <v>300000</v>
      </c>
      <c r="I477" s="27"/>
      <c r="J477" s="2"/>
      <c r="K477" s="2"/>
    </row>
    <row r="478">
      <c r="A478" s="2"/>
      <c r="B478" s="2"/>
      <c r="C478" s="34"/>
      <c r="D478" s="22" t="s">
        <v>32</v>
      </c>
      <c r="E478" s="32" t="s">
        <v>16</v>
      </c>
      <c r="F478" s="32">
        <v>0.5</v>
      </c>
      <c r="G478" s="35">
        <v>15000.0</v>
      </c>
      <c r="H478" s="36">
        <f t="shared" si="57"/>
        <v>7500</v>
      </c>
      <c r="I478" s="27"/>
      <c r="J478" s="2"/>
      <c r="K478" s="2"/>
    </row>
    <row r="479">
      <c r="A479" s="2"/>
      <c r="B479" s="2"/>
      <c r="C479" s="34"/>
      <c r="D479" s="2"/>
      <c r="E479" s="32" t="s">
        <v>16</v>
      </c>
      <c r="F479" s="32">
        <v>1.0</v>
      </c>
      <c r="G479" s="35">
        <v>105000.0</v>
      </c>
      <c r="H479" s="36">
        <f t="shared" si="57"/>
        <v>105000</v>
      </c>
      <c r="I479" s="27"/>
      <c r="J479" s="2"/>
      <c r="K479" s="2"/>
    </row>
    <row r="480">
      <c r="A480" s="2"/>
      <c r="B480" s="2"/>
      <c r="C480" s="34"/>
      <c r="D480" s="22" t="s">
        <v>355</v>
      </c>
      <c r="E480" s="32" t="s">
        <v>50</v>
      </c>
      <c r="F480" s="32">
        <v>250.0</v>
      </c>
      <c r="G480" s="35">
        <v>2800.0</v>
      </c>
      <c r="H480" s="36">
        <f t="shared" si="57"/>
        <v>700000</v>
      </c>
      <c r="I480" s="41">
        <f>SUM(H468:H480)</f>
        <v>1910500</v>
      </c>
      <c r="J480" s="2"/>
      <c r="K480" s="2"/>
    </row>
    <row r="481">
      <c r="A481" s="2"/>
      <c r="B481" s="2"/>
      <c r="C481" s="39" t="s">
        <v>122</v>
      </c>
      <c r="D481" s="39" t="s">
        <v>356</v>
      </c>
      <c r="E481" s="45" t="s">
        <v>16</v>
      </c>
      <c r="F481" s="45">
        <v>226.0</v>
      </c>
      <c r="G481" s="38">
        <v>18000.0</v>
      </c>
      <c r="H481" s="36">
        <f t="shared" si="57"/>
        <v>4068000</v>
      </c>
      <c r="I481" s="27"/>
      <c r="J481" s="2"/>
      <c r="K481" s="2"/>
    </row>
    <row r="482">
      <c r="A482" s="2"/>
      <c r="B482" s="2"/>
      <c r="D482" s="39" t="s">
        <v>357</v>
      </c>
      <c r="E482" s="45" t="s">
        <v>16</v>
      </c>
      <c r="F482" s="45">
        <v>21.5</v>
      </c>
      <c r="G482" s="38">
        <v>37500.0</v>
      </c>
      <c r="H482" s="36">
        <f t="shared" si="57"/>
        <v>806250</v>
      </c>
      <c r="I482" s="27"/>
      <c r="J482" s="2"/>
      <c r="K482" s="2"/>
    </row>
    <row r="483">
      <c r="A483" s="2"/>
      <c r="B483" s="2"/>
      <c r="D483" s="39" t="s">
        <v>358</v>
      </c>
      <c r="E483" s="45" t="s">
        <v>16</v>
      </c>
      <c r="F483" s="45">
        <v>12.5</v>
      </c>
      <c r="G483" s="38">
        <v>23000.0</v>
      </c>
      <c r="H483" s="36">
        <f t="shared" si="57"/>
        <v>287500</v>
      </c>
      <c r="I483" s="27"/>
      <c r="J483" s="2"/>
      <c r="K483" s="2"/>
    </row>
    <row r="484">
      <c r="A484" s="2"/>
      <c r="B484" s="2"/>
      <c r="D484" s="39" t="s">
        <v>359</v>
      </c>
      <c r="E484" s="45" t="s">
        <v>201</v>
      </c>
      <c r="F484" s="45">
        <v>11.0</v>
      </c>
      <c r="G484" s="38">
        <v>260000.0</v>
      </c>
      <c r="H484" s="36">
        <f t="shared" si="57"/>
        <v>2860000</v>
      </c>
      <c r="I484" s="27"/>
      <c r="J484" s="2"/>
      <c r="K484" s="2"/>
    </row>
    <row r="485">
      <c r="A485" s="2"/>
      <c r="B485" s="2"/>
      <c r="D485" s="39" t="s">
        <v>360</v>
      </c>
      <c r="E485" s="45" t="s">
        <v>16</v>
      </c>
      <c r="F485" s="45">
        <v>253.85</v>
      </c>
      <c r="G485" s="38">
        <v>18500.0</v>
      </c>
      <c r="H485" s="36">
        <f t="shared" si="57"/>
        <v>4696225</v>
      </c>
      <c r="I485" s="27"/>
      <c r="J485" s="2"/>
      <c r="K485" s="2"/>
    </row>
    <row r="486">
      <c r="A486" s="2"/>
      <c r="B486" s="2"/>
      <c r="D486" s="39" t="s">
        <v>361</v>
      </c>
      <c r="E486" s="45" t="s">
        <v>16</v>
      </c>
      <c r="F486" s="45">
        <v>256.0</v>
      </c>
      <c r="G486" s="38">
        <v>19500.0</v>
      </c>
      <c r="H486" s="36">
        <f t="shared" si="57"/>
        <v>4992000</v>
      </c>
      <c r="I486" s="27"/>
      <c r="J486" s="2"/>
      <c r="K486" s="2"/>
    </row>
    <row r="487">
      <c r="A487" s="2"/>
      <c r="B487" s="2"/>
      <c r="D487" s="39" t="s">
        <v>362</v>
      </c>
      <c r="E487" s="45" t="s">
        <v>50</v>
      </c>
      <c r="F487" s="45">
        <v>1803.0</v>
      </c>
      <c r="G487" s="38">
        <v>1800.0</v>
      </c>
      <c r="H487" s="36">
        <f t="shared" si="57"/>
        <v>3245400</v>
      </c>
      <c r="I487" s="41"/>
      <c r="J487" s="2"/>
      <c r="K487" s="2"/>
    </row>
    <row r="488">
      <c r="A488" s="2"/>
      <c r="B488" s="2"/>
      <c r="C488" s="34"/>
      <c r="D488" s="22" t="s">
        <v>363</v>
      </c>
      <c r="E488" s="12"/>
      <c r="F488" s="12"/>
      <c r="G488" s="36"/>
      <c r="H488" s="35">
        <v>-400.0</v>
      </c>
      <c r="I488" s="41"/>
      <c r="J488" s="2"/>
      <c r="K488" s="2"/>
    </row>
    <row r="489">
      <c r="A489" s="2"/>
      <c r="B489" s="2"/>
      <c r="C489" s="39"/>
      <c r="D489" s="55" t="s">
        <v>364</v>
      </c>
      <c r="E489" s="56"/>
      <c r="F489" s="56"/>
      <c r="G489" s="57"/>
      <c r="H489" s="58">
        <v>40000.0</v>
      </c>
      <c r="I489" s="41">
        <f>SUM(H481:H489)</f>
        <v>20994975</v>
      </c>
      <c r="J489" s="2"/>
      <c r="K489" s="2"/>
    </row>
    <row r="490">
      <c r="A490" s="2"/>
      <c r="B490" s="2"/>
      <c r="C490" s="39" t="s">
        <v>122</v>
      </c>
      <c r="D490" s="39" t="s">
        <v>365</v>
      </c>
      <c r="E490" s="45" t="s">
        <v>16</v>
      </c>
      <c r="F490" s="45">
        <v>233.1</v>
      </c>
      <c r="G490" s="38">
        <v>18500.0</v>
      </c>
      <c r="H490" s="36">
        <f t="shared" ref="H490:H510" si="59">F490*G490</f>
        <v>4312350</v>
      </c>
      <c r="I490" s="27"/>
      <c r="J490" s="2"/>
      <c r="K490" s="2"/>
    </row>
    <row r="491">
      <c r="A491" s="2"/>
      <c r="B491" s="2"/>
      <c r="D491" s="39" t="s">
        <v>366</v>
      </c>
      <c r="E491" s="45" t="s">
        <v>50</v>
      </c>
      <c r="F491" s="45">
        <v>1120.0</v>
      </c>
      <c r="G491" s="38">
        <v>1800.0</v>
      </c>
      <c r="H491" s="36">
        <f t="shared" si="59"/>
        <v>2016000</v>
      </c>
      <c r="I491" s="27"/>
      <c r="J491" s="2"/>
      <c r="K491" s="2"/>
    </row>
    <row r="492">
      <c r="A492" s="2"/>
      <c r="B492" s="2"/>
      <c r="D492" s="39" t="s">
        <v>367</v>
      </c>
      <c r="E492" s="45" t="s">
        <v>201</v>
      </c>
      <c r="F492" s="45">
        <v>43.0</v>
      </c>
      <c r="G492" s="38">
        <v>260000.0</v>
      </c>
      <c r="H492" s="36">
        <f t="shared" si="59"/>
        <v>11180000</v>
      </c>
      <c r="I492" s="27"/>
      <c r="J492" s="2"/>
      <c r="K492" s="2"/>
    </row>
    <row r="493">
      <c r="A493" s="2"/>
      <c r="B493" s="2"/>
      <c r="D493" s="39" t="s">
        <v>368</v>
      </c>
      <c r="E493" s="45" t="s">
        <v>50</v>
      </c>
      <c r="F493" s="45">
        <v>2080.0</v>
      </c>
      <c r="G493" s="38">
        <v>1800.0</v>
      </c>
      <c r="H493" s="36">
        <f t="shared" si="59"/>
        <v>3744000</v>
      </c>
      <c r="I493" s="27"/>
      <c r="J493" s="2"/>
      <c r="K493" s="2"/>
    </row>
    <row r="494">
      <c r="A494" s="2"/>
      <c r="B494" s="2"/>
      <c r="D494" s="39" t="s">
        <v>369</v>
      </c>
      <c r="E494" s="45" t="s">
        <v>186</v>
      </c>
      <c r="F494" s="45">
        <v>9.0</v>
      </c>
      <c r="G494" s="38">
        <v>335000.0</v>
      </c>
      <c r="H494" s="36">
        <f t="shared" si="59"/>
        <v>3015000</v>
      </c>
      <c r="I494" s="27"/>
      <c r="J494" s="2"/>
      <c r="K494" s="2"/>
    </row>
    <row r="495">
      <c r="A495" s="2"/>
      <c r="B495" s="2"/>
      <c r="D495" s="39" t="s">
        <v>370</v>
      </c>
      <c r="E495" s="45" t="s">
        <v>186</v>
      </c>
      <c r="F495" s="45">
        <v>7.0</v>
      </c>
      <c r="G495" s="38">
        <v>590000.0</v>
      </c>
      <c r="H495" s="36">
        <f t="shared" si="59"/>
        <v>4130000</v>
      </c>
      <c r="I495" s="41">
        <f>SUM(H490:H495)</f>
        <v>28397350</v>
      </c>
      <c r="J495" s="2"/>
      <c r="K495" s="2"/>
    </row>
    <row r="496">
      <c r="A496" s="2"/>
      <c r="B496" s="2"/>
      <c r="C496" s="39" t="s">
        <v>122</v>
      </c>
      <c r="D496" s="39" t="s">
        <v>371</v>
      </c>
      <c r="E496" s="45" t="s">
        <v>50</v>
      </c>
      <c r="F496" s="45">
        <v>2550.0</v>
      </c>
      <c r="G496" s="38">
        <v>1800.0</v>
      </c>
      <c r="H496" s="36">
        <f t="shared" si="59"/>
        <v>4590000</v>
      </c>
      <c r="I496" s="27"/>
      <c r="J496" s="2"/>
      <c r="K496" s="2"/>
    </row>
    <row r="497">
      <c r="A497" s="2"/>
      <c r="B497" s="2"/>
      <c r="D497" s="39" t="s">
        <v>372</v>
      </c>
      <c r="E497" s="45" t="s">
        <v>201</v>
      </c>
      <c r="F497" s="45">
        <v>35.0</v>
      </c>
      <c r="G497" s="38">
        <v>355000.0</v>
      </c>
      <c r="H497" s="36">
        <f t="shared" si="59"/>
        <v>12425000</v>
      </c>
      <c r="I497" s="27"/>
      <c r="J497" s="2"/>
      <c r="K497" s="2"/>
    </row>
    <row r="498">
      <c r="A498" s="2"/>
      <c r="B498" s="2"/>
      <c r="D498" s="39" t="s">
        <v>373</v>
      </c>
      <c r="E498" s="45" t="s">
        <v>16</v>
      </c>
      <c r="F498" s="45">
        <v>154.0</v>
      </c>
      <c r="G498" s="38">
        <v>18500.0</v>
      </c>
      <c r="H498" s="36">
        <f t="shared" si="59"/>
        <v>2849000</v>
      </c>
      <c r="I498" s="27"/>
      <c r="J498" s="2"/>
      <c r="K498" s="2"/>
    </row>
    <row r="499">
      <c r="A499" s="2"/>
      <c r="B499" s="2"/>
      <c r="D499" s="39" t="s">
        <v>374</v>
      </c>
      <c r="E499" s="45" t="s">
        <v>50</v>
      </c>
      <c r="F499" s="45">
        <v>2050.0</v>
      </c>
      <c r="G499" s="38">
        <v>1800.0</v>
      </c>
      <c r="H499" s="36">
        <f t="shared" si="59"/>
        <v>3690000</v>
      </c>
      <c r="I499" s="27"/>
      <c r="J499" s="2"/>
      <c r="K499" s="2"/>
    </row>
    <row r="500">
      <c r="A500" s="2"/>
      <c r="B500" s="2"/>
      <c r="D500" s="39" t="s">
        <v>375</v>
      </c>
      <c r="E500" s="45" t="s">
        <v>50</v>
      </c>
      <c r="F500" s="45">
        <v>3225.0</v>
      </c>
      <c r="G500" s="38">
        <v>1800.0</v>
      </c>
      <c r="H500" s="36">
        <f t="shared" si="59"/>
        <v>5805000</v>
      </c>
      <c r="I500" s="41">
        <f>sum(H496:H500)</f>
        <v>29359000</v>
      </c>
      <c r="J500" s="2"/>
      <c r="K500" s="2"/>
    </row>
    <row r="501">
      <c r="A501" s="2"/>
      <c r="B501" s="2"/>
      <c r="C501" s="31" t="s">
        <v>203</v>
      </c>
      <c r="D501" s="22" t="s">
        <v>376</v>
      </c>
      <c r="E501" s="32" t="s">
        <v>16</v>
      </c>
      <c r="F501" s="32">
        <v>198.0</v>
      </c>
      <c r="G501" s="35">
        <v>33000.0</v>
      </c>
      <c r="H501" s="36">
        <f t="shared" si="59"/>
        <v>6534000</v>
      </c>
      <c r="I501" s="41">
        <f>H501</f>
        <v>6534000</v>
      </c>
      <c r="J501" s="2"/>
      <c r="K501" s="2"/>
    </row>
    <row r="502">
      <c r="A502" s="2"/>
      <c r="B502" s="2"/>
      <c r="C502" s="39" t="s">
        <v>189</v>
      </c>
      <c r="D502" s="39" t="s">
        <v>377</v>
      </c>
      <c r="E502" s="45" t="s">
        <v>16</v>
      </c>
      <c r="F502" s="45">
        <v>63.2</v>
      </c>
      <c r="G502" s="38">
        <v>37000.0</v>
      </c>
      <c r="H502" s="36">
        <f t="shared" si="59"/>
        <v>2338400</v>
      </c>
      <c r="I502" s="27"/>
      <c r="J502" s="2"/>
      <c r="K502" s="2"/>
    </row>
    <row r="503">
      <c r="A503" s="2"/>
      <c r="B503" s="2"/>
      <c r="D503" s="39" t="s">
        <v>378</v>
      </c>
      <c r="E503" s="45" t="s">
        <v>16</v>
      </c>
      <c r="F503" s="45">
        <v>128.0</v>
      </c>
      <c r="G503" s="38">
        <v>29500.0</v>
      </c>
      <c r="H503" s="36">
        <f t="shared" si="59"/>
        <v>3776000</v>
      </c>
      <c r="I503" s="27"/>
      <c r="J503" s="2"/>
      <c r="K503" s="2"/>
    </row>
    <row r="504">
      <c r="A504" s="2"/>
      <c r="B504" s="2"/>
      <c r="D504" s="39" t="s">
        <v>379</v>
      </c>
      <c r="E504" s="45" t="s">
        <v>16</v>
      </c>
      <c r="F504" s="45">
        <v>170.0</v>
      </c>
      <c r="G504" s="38">
        <v>15500.0</v>
      </c>
      <c r="H504" s="36">
        <f t="shared" si="59"/>
        <v>2635000</v>
      </c>
      <c r="I504" s="27"/>
      <c r="J504" s="2"/>
      <c r="K504" s="2"/>
    </row>
    <row r="505">
      <c r="A505" s="2"/>
      <c r="B505" s="2"/>
      <c r="D505" s="39" t="s">
        <v>380</v>
      </c>
      <c r="E505" s="45" t="s">
        <v>50</v>
      </c>
      <c r="F505" s="45">
        <v>1980.0</v>
      </c>
      <c r="G505" s="38">
        <v>1650.0</v>
      </c>
      <c r="H505" s="36">
        <f t="shared" si="59"/>
        <v>3267000</v>
      </c>
      <c r="I505" s="27"/>
      <c r="J505" s="2"/>
      <c r="K505" s="2"/>
    </row>
    <row r="506">
      <c r="A506" s="2"/>
      <c r="B506" s="2"/>
      <c r="D506" s="39" t="s">
        <v>381</v>
      </c>
      <c r="E506" s="45" t="s">
        <v>16</v>
      </c>
      <c r="F506" s="45">
        <v>11.0</v>
      </c>
      <c r="G506" s="38">
        <v>65000.0</v>
      </c>
      <c r="H506" s="36">
        <f t="shared" si="59"/>
        <v>715000</v>
      </c>
      <c r="I506" s="27"/>
      <c r="J506" s="2"/>
      <c r="K506" s="2"/>
    </row>
    <row r="507">
      <c r="A507" s="2"/>
      <c r="B507" s="2"/>
      <c r="D507" s="39" t="s">
        <v>382</v>
      </c>
      <c r="E507" s="45" t="s">
        <v>16</v>
      </c>
      <c r="F507" s="45">
        <v>153.0</v>
      </c>
      <c r="G507" s="38">
        <v>37000.0</v>
      </c>
      <c r="H507" s="36">
        <f t="shared" si="59"/>
        <v>5661000</v>
      </c>
      <c r="I507" s="27">
        <f>sum(H502:H507)</f>
        <v>18392400</v>
      </c>
      <c r="J507" s="2"/>
      <c r="K507" s="2"/>
    </row>
    <row r="508">
      <c r="A508" s="2"/>
      <c r="B508" s="2"/>
      <c r="C508" s="39" t="s">
        <v>106</v>
      </c>
      <c r="D508" s="39" t="s">
        <v>383</v>
      </c>
      <c r="E508" s="45" t="s">
        <v>133</v>
      </c>
      <c r="F508" s="45">
        <v>85.0</v>
      </c>
      <c r="G508" s="38">
        <v>12000.0</v>
      </c>
      <c r="H508" s="36">
        <f t="shared" si="59"/>
        <v>1020000</v>
      </c>
      <c r="I508" s="27"/>
      <c r="J508" s="2"/>
      <c r="K508" s="2"/>
    </row>
    <row r="509">
      <c r="A509" s="2"/>
      <c r="B509" s="2"/>
      <c r="D509" s="39" t="s">
        <v>384</v>
      </c>
      <c r="E509" s="45" t="s">
        <v>16</v>
      </c>
      <c r="F509" s="45">
        <v>100.0</v>
      </c>
      <c r="G509" s="38">
        <v>22000.0</v>
      </c>
      <c r="H509" s="36">
        <f t="shared" si="59"/>
        <v>2200000</v>
      </c>
      <c r="I509" s="27">
        <f>SUM(H508:H509)</f>
        <v>3220000</v>
      </c>
      <c r="J509" s="2"/>
      <c r="K509" s="2"/>
    </row>
    <row r="510">
      <c r="A510" s="2"/>
      <c r="B510" s="2"/>
      <c r="C510" s="34"/>
      <c r="D510" s="22" t="s">
        <v>12</v>
      </c>
      <c r="E510" s="12"/>
      <c r="F510" s="32">
        <v>13.0</v>
      </c>
      <c r="G510" s="35">
        <v>2500.0</v>
      </c>
      <c r="H510" s="36">
        <f t="shared" si="59"/>
        <v>32500</v>
      </c>
      <c r="I510" s="27"/>
      <c r="J510" s="27">
        <f>H510</f>
        <v>32500</v>
      </c>
      <c r="K510" s="2"/>
    </row>
    <row r="511">
      <c r="A511" s="46" t="s">
        <v>385</v>
      </c>
      <c r="B511" s="47"/>
      <c r="C511" s="47"/>
      <c r="D511" s="47"/>
      <c r="E511" s="48"/>
      <c r="F511" s="48"/>
      <c r="G511" s="49"/>
      <c r="H511" s="50" t="s">
        <v>11</v>
      </c>
      <c r="I511" s="51">
        <f t="shared" ref="I511:J511" si="60">SUM(I512:I560)</f>
        <v>65053200</v>
      </c>
      <c r="J511" s="51">
        <f t="shared" si="60"/>
        <v>37500</v>
      </c>
      <c r="K511" s="2"/>
      <c r="L511" s="39">
        <v>7.0</v>
      </c>
      <c r="M511" s="39" t="s">
        <v>165</v>
      </c>
      <c r="N511" s="40">
        <f>I511</f>
        <v>65053200</v>
      </c>
    </row>
    <row r="512">
      <c r="A512" s="2"/>
      <c r="B512" s="2"/>
      <c r="C512" s="39" t="s">
        <v>75</v>
      </c>
      <c r="D512" s="39" t="s">
        <v>386</v>
      </c>
      <c r="E512" s="45" t="s">
        <v>48</v>
      </c>
      <c r="F512" s="45">
        <v>1.0</v>
      </c>
      <c r="G512" s="38">
        <v>92000.0</v>
      </c>
      <c r="H512" s="40">
        <f t="shared" ref="H512:H515" si="61">G512*F512</f>
        <v>92000</v>
      </c>
      <c r="J512" s="2"/>
      <c r="K512" s="2"/>
      <c r="M512" s="39" t="s">
        <v>168</v>
      </c>
      <c r="N512" s="40">
        <f>'Kas Fisik Oprasional'!I153</f>
        <v>9572500</v>
      </c>
    </row>
    <row r="513">
      <c r="A513" s="2"/>
      <c r="B513" s="2"/>
      <c r="D513" s="39" t="s">
        <v>387</v>
      </c>
      <c r="E513" s="45" t="s">
        <v>16</v>
      </c>
      <c r="F513" s="45">
        <v>1.0</v>
      </c>
      <c r="G513" s="38">
        <v>100000.0</v>
      </c>
      <c r="H513" s="40">
        <f t="shared" si="61"/>
        <v>100000</v>
      </c>
      <c r="J513" s="2"/>
      <c r="K513" s="2"/>
      <c r="M513" s="39" t="s">
        <v>242</v>
      </c>
      <c r="N513" s="40">
        <f>'list Reimburse'!I37</f>
        <v>302600</v>
      </c>
    </row>
    <row r="514">
      <c r="A514" s="2"/>
      <c r="B514" s="2"/>
      <c r="D514" s="39" t="s">
        <v>388</v>
      </c>
      <c r="E514" s="45" t="s">
        <v>310</v>
      </c>
      <c r="F514" s="45">
        <v>1.5</v>
      </c>
      <c r="G514" s="38">
        <v>227000.0</v>
      </c>
      <c r="H514" s="40">
        <f t="shared" si="61"/>
        <v>340500</v>
      </c>
      <c r="J514" s="2"/>
      <c r="K514" s="2"/>
      <c r="M514" s="39" t="s">
        <v>345</v>
      </c>
      <c r="N514" s="39" t="s">
        <v>197</v>
      </c>
    </row>
    <row r="515">
      <c r="A515" s="2"/>
      <c r="B515" s="2"/>
      <c r="D515" s="39" t="s">
        <v>389</v>
      </c>
      <c r="E515" s="45" t="s">
        <v>310</v>
      </c>
      <c r="F515" s="45">
        <v>1.0</v>
      </c>
      <c r="G515" s="38">
        <v>88000.0</v>
      </c>
      <c r="H515" s="40">
        <f t="shared" si="61"/>
        <v>88000</v>
      </c>
      <c r="I515" s="54">
        <f>SUM(H512:H515)</f>
        <v>620500</v>
      </c>
      <c r="J515" s="2"/>
      <c r="K515" s="2"/>
      <c r="M515" s="39" t="s">
        <v>12</v>
      </c>
      <c r="N515" s="40">
        <f>J511+'Kas Fisik Oprasional'!J153+'list Reimburse'!J37</f>
        <v>42500</v>
      </c>
    </row>
    <row r="516">
      <c r="A516" s="2"/>
      <c r="B516" s="2"/>
      <c r="C516" s="39" t="s">
        <v>79</v>
      </c>
      <c r="D516" s="39" t="s">
        <v>20</v>
      </c>
      <c r="E516" s="45" t="s">
        <v>16</v>
      </c>
      <c r="F516" s="45">
        <v>4.0</v>
      </c>
      <c r="G516" s="38">
        <v>45000.0</v>
      </c>
      <c r="H516" s="40">
        <f t="shared" ref="H516:H544" si="62">F516*G516</f>
        <v>180000</v>
      </c>
      <c r="J516" s="2"/>
      <c r="K516" s="2"/>
      <c r="M516" s="42" t="s">
        <v>11</v>
      </c>
      <c r="N516" s="40">
        <f>SUM(N511:N515)</f>
        <v>74970800</v>
      </c>
    </row>
    <row r="517">
      <c r="A517" s="2"/>
      <c r="B517" s="2"/>
      <c r="D517" s="39" t="s">
        <v>21</v>
      </c>
      <c r="E517" s="45" t="s">
        <v>16</v>
      </c>
      <c r="F517" s="45">
        <v>4.0</v>
      </c>
      <c r="G517" s="38">
        <v>38000.0</v>
      </c>
      <c r="H517" s="40">
        <f t="shared" si="62"/>
        <v>152000</v>
      </c>
      <c r="J517" s="2"/>
      <c r="K517" s="2"/>
    </row>
    <row r="518">
      <c r="A518" s="2"/>
      <c r="B518" s="2"/>
      <c r="D518" s="39" t="s">
        <v>19</v>
      </c>
      <c r="E518" s="45" t="s">
        <v>16</v>
      </c>
      <c r="F518" s="45">
        <v>1.5</v>
      </c>
      <c r="G518" s="38">
        <v>40000.0</v>
      </c>
      <c r="H518" s="40">
        <f t="shared" si="62"/>
        <v>60000</v>
      </c>
      <c r="I518" s="54">
        <f>SUM(H516:H518)</f>
        <v>392000</v>
      </c>
      <c r="J518" s="2"/>
      <c r="K518" s="2"/>
    </row>
    <row r="519">
      <c r="A519" s="2"/>
      <c r="B519" s="2"/>
      <c r="C519" s="39" t="s">
        <v>25</v>
      </c>
      <c r="D519" s="39" t="s">
        <v>26</v>
      </c>
      <c r="E519" s="45" t="s">
        <v>16</v>
      </c>
      <c r="F519" s="45">
        <v>50.0</v>
      </c>
      <c r="G519" s="38">
        <v>6800.0</v>
      </c>
      <c r="H519" s="40">
        <f t="shared" si="62"/>
        <v>340000</v>
      </c>
      <c r="I519" s="54">
        <f>H519</f>
        <v>340000</v>
      </c>
      <c r="J519" s="2"/>
      <c r="K519" s="2"/>
    </row>
    <row r="520">
      <c r="A520" s="2"/>
      <c r="B520" s="2"/>
      <c r="C520" s="39" t="s">
        <v>214</v>
      </c>
      <c r="D520" s="39" t="s">
        <v>390</v>
      </c>
      <c r="E520" s="45" t="s">
        <v>50</v>
      </c>
      <c r="F520" s="45">
        <v>2600.0</v>
      </c>
      <c r="G520" s="38">
        <v>560.0</v>
      </c>
      <c r="H520" s="40">
        <f t="shared" si="62"/>
        <v>1456000</v>
      </c>
      <c r="J520" s="2"/>
      <c r="K520" s="2"/>
    </row>
    <row r="521">
      <c r="A521" s="2"/>
      <c r="B521" s="2"/>
      <c r="D521" s="39" t="s">
        <v>391</v>
      </c>
      <c r="E521" s="45" t="s">
        <v>50</v>
      </c>
      <c r="F521" s="45">
        <v>1570.0</v>
      </c>
      <c r="G521" s="38">
        <v>560.0</v>
      </c>
      <c r="H521" s="40">
        <f t="shared" si="62"/>
        <v>879200</v>
      </c>
      <c r="J521" s="2"/>
      <c r="K521" s="2"/>
    </row>
    <row r="522">
      <c r="A522" s="2"/>
      <c r="B522" s="2"/>
      <c r="D522" s="39" t="s">
        <v>392</v>
      </c>
      <c r="E522" s="45" t="s">
        <v>50</v>
      </c>
      <c r="F522" s="45">
        <v>2600.0</v>
      </c>
      <c r="G522" s="38">
        <v>550.0</v>
      </c>
      <c r="H522" s="40">
        <f t="shared" si="62"/>
        <v>1430000</v>
      </c>
      <c r="J522" s="2"/>
      <c r="K522" s="2"/>
    </row>
    <row r="523">
      <c r="A523" s="2"/>
      <c r="B523" s="2"/>
      <c r="D523" s="39" t="s">
        <v>393</v>
      </c>
      <c r="E523" s="45" t="s">
        <v>50</v>
      </c>
      <c r="F523" s="45">
        <v>2100.0</v>
      </c>
      <c r="G523" s="38">
        <v>560.0</v>
      </c>
      <c r="H523" s="40">
        <f t="shared" si="62"/>
        <v>1176000</v>
      </c>
      <c r="J523" s="2"/>
      <c r="K523" s="2"/>
    </row>
    <row r="524">
      <c r="A524" s="2"/>
      <c r="B524" s="2"/>
      <c r="D524" s="39" t="s">
        <v>394</v>
      </c>
      <c r="E524" s="45" t="s">
        <v>50</v>
      </c>
      <c r="F524" s="45">
        <v>1920.0</v>
      </c>
      <c r="G524" s="38">
        <v>480.0</v>
      </c>
      <c r="H524" s="40">
        <f t="shared" si="62"/>
        <v>921600</v>
      </c>
      <c r="I524" s="54">
        <f>SUM(H520:H524)</f>
        <v>5862800</v>
      </c>
      <c r="J524" s="2"/>
      <c r="K524" s="2"/>
    </row>
    <row r="525">
      <c r="A525" s="2"/>
      <c r="B525" s="2"/>
      <c r="C525" s="39" t="s">
        <v>113</v>
      </c>
      <c r="D525" s="39" t="s">
        <v>395</v>
      </c>
      <c r="E525" s="45" t="s">
        <v>16</v>
      </c>
      <c r="F525" s="45">
        <v>60.0</v>
      </c>
      <c r="G525" s="38">
        <v>45500.0</v>
      </c>
      <c r="H525" s="40">
        <f t="shared" si="62"/>
        <v>2730000</v>
      </c>
      <c r="K525" s="2"/>
    </row>
    <row r="526">
      <c r="A526" s="2"/>
      <c r="B526" s="2"/>
      <c r="D526" s="39" t="s">
        <v>396</v>
      </c>
      <c r="E526" s="45" t="s">
        <v>16</v>
      </c>
      <c r="F526" s="45">
        <v>85.0</v>
      </c>
      <c r="G526" s="38">
        <v>45500.0</v>
      </c>
      <c r="H526" s="40">
        <f t="shared" si="62"/>
        <v>3867500</v>
      </c>
      <c r="K526" s="2"/>
    </row>
    <row r="527">
      <c r="A527" s="2"/>
      <c r="B527" s="2"/>
      <c r="D527" s="39" t="s">
        <v>397</v>
      </c>
      <c r="E527" s="45" t="s">
        <v>16</v>
      </c>
      <c r="F527" s="45">
        <v>100.0</v>
      </c>
      <c r="G527" s="38">
        <v>45500.0</v>
      </c>
      <c r="H527" s="40">
        <f t="shared" si="62"/>
        <v>4550000</v>
      </c>
      <c r="K527" s="2"/>
    </row>
    <row r="528">
      <c r="A528" s="2"/>
      <c r="B528" s="2"/>
      <c r="D528" s="39" t="s">
        <v>398</v>
      </c>
      <c r="E528" s="45" t="s">
        <v>16</v>
      </c>
      <c r="F528" s="45">
        <v>150.0</v>
      </c>
      <c r="G528" s="38">
        <v>45500.0</v>
      </c>
      <c r="H528" s="40">
        <f t="shared" si="62"/>
        <v>6825000</v>
      </c>
      <c r="I528" s="54">
        <f>SUM(H525:H528)</f>
        <v>17972500</v>
      </c>
      <c r="K528" s="2"/>
    </row>
    <row r="529">
      <c r="A529" s="2"/>
      <c r="B529" s="2"/>
      <c r="C529" s="39" t="s">
        <v>106</v>
      </c>
      <c r="D529" s="39" t="s">
        <v>399</v>
      </c>
      <c r="E529" s="45" t="s">
        <v>133</v>
      </c>
      <c r="F529" s="45">
        <v>24.0</v>
      </c>
      <c r="G529" s="38">
        <v>12000.0</v>
      </c>
      <c r="H529" s="40">
        <f t="shared" si="62"/>
        <v>288000</v>
      </c>
      <c r="K529" s="2"/>
    </row>
    <row r="530">
      <c r="A530" s="2"/>
      <c r="B530" s="2"/>
      <c r="D530" s="39" t="s">
        <v>400</v>
      </c>
      <c r="E530" s="45" t="s">
        <v>133</v>
      </c>
      <c r="F530" s="45">
        <v>50.0</v>
      </c>
      <c r="G530" s="38">
        <v>12000.0</v>
      </c>
      <c r="H530" s="40">
        <f t="shared" si="62"/>
        <v>600000</v>
      </c>
      <c r="I530" s="54">
        <f>SUM(H529:H530)</f>
        <v>888000</v>
      </c>
      <c r="K530" s="2"/>
    </row>
    <row r="531">
      <c r="A531" s="2"/>
      <c r="B531" s="2"/>
      <c r="C531" s="39" t="s">
        <v>401</v>
      </c>
      <c r="D531" s="39" t="s">
        <v>150</v>
      </c>
      <c r="E531" s="45" t="s">
        <v>16</v>
      </c>
      <c r="F531" s="45">
        <v>4.0</v>
      </c>
      <c r="G531" s="38">
        <v>10000.0</v>
      </c>
      <c r="H531" s="40">
        <f t="shared" si="62"/>
        <v>40000</v>
      </c>
      <c r="K531" s="2"/>
    </row>
    <row r="532">
      <c r="A532" s="2"/>
      <c r="B532" s="2"/>
      <c r="D532" s="39" t="s">
        <v>402</v>
      </c>
      <c r="E532" s="45" t="s">
        <v>16</v>
      </c>
      <c r="F532" s="45">
        <v>0.5</v>
      </c>
      <c r="G532" s="38">
        <v>18000.0</v>
      </c>
      <c r="H532" s="40">
        <f t="shared" si="62"/>
        <v>9000</v>
      </c>
      <c r="K532" s="2"/>
    </row>
    <row r="533">
      <c r="A533" s="2"/>
      <c r="B533" s="2"/>
      <c r="D533" s="39" t="s">
        <v>83</v>
      </c>
      <c r="E533" s="45" t="s">
        <v>16</v>
      </c>
      <c r="F533" s="45">
        <v>3.0</v>
      </c>
      <c r="G533" s="38">
        <v>11000.0</v>
      </c>
      <c r="H533" s="40">
        <f t="shared" si="62"/>
        <v>33000</v>
      </c>
      <c r="K533" s="2"/>
    </row>
    <row r="534">
      <c r="A534" s="2"/>
      <c r="B534" s="2"/>
      <c r="D534" s="39" t="s">
        <v>39</v>
      </c>
      <c r="E534" s="45" t="s">
        <v>16</v>
      </c>
      <c r="F534" s="45">
        <v>2.0</v>
      </c>
      <c r="G534" s="38">
        <v>10000.0</v>
      </c>
      <c r="H534" s="40">
        <f t="shared" si="62"/>
        <v>20000</v>
      </c>
      <c r="I534" s="54">
        <f>SUM(H531:H534)</f>
        <v>102000</v>
      </c>
      <c r="K534" s="2"/>
    </row>
    <row r="535">
      <c r="A535" s="2"/>
      <c r="B535" s="2"/>
      <c r="C535" s="39" t="s">
        <v>110</v>
      </c>
      <c r="D535" s="39" t="s">
        <v>403</v>
      </c>
      <c r="E535" s="45" t="s">
        <v>301</v>
      </c>
      <c r="F535" s="45">
        <v>2100.0</v>
      </c>
      <c r="G535" s="38">
        <v>3500.0</v>
      </c>
      <c r="H535" s="40">
        <f t="shared" si="62"/>
        <v>7350000</v>
      </c>
      <c r="K535" s="2"/>
    </row>
    <row r="536">
      <c r="A536" s="2"/>
      <c r="B536" s="2"/>
      <c r="D536" s="39" t="s">
        <v>404</v>
      </c>
      <c r="E536" s="45" t="s">
        <v>301</v>
      </c>
      <c r="F536" s="45">
        <v>2015.0</v>
      </c>
      <c r="G536" s="38">
        <v>3500.0</v>
      </c>
      <c r="H536" s="40">
        <f t="shared" si="62"/>
        <v>7052500</v>
      </c>
      <c r="I536" s="54">
        <f>SUM(H535:H536)</f>
        <v>14402500</v>
      </c>
      <c r="K536" s="2"/>
    </row>
    <row r="537">
      <c r="A537" s="2"/>
      <c r="B537" s="2"/>
      <c r="C537" s="39" t="s">
        <v>122</v>
      </c>
      <c r="D537" s="39" t="s">
        <v>405</v>
      </c>
      <c r="E537" s="45" t="s">
        <v>16</v>
      </c>
      <c r="F537" s="45">
        <v>130.0</v>
      </c>
      <c r="G537" s="38">
        <v>25000.0</v>
      </c>
      <c r="H537" s="40">
        <f t="shared" si="62"/>
        <v>3250000</v>
      </c>
      <c r="K537" s="2"/>
    </row>
    <row r="538">
      <c r="A538" s="2"/>
      <c r="B538" s="2"/>
      <c r="D538" s="39" t="s">
        <v>406</v>
      </c>
      <c r="E538" s="45" t="s">
        <v>16</v>
      </c>
      <c r="F538" s="45">
        <v>56.8</v>
      </c>
      <c r="G538" s="38">
        <v>25000.0</v>
      </c>
      <c r="H538" s="40">
        <f t="shared" si="62"/>
        <v>1420000</v>
      </c>
      <c r="I538" s="54">
        <f>SUM(H537:H538)</f>
        <v>4670000</v>
      </c>
      <c r="K538" s="2"/>
    </row>
    <row r="539">
      <c r="A539" s="2"/>
      <c r="B539" s="2"/>
      <c r="C539" s="39" t="s">
        <v>407</v>
      </c>
      <c r="D539" s="39" t="s">
        <v>408</v>
      </c>
      <c r="E539" s="45" t="s">
        <v>90</v>
      </c>
      <c r="F539" s="45">
        <v>75.0</v>
      </c>
      <c r="G539" s="38">
        <v>10500.0</v>
      </c>
      <c r="H539" s="40">
        <f t="shared" si="62"/>
        <v>787500</v>
      </c>
      <c r="K539" s="2"/>
    </row>
    <row r="540">
      <c r="A540" s="2"/>
      <c r="B540" s="2"/>
      <c r="C540" s="34"/>
      <c r="D540" s="22" t="s">
        <v>409</v>
      </c>
      <c r="E540" s="32" t="s">
        <v>50</v>
      </c>
      <c r="F540" s="32">
        <v>2158.0</v>
      </c>
      <c r="G540" s="35">
        <v>2000.0</v>
      </c>
      <c r="H540" s="40">
        <f t="shared" si="62"/>
        <v>4316000</v>
      </c>
      <c r="I540" s="41">
        <f>SUM(H539:H540)</f>
        <v>5103500</v>
      </c>
      <c r="J540" s="2"/>
      <c r="K540" s="2"/>
    </row>
    <row r="541">
      <c r="A541" s="2"/>
      <c r="B541" s="2"/>
      <c r="C541" s="31" t="s">
        <v>410</v>
      </c>
      <c r="D541" s="22" t="s">
        <v>411</v>
      </c>
      <c r="E541" s="32" t="s">
        <v>16</v>
      </c>
      <c r="F541" s="32">
        <v>125.0</v>
      </c>
      <c r="G541" s="35">
        <v>31000.0</v>
      </c>
      <c r="H541" s="36">
        <f t="shared" si="62"/>
        <v>3875000</v>
      </c>
      <c r="I541" s="41">
        <f>H541</f>
        <v>3875000</v>
      </c>
      <c r="J541" s="2"/>
      <c r="K541" s="2"/>
    </row>
    <row r="542">
      <c r="A542" s="2"/>
      <c r="B542" s="2"/>
      <c r="C542" s="31" t="s">
        <v>44</v>
      </c>
      <c r="D542" s="22" t="s">
        <v>293</v>
      </c>
      <c r="E542" s="32" t="s">
        <v>16</v>
      </c>
      <c r="F542" s="32">
        <v>2.0</v>
      </c>
      <c r="G542" s="35">
        <v>70000.0</v>
      </c>
      <c r="H542" s="36">
        <f t="shared" si="62"/>
        <v>140000</v>
      </c>
      <c r="I542" s="27"/>
      <c r="J542" s="2"/>
      <c r="K542" s="2"/>
    </row>
    <row r="543">
      <c r="A543" s="2"/>
      <c r="B543" s="2"/>
      <c r="C543" s="34"/>
      <c r="D543" s="22" t="s">
        <v>172</v>
      </c>
      <c r="E543" s="32" t="s">
        <v>16</v>
      </c>
      <c r="F543" s="32">
        <v>1.0</v>
      </c>
      <c r="G543" s="35">
        <v>110000.0</v>
      </c>
      <c r="H543" s="36">
        <f t="shared" si="62"/>
        <v>110000</v>
      </c>
      <c r="I543" s="27"/>
      <c r="J543" s="2"/>
      <c r="K543" s="2"/>
    </row>
    <row r="544">
      <c r="A544" s="2"/>
      <c r="B544" s="2"/>
      <c r="C544" s="34"/>
      <c r="D544" s="22" t="s">
        <v>49</v>
      </c>
      <c r="E544" s="32" t="s">
        <v>16</v>
      </c>
      <c r="F544" s="32">
        <v>4.0</v>
      </c>
      <c r="G544" s="35">
        <v>45000.0</v>
      </c>
      <c r="H544" s="36">
        <f t="shared" si="62"/>
        <v>180000</v>
      </c>
      <c r="I544" s="27"/>
      <c r="J544" s="2"/>
      <c r="K544" s="2"/>
    </row>
    <row r="545">
      <c r="A545" s="2"/>
      <c r="B545" s="2"/>
      <c r="C545" s="34"/>
      <c r="D545" s="22" t="s">
        <v>94</v>
      </c>
      <c r="E545" s="32" t="s">
        <v>16</v>
      </c>
      <c r="F545" s="32">
        <v>0.2</v>
      </c>
      <c r="G545" s="35">
        <f>H545/F545</f>
        <v>100000</v>
      </c>
      <c r="H545" s="35">
        <v>20000.0</v>
      </c>
      <c r="I545" s="27"/>
      <c r="J545" s="2"/>
      <c r="K545" s="2"/>
    </row>
    <row r="546">
      <c r="A546" s="2"/>
      <c r="B546" s="2"/>
      <c r="C546" s="34"/>
      <c r="D546" s="22" t="s">
        <v>297</v>
      </c>
      <c r="E546" s="32" t="s">
        <v>16</v>
      </c>
      <c r="F546" s="32">
        <v>6.0</v>
      </c>
      <c r="G546" s="35">
        <v>24000.0</v>
      </c>
      <c r="H546" s="36">
        <f t="shared" ref="H546:H560" si="63">F546*G546</f>
        <v>144000</v>
      </c>
      <c r="I546" s="27"/>
      <c r="J546" s="2"/>
      <c r="K546" s="2"/>
    </row>
    <row r="547">
      <c r="A547" s="2"/>
      <c r="B547" s="2"/>
      <c r="C547" s="34"/>
      <c r="D547" s="22" t="s">
        <v>159</v>
      </c>
      <c r="E547" s="32" t="s">
        <v>48</v>
      </c>
      <c r="F547" s="32">
        <v>1.0</v>
      </c>
      <c r="G547" s="35">
        <v>52000.0</v>
      </c>
      <c r="H547" s="36">
        <f t="shared" si="63"/>
        <v>52000</v>
      </c>
      <c r="I547" s="27"/>
      <c r="J547" s="2"/>
      <c r="K547" s="2"/>
    </row>
    <row r="548">
      <c r="A548" s="2"/>
      <c r="B548" s="2"/>
      <c r="C548" s="34"/>
      <c r="D548" s="22" t="s">
        <v>102</v>
      </c>
      <c r="E548" s="32" t="s">
        <v>59</v>
      </c>
      <c r="F548" s="32">
        <v>1.0</v>
      </c>
      <c r="G548" s="35">
        <v>225000.0</v>
      </c>
      <c r="H548" s="36">
        <f t="shared" si="63"/>
        <v>225000</v>
      </c>
      <c r="I548" s="27"/>
      <c r="J548" s="2"/>
      <c r="K548" s="2"/>
    </row>
    <row r="549">
      <c r="A549" s="2"/>
      <c r="B549" s="2"/>
      <c r="C549" s="34"/>
      <c r="D549" s="22" t="s">
        <v>102</v>
      </c>
      <c r="E549" s="32" t="s">
        <v>16</v>
      </c>
      <c r="F549" s="32">
        <v>24.0</v>
      </c>
      <c r="G549" s="35">
        <v>11250.0</v>
      </c>
      <c r="H549" s="36">
        <f t="shared" si="63"/>
        <v>270000</v>
      </c>
      <c r="I549" s="27"/>
      <c r="J549" s="2"/>
      <c r="K549" s="2"/>
    </row>
    <row r="550">
      <c r="A550" s="2"/>
      <c r="B550" s="2"/>
      <c r="C550" s="34"/>
      <c r="D550" s="22" t="s">
        <v>297</v>
      </c>
      <c r="E550" s="32" t="s">
        <v>50</v>
      </c>
      <c r="F550" s="32">
        <v>6.0</v>
      </c>
      <c r="G550" s="35">
        <v>24000.0</v>
      </c>
      <c r="H550" s="36">
        <f t="shared" si="63"/>
        <v>144000</v>
      </c>
      <c r="I550" s="27"/>
      <c r="J550" s="2"/>
      <c r="K550" s="2"/>
    </row>
    <row r="551">
      <c r="A551" s="2"/>
      <c r="B551" s="2"/>
      <c r="C551" s="34"/>
      <c r="D551" s="22" t="s">
        <v>412</v>
      </c>
      <c r="E551" s="32" t="s">
        <v>50</v>
      </c>
      <c r="F551" s="32">
        <v>2.0</v>
      </c>
      <c r="G551" s="35">
        <v>18500.0</v>
      </c>
      <c r="H551" s="36">
        <f t="shared" si="63"/>
        <v>37000</v>
      </c>
      <c r="I551" s="41">
        <f>SUM(H542:H551)</f>
        <v>1322000</v>
      </c>
      <c r="J551" s="2"/>
      <c r="K551" s="2"/>
    </row>
    <row r="552">
      <c r="A552" s="2"/>
      <c r="B552" s="2"/>
      <c r="C552" s="39" t="s">
        <v>113</v>
      </c>
      <c r="D552" s="39" t="s">
        <v>413</v>
      </c>
      <c r="E552" s="45" t="s">
        <v>16</v>
      </c>
      <c r="F552" s="45">
        <v>223.6</v>
      </c>
      <c r="G552" s="38">
        <v>29000.0</v>
      </c>
      <c r="H552" s="36">
        <f t="shared" si="63"/>
        <v>6484400</v>
      </c>
      <c r="I552" s="41">
        <f>H552</f>
        <v>6484400</v>
      </c>
      <c r="J552" s="2"/>
      <c r="K552" s="2"/>
    </row>
    <row r="553">
      <c r="A553" s="2"/>
      <c r="B553" s="2"/>
      <c r="C553" s="31" t="s">
        <v>178</v>
      </c>
      <c r="D553" s="22" t="s">
        <v>30</v>
      </c>
      <c r="E553" s="45" t="s">
        <v>16</v>
      </c>
      <c r="F553" s="32">
        <v>6.0</v>
      </c>
      <c r="G553" s="35">
        <v>75000.0</v>
      </c>
      <c r="H553" s="36">
        <f t="shared" si="63"/>
        <v>450000</v>
      </c>
      <c r="I553" s="41"/>
      <c r="J553" s="2"/>
      <c r="K553" s="2"/>
    </row>
    <row r="554">
      <c r="A554" s="2"/>
      <c r="B554" s="2"/>
      <c r="C554" s="34"/>
      <c r="D554" s="22" t="s">
        <v>85</v>
      </c>
      <c r="E554" s="45" t="s">
        <v>16</v>
      </c>
      <c r="F554" s="32">
        <v>2.0</v>
      </c>
      <c r="G554" s="35">
        <v>18000.0</v>
      </c>
      <c r="H554" s="36">
        <f t="shared" si="63"/>
        <v>36000</v>
      </c>
      <c r="I554" s="41"/>
      <c r="J554" s="2"/>
      <c r="K554" s="2"/>
    </row>
    <row r="555">
      <c r="A555" s="2"/>
      <c r="B555" s="2"/>
      <c r="C555" s="34"/>
      <c r="D555" s="22" t="s">
        <v>414</v>
      </c>
      <c r="E555" s="45" t="s">
        <v>16</v>
      </c>
      <c r="F555" s="32">
        <v>45.0</v>
      </c>
      <c r="G555" s="35">
        <v>10000.0</v>
      </c>
      <c r="H555" s="36">
        <f t="shared" si="63"/>
        <v>450000</v>
      </c>
      <c r="I555" s="41"/>
      <c r="J555" s="2"/>
      <c r="K555" s="2"/>
    </row>
    <row r="556">
      <c r="A556" s="2"/>
      <c r="B556" s="2"/>
      <c r="C556" s="34"/>
      <c r="D556" s="22" t="s">
        <v>34</v>
      </c>
      <c r="E556" s="45" t="s">
        <v>16</v>
      </c>
      <c r="F556" s="32">
        <v>20.0</v>
      </c>
      <c r="G556" s="35">
        <v>8000.0</v>
      </c>
      <c r="H556" s="36">
        <f t="shared" si="63"/>
        <v>160000</v>
      </c>
      <c r="I556" s="41"/>
      <c r="J556" s="2"/>
      <c r="K556" s="2"/>
    </row>
    <row r="557">
      <c r="A557" s="2"/>
      <c r="B557" s="2"/>
      <c r="C557" s="34"/>
      <c r="D557" s="22" t="s">
        <v>35</v>
      </c>
      <c r="E557" s="45" t="s">
        <v>16</v>
      </c>
      <c r="F557" s="32">
        <v>113.0</v>
      </c>
      <c r="G557" s="35">
        <v>14000.0</v>
      </c>
      <c r="H557" s="36">
        <f t="shared" si="63"/>
        <v>1582000</v>
      </c>
      <c r="I557" s="41">
        <f>SUM(H553:H557)</f>
        <v>2678000</v>
      </c>
      <c r="J557" s="2"/>
      <c r="K557" s="2"/>
    </row>
    <row r="558">
      <c r="A558" s="2"/>
      <c r="B558" s="2"/>
      <c r="C558" s="31" t="s">
        <v>415</v>
      </c>
      <c r="D558" s="22" t="s">
        <v>43</v>
      </c>
      <c r="E558" s="32" t="s">
        <v>16</v>
      </c>
      <c r="F558" s="32">
        <v>25.0</v>
      </c>
      <c r="G558" s="35">
        <v>12000.0</v>
      </c>
      <c r="H558" s="36">
        <f t="shared" si="63"/>
        <v>300000</v>
      </c>
      <c r="I558" s="41"/>
      <c r="J558" s="2"/>
      <c r="K558" s="2"/>
    </row>
    <row r="559">
      <c r="A559" s="2"/>
      <c r="B559" s="2"/>
      <c r="C559" s="34"/>
      <c r="D559" s="22" t="s">
        <v>416</v>
      </c>
      <c r="E559" s="32" t="s">
        <v>16</v>
      </c>
      <c r="F559" s="32">
        <v>1.0</v>
      </c>
      <c r="G559" s="35">
        <v>40000.0</v>
      </c>
      <c r="H559" s="36">
        <f t="shared" si="63"/>
        <v>40000</v>
      </c>
      <c r="I559" s="41">
        <f>SUM(H558:H559)</f>
        <v>340000</v>
      </c>
      <c r="J559" s="2"/>
      <c r="K559" s="2"/>
    </row>
    <row r="560">
      <c r="A560" s="2"/>
      <c r="B560" s="2"/>
      <c r="C560" s="34"/>
      <c r="D560" s="22" t="s">
        <v>12</v>
      </c>
      <c r="E560" s="12"/>
      <c r="F560" s="32">
        <v>15.0</v>
      </c>
      <c r="G560" s="35">
        <v>2500.0</v>
      </c>
      <c r="H560" s="36">
        <f t="shared" si="63"/>
        <v>37500</v>
      </c>
      <c r="I560" s="27"/>
      <c r="J560" s="27">
        <f>H560</f>
        <v>37500</v>
      </c>
      <c r="K560" s="2"/>
    </row>
    <row r="561">
      <c r="A561" s="46" t="s">
        <v>417</v>
      </c>
      <c r="B561" s="47"/>
      <c r="C561" s="47"/>
      <c r="D561" s="47"/>
      <c r="E561" s="48"/>
      <c r="F561" s="48"/>
      <c r="G561" s="49"/>
      <c r="H561" s="50" t="s">
        <v>11</v>
      </c>
      <c r="I561" s="51">
        <f>SUM(I562:I595)</f>
        <v>29932500</v>
      </c>
      <c r="J561" s="51">
        <f>SUM(J562:J610)</f>
        <v>42500</v>
      </c>
      <c r="K561" s="2"/>
      <c r="L561" s="39">
        <v>8.0</v>
      </c>
      <c r="M561" s="39" t="s">
        <v>165</v>
      </c>
      <c r="N561" s="40">
        <f>I561</f>
        <v>29932500</v>
      </c>
    </row>
    <row r="562">
      <c r="A562" s="2"/>
      <c r="B562" s="2"/>
      <c r="C562" s="31" t="s">
        <v>122</v>
      </c>
      <c r="D562" s="22" t="s">
        <v>418</v>
      </c>
      <c r="E562" s="32" t="s">
        <v>16</v>
      </c>
      <c r="F562" s="32">
        <v>150.0</v>
      </c>
      <c r="G562" s="35">
        <v>18500.0</v>
      </c>
      <c r="H562" s="36">
        <f t="shared" ref="H562:H595" si="64">F562*G562</f>
        <v>2775000</v>
      </c>
      <c r="I562" s="27"/>
      <c r="J562" s="2"/>
      <c r="K562" s="2"/>
      <c r="M562" s="39" t="s">
        <v>168</v>
      </c>
      <c r="N562" s="40">
        <f>'Kas Fisik Oprasional'!I164</f>
        <v>7875000</v>
      </c>
    </row>
    <row r="563">
      <c r="A563" s="2"/>
      <c r="B563" s="2"/>
      <c r="C563" s="34"/>
      <c r="D563" s="22" t="s">
        <v>419</v>
      </c>
      <c r="E563" s="32" t="s">
        <v>50</v>
      </c>
      <c r="F563" s="32">
        <v>2065.0</v>
      </c>
      <c r="G563" s="35">
        <v>1800.0</v>
      </c>
      <c r="H563" s="36">
        <f t="shared" si="64"/>
        <v>3717000</v>
      </c>
      <c r="I563" s="41">
        <f>SUM(H562:H563)</f>
        <v>6492000</v>
      </c>
      <c r="J563" s="2"/>
      <c r="K563" s="2"/>
      <c r="M563" s="39" t="s">
        <v>242</v>
      </c>
      <c r="N563" s="39" t="s">
        <v>197</v>
      </c>
    </row>
    <row r="564">
      <c r="A564" s="2"/>
      <c r="B564" s="2"/>
      <c r="C564" s="39" t="s">
        <v>420</v>
      </c>
      <c r="D564" s="39" t="s">
        <v>421</v>
      </c>
      <c r="E564" s="45" t="s">
        <v>50</v>
      </c>
      <c r="F564" s="45">
        <v>1980.0</v>
      </c>
      <c r="G564" s="38">
        <v>500.0</v>
      </c>
      <c r="H564" s="36">
        <f t="shared" si="64"/>
        <v>990000</v>
      </c>
      <c r="I564" s="27"/>
      <c r="J564" s="2"/>
      <c r="K564" s="2"/>
      <c r="M564" s="39" t="s">
        <v>345</v>
      </c>
      <c r="N564" s="39" t="s">
        <v>197</v>
      </c>
    </row>
    <row r="565">
      <c r="A565" s="2"/>
      <c r="B565" s="2"/>
      <c r="D565" s="39" t="s">
        <v>422</v>
      </c>
      <c r="E565" s="45" t="s">
        <v>133</v>
      </c>
      <c r="F565" s="45">
        <v>56.0</v>
      </c>
      <c r="G565" s="38">
        <v>12000.0</v>
      </c>
      <c r="H565" s="36">
        <f t="shared" si="64"/>
        <v>672000</v>
      </c>
      <c r="I565" s="27"/>
      <c r="J565" s="2"/>
      <c r="K565" s="2"/>
      <c r="M565" s="39" t="s">
        <v>12</v>
      </c>
      <c r="N565" s="40">
        <f>J561+'Kas Fisik Oprasional'!J164</f>
        <v>45000</v>
      </c>
    </row>
    <row r="566">
      <c r="A566" s="2"/>
      <c r="B566" s="2"/>
      <c r="D566" s="39" t="s">
        <v>423</v>
      </c>
      <c r="E566" s="45" t="s">
        <v>50</v>
      </c>
      <c r="F566" s="45">
        <v>1980.0</v>
      </c>
      <c r="G566" s="38">
        <v>500.0</v>
      </c>
      <c r="H566" s="36">
        <f t="shared" si="64"/>
        <v>990000</v>
      </c>
      <c r="I566" s="27"/>
      <c r="J566" s="2"/>
      <c r="K566" s="2"/>
      <c r="M566" s="42" t="s">
        <v>11</v>
      </c>
      <c r="N566" s="40">
        <f>SUM(N561:N565)</f>
        <v>37852500</v>
      </c>
    </row>
    <row r="567">
      <c r="A567" s="2"/>
      <c r="B567" s="2"/>
      <c r="D567" s="39" t="s">
        <v>424</v>
      </c>
      <c r="E567" s="45" t="s">
        <v>133</v>
      </c>
      <c r="F567" s="45">
        <v>56.0</v>
      </c>
      <c r="G567" s="38">
        <v>12000.0</v>
      </c>
      <c r="H567" s="36">
        <f t="shared" si="64"/>
        <v>672000</v>
      </c>
      <c r="I567" s="41">
        <f>SUM(H564:H567)</f>
        <v>3324000</v>
      </c>
      <c r="J567" s="2"/>
      <c r="K567" s="2"/>
    </row>
    <row r="568">
      <c r="A568" s="2"/>
      <c r="B568" s="2"/>
      <c r="C568" s="39" t="s">
        <v>189</v>
      </c>
      <c r="D568" s="39" t="s">
        <v>425</v>
      </c>
      <c r="E568" s="45" t="s">
        <v>16</v>
      </c>
      <c r="F568" s="45">
        <v>125.0</v>
      </c>
      <c r="G568" s="38">
        <v>70000.0</v>
      </c>
      <c r="H568" s="36">
        <f t="shared" si="64"/>
        <v>8750000</v>
      </c>
      <c r="I568" s="41">
        <f>H568</f>
        <v>8750000</v>
      </c>
      <c r="J568" s="2"/>
      <c r="K568" s="2"/>
    </row>
    <row r="569">
      <c r="A569" s="2"/>
      <c r="B569" s="2"/>
      <c r="C569" s="31" t="s">
        <v>27</v>
      </c>
      <c r="D569" s="22" t="s">
        <v>35</v>
      </c>
      <c r="E569" s="45" t="s">
        <v>16</v>
      </c>
      <c r="F569" s="32">
        <v>79.0</v>
      </c>
      <c r="G569" s="35">
        <v>14000.0</v>
      </c>
      <c r="H569" s="36">
        <f t="shared" si="64"/>
        <v>1106000</v>
      </c>
      <c r="I569" s="27"/>
      <c r="J569" s="2"/>
      <c r="K569" s="2"/>
    </row>
    <row r="570">
      <c r="A570" s="2"/>
      <c r="B570" s="2"/>
      <c r="C570" s="34"/>
      <c r="D570" s="22" t="s">
        <v>87</v>
      </c>
      <c r="E570" s="45" t="s">
        <v>16</v>
      </c>
      <c r="F570" s="32">
        <v>28.0</v>
      </c>
      <c r="G570" s="35">
        <v>8000.0</v>
      </c>
      <c r="H570" s="36">
        <f t="shared" si="64"/>
        <v>224000</v>
      </c>
      <c r="I570" s="27"/>
      <c r="J570" s="2"/>
      <c r="K570" s="2"/>
    </row>
    <row r="571">
      <c r="A571" s="2"/>
      <c r="B571" s="2"/>
      <c r="C571" s="34"/>
      <c r="D571" s="22" t="s">
        <v>29</v>
      </c>
      <c r="E571" s="45" t="s">
        <v>16</v>
      </c>
      <c r="F571" s="32">
        <v>5.0</v>
      </c>
      <c r="G571" s="35">
        <v>55000.0</v>
      </c>
      <c r="H571" s="36">
        <f t="shared" si="64"/>
        <v>275000</v>
      </c>
      <c r="I571" s="27"/>
      <c r="J571" s="2"/>
      <c r="K571" s="2"/>
    </row>
    <row r="572">
      <c r="A572" s="2"/>
      <c r="B572" s="2"/>
      <c r="C572" s="34"/>
      <c r="D572" s="22" t="s">
        <v>354</v>
      </c>
      <c r="E572" s="45" t="s">
        <v>16</v>
      </c>
      <c r="F572" s="32">
        <v>8.0</v>
      </c>
      <c r="G572" s="35">
        <v>45000.0</v>
      </c>
      <c r="H572" s="36">
        <f t="shared" si="64"/>
        <v>360000</v>
      </c>
      <c r="I572" s="27"/>
      <c r="J572" s="2"/>
      <c r="K572" s="2"/>
    </row>
    <row r="573">
      <c r="A573" s="2"/>
      <c r="B573" s="2"/>
      <c r="C573" s="34"/>
      <c r="D573" s="22" t="s">
        <v>36</v>
      </c>
      <c r="E573" s="45" t="s">
        <v>16</v>
      </c>
      <c r="F573" s="32">
        <v>40.0</v>
      </c>
      <c r="G573" s="35">
        <v>9000.0</v>
      </c>
      <c r="H573" s="36">
        <f t="shared" si="64"/>
        <v>360000</v>
      </c>
      <c r="I573" s="27"/>
      <c r="J573" s="2"/>
      <c r="K573" s="2"/>
    </row>
    <row r="574">
      <c r="A574" s="2"/>
      <c r="B574" s="2"/>
      <c r="C574" s="34"/>
      <c r="D574" s="22" t="s">
        <v>80</v>
      </c>
      <c r="E574" s="45" t="s">
        <v>16</v>
      </c>
      <c r="F574" s="32">
        <v>1.5</v>
      </c>
      <c r="G574" s="35">
        <v>35000.0</v>
      </c>
      <c r="H574" s="36">
        <f t="shared" si="64"/>
        <v>52500</v>
      </c>
      <c r="I574" s="27"/>
      <c r="J574" s="2"/>
      <c r="K574" s="2"/>
    </row>
    <row r="575">
      <c r="A575" s="2"/>
      <c r="B575" s="2"/>
      <c r="C575" s="34"/>
      <c r="D575" s="22" t="s">
        <v>38</v>
      </c>
      <c r="E575" s="45" t="s">
        <v>16</v>
      </c>
      <c r="F575" s="32">
        <v>1.0</v>
      </c>
      <c r="G575" s="35">
        <v>12000.0</v>
      </c>
      <c r="H575" s="36">
        <f t="shared" si="64"/>
        <v>12000</v>
      </c>
      <c r="I575" s="27"/>
      <c r="J575" s="2"/>
      <c r="K575" s="2"/>
    </row>
    <row r="576">
      <c r="A576" s="2"/>
      <c r="B576" s="2"/>
      <c r="C576" s="34"/>
      <c r="D576" s="22" t="s">
        <v>39</v>
      </c>
      <c r="E576" s="45" t="s">
        <v>16</v>
      </c>
      <c r="F576" s="32">
        <v>3.0</v>
      </c>
      <c r="G576" s="35">
        <v>10000.0</v>
      </c>
      <c r="H576" s="36">
        <f t="shared" si="64"/>
        <v>30000</v>
      </c>
      <c r="I576" s="27"/>
      <c r="J576" s="2"/>
      <c r="K576" s="2"/>
    </row>
    <row r="577">
      <c r="A577" s="2"/>
      <c r="B577" s="2"/>
      <c r="C577" s="34"/>
      <c r="D577" s="22" t="s">
        <v>41</v>
      </c>
      <c r="E577" s="45" t="s">
        <v>426</v>
      </c>
      <c r="F577" s="32">
        <v>1.0</v>
      </c>
      <c r="G577" s="35">
        <v>10000.0</v>
      </c>
      <c r="H577" s="36">
        <f t="shared" si="64"/>
        <v>10000</v>
      </c>
      <c r="I577" s="27"/>
      <c r="J577" s="2"/>
      <c r="K577" s="2"/>
    </row>
    <row r="578">
      <c r="A578" s="2"/>
      <c r="B578" s="2"/>
      <c r="C578" s="34"/>
      <c r="D578" s="22" t="s">
        <v>34</v>
      </c>
      <c r="E578" s="45" t="s">
        <v>16</v>
      </c>
      <c r="F578" s="32">
        <v>50.0</v>
      </c>
      <c r="G578" s="35">
        <v>8000.0</v>
      </c>
      <c r="H578" s="36">
        <f t="shared" si="64"/>
        <v>400000</v>
      </c>
      <c r="I578" s="27"/>
      <c r="J578" s="2"/>
      <c r="K578" s="2"/>
    </row>
    <row r="579">
      <c r="A579" s="2"/>
      <c r="B579" s="2"/>
      <c r="C579" s="34"/>
      <c r="D579" s="22" t="s">
        <v>32</v>
      </c>
      <c r="E579" s="45" t="s">
        <v>16</v>
      </c>
      <c r="F579" s="32">
        <v>0.5</v>
      </c>
      <c r="G579" s="35">
        <v>20000.0</v>
      </c>
      <c r="H579" s="36">
        <f t="shared" si="64"/>
        <v>10000</v>
      </c>
      <c r="I579" s="41">
        <f>SUM(H569:H579)</f>
        <v>2839500</v>
      </c>
      <c r="J579" s="2"/>
      <c r="K579" s="2"/>
    </row>
    <row r="580">
      <c r="A580" s="2"/>
      <c r="B580" s="2"/>
      <c r="C580" s="31" t="s">
        <v>25</v>
      </c>
      <c r="D580" s="22" t="s">
        <v>26</v>
      </c>
      <c r="E580" s="32" t="s">
        <v>16</v>
      </c>
      <c r="F580" s="32">
        <v>90.0</v>
      </c>
      <c r="G580" s="35">
        <v>5800.0</v>
      </c>
      <c r="H580" s="36">
        <f t="shared" si="64"/>
        <v>522000</v>
      </c>
      <c r="I580" s="41">
        <f t="shared" ref="I580:I582" si="65">H580</f>
        <v>522000</v>
      </c>
      <c r="J580" s="2"/>
      <c r="K580" s="2"/>
    </row>
    <row r="581">
      <c r="A581" s="2"/>
      <c r="B581" s="2"/>
      <c r="C581" s="31" t="s">
        <v>203</v>
      </c>
      <c r="D581" s="22" t="s">
        <v>427</v>
      </c>
      <c r="E581" s="32" t="s">
        <v>16</v>
      </c>
      <c r="F581" s="32">
        <v>170.0</v>
      </c>
      <c r="G581" s="35">
        <v>31000.0</v>
      </c>
      <c r="H581" s="36">
        <f t="shared" si="64"/>
        <v>5270000</v>
      </c>
      <c r="I581" s="41">
        <f t="shared" si="65"/>
        <v>5270000</v>
      </c>
      <c r="J581" s="2"/>
      <c r="K581" s="2"/>
    </row>
    <row r="582">
      <c r="A582" s="2"/>
      <c r="B582" s="2"/>
      <c r="C582" s="31" t="s">
        <v>428</v>
      </c>
      <c r="D582" s="22" t="s">
        <v>429</v>
      </c>
      <c r="E582" s="32" t="s">
        <v>133</v>
      </c>
      <c r="F582" s="32">
        <v>75.0</v>
      </c>
      <c r="G582" s="35">
        <v>9600.0</v>
      </c>
      <c r="H582" s="36">
        <f t="shared" si="64"/>
        <v>720000</v>
      </c>
      <c r="I582" s="41">
        <f t="shared" si="65"/>
        <v>720000</v>
      </c>
      <c r="J582" s="2"/>
      <c r="K582" s="2"/>
    </row>
    <row r="583">
      <c r="A583" s="2"/>
      <c r="B583" s="2"/>
      <c r="C583" s="31" t="s">
        <v>44</v>
      </c>
      <c r="D583" s="22" t="s">
        <v>174</v>
      </c>
      <c r="E583" s="32" t="s">
        <v>16</v>
      </c>
      <c r="F583" s="32">
        <v>6.5</v>
      </c>
      <c r="G583" s="35">
        <v>42000.0</v>
      </c>
      <c r="H583" s="36">
        <f t="shared" si="64"/>
        <v>273000</v>
      </c>
      <c r="I583" s="27"/>
      <c r="J583" s="2"/>
      <c r="K583" s="2"/>
    </row>
    <row r="584">
      <c r="A584" s="2"/>
      <c r="B584" s="2"/>
      <c r="C584" s="34"/>
      <c r="D584" s="22" t="s">
        <v>95</v>
      </c>
      <c r="E584" s="32" t="s">
        <v>16</v>
      </c>
      <c r="F584" s="32">
        <v>4.0</v>
      </c>
      <c r="G584" s="35">
        <v>17000.0</v>
      </c>
      <c r="H584" s="36">
        <f t="shared" si="64"/>
        <v>68000</v>
      </c>
      <c r="I584" s="27"/>
      <c r="J584" s="2"/>
      <c r="K584" s="2"/>
    </row>
    <row r="585">
      <c r="A585" s="2"/>
      <c r="B585" s="2"/>
      <c r="C585" s="34"/>
      <c r="D585" s="22" t="s">
        <v>172</v>
      </c>
      <c r="E585" s="32" t="s">
        <v>16</v>
      </c>
      <c r="F585" s="32">
        <v>1.0</v>
      </c>
      <c r="G585" s="35">
        <v>110000.0</v>
      </c>
      <c r="H585" s="36">
        <f t="shared" si="64"/>
        <v>110000</v>
      </c>
      <c r="I585" s="27"/>
      <c r="J585" s="2"/>
      <c r="K585" s="2"/>
    </row>
    <row r="586">
      <c r="A586" s="2"/>
      <c r="B586" s="2"/>
      <c r="C586" s="34"/>
      <c r="D586" s="22" t="s">
        <v>45</v>
      </c>
      <c r="E586" s="32" t="s">
        <v>16</v>
      </c>
      <c r="F586" s="32">
        <v>2.0</v>
      </c>
      <c r="G586" s="35">
        <v>19000.0</v>
      </c>
      <c r="H586" s="36">
        <f t="shared" si="64"/>
        <v>38000</v>
      </c>
      <c r="I586" s="27"/>
      <c r="J586" s="2"/>
      <c r="K586" s="2"/>
    </row>
    <row r="587">
      <c r="A587" s="2"/>
      <c r="B587" s="2"/>
      <c r="C587" s="34"/>
      <c r="D587" s="22" t="s">
        <v>174</v>
      </c>
      <c r="E587" s="32" t="s">
        <v>16</v>
      </c>
      <c r="F587" s="32">
        <v>3.0</v>
      </c>
      <c r="G587" s="35">
        <v>42000.0</v>
      </c>
      <c r="H587" s="36">
        <f t="shared" si="64"/>
        <v>126000</v>
      </c>
      <c r="I587" s="27"/>
      <c r="J587" s="2"/>
      <c r="K587" s="2"/>
    </row>
    <row r="588">
      <c r="A588" s="2"/>
      <c r="B588" s="2"/>
      <c r="C588" s="34"/>
      <c r="D588" s="22" t="s">
        <v>49</v>
      </c>
      <c r="E588" s="32" t="s">
        <v>16</v>
      </c>
      <c r="F588" s="32">
        <v>2.0</v>
      </c>
      <c r="G588" s="35">
        <v>46000.0</v>
      </c>
      <c r="H588" s="36">
        <f t="shared" si="64"/>
        <v>92000</v>
      </c>
      <c r="I588" s="27"/>
      <c r="J588" s="2"/>
      <c r="K588" s="2"/>
    </row>
    <row r="589">
      <c r="A589" s="2"/>
      <c r="B589" s="2"/>
      <c r="C589" s="34"/>
      <c r="D589" s="22" t="s">
        <v>430</v>
      </c>
      <c r="E589" s="32" t="s">
        <v>16</v>
      </c>
      <c r="F589" s="32">
        <v>2.0</v>
      </c>
      <c r="G589" s="35">
        <v>95000.0</v>
      </c>
      <c r="H589" s="36">
        <f t="shared" si="64"/>
        <v>190000</v>
      </c>
      <c r="I589" s="27"/>
      <c r="J589" s="2"/>
      <c r="K589" s="2"/>
    </row>
    <row r="590">
      <c r="A590" s="2"/>
      <c r="B590" s="2"/>
      <c r="C590" s="34"/>
      <c r="D590" s="22" t="s">
        <v>98</v>
      </c>
      <c r="E590" s="32" t="s">
        <v>16</v>
      </c>
      <c r="F590" s="32">
        <v>1.0</v>
      </c>
      <c r="G590" s="35">
        <v>32000.0</v>
      </c>
      <c r="H590" s="36">
        <f t="shared" si="64"/>
        <v>32000</v>
      </c>
      <c r="I590" s="27"/>
      <c r="J590" s="2"/>
      <c r="K590" s="2"/>
    </row>
    <row r="591">
      <c r="A591" s="2"/>
      <c r="B591" s="2"/>
      <c r="C591" s="34"/>
      <c r="D591" s="22" t="s">
        <v>259</v>
      </c>
      <c r="E591" s="32" t="s">
        <v>54</v>
      </c>
      <c r="F591" s="32">
        <v>2.0</v>
      </c>
      <c r="G591" s="35">
        <v>190000.0</v>
      </c>
      <c r="H591" s="36">
        <f t="shared" si="64"/>
        <v>380000</v>
      </c>
      <c r="I591" s="27"/>
      <c r="J591" s="2"/>
      <c r="K591" s="2"/>
    </row>
    <row r="592">
      <c r="A592" s="2"/>
      <c r="B592" s="2"/>
      <c r="C592" s="34"/>
      <c r="D592" s="22" t="s">
        <v>431</v>
      </c>
      <c r="E592" s="32" t="s">
        <v>16</v>
      </c>
      <c r="F592" s="32">
        <v>1.0</v>
      </c>
      <c r="G592" s="35">
        <v>115000.0</v>
      </c>
      <c r="H592" s="36">
        <f t="shared" si="64"/>
        <v>115000</v>
      </c>
      <c r="I592" s="27"/>
      <c r="J592" s="2"/>
      <c r="K592" s="2"/>
    </row>
    <row r="593">
      <c r="A593" s="2"/>
      <c r="B593" s="2"/>
      <c r="C593" s="34"/>
      <c r="D593" s="22" t="s">
        <v>95</v>
      </c>
      <c r="E593" s="32" t="s">
        <v>16</v>
      </c>
      <c r="F593" s="32">
        <v>3.0</v>
      </c>
      <c r="G593" s="35">
        <v>17000.0</v>
      </c>
      <c r="H593" s="36">
        <f t="shared" si="64"/>
        <v>51000</v>
      </c>
      <c r="I593" s="41">
        <f>SUM(H583:H593)</f>
        <v>1475000</v>
      </c>
      <c r="J593" s="2"/>
      <c r="K593" s="2"/>
    </row>
    <row r="594">
      <c r="A594" s="2"/>
      <c r="B594" s="2"/>
      <c r="C594" s="31" t="s">
        <v>420</v>
      </c>
      <c r="D594" s="22" t="s">
        <v>432</v>
      </c>
      <c r="E594" s="32" t="s">
        <v>133</v>
      </c>
      <c r="F594" s="32">
        <v>45.0</v>
      </c>
      <c r="G594" s="35">
        <v>12000.0</v>
      </c>
      <c r="H594" s="36">
        <f t="shared" si="64"/>
        <v>540000</v>
      </c>
      <c r="I594" s="41">
        <f>H594</f>
        <v>540000</v>
      </c>
      <c r="J594" s="2"/>
      <c r="K594" s="2"/>
    </row>
    <row r="595">
      <c r="A595" s="2"/>
      <c r="B595" s="2"/>
      <c r="C595" s="34"/>
      <c r="D595" s="22" t="s">
        <v>12</v>
      </c>
      <c r="E595" s="12"/>
      <c r="F595" s="32">
        <v>9.0</v>
      </c>
      <c r="G595" s="35">
        <v>2500.0</v>
      </c>
      <c r="H595" s="36">
        <f t="shared" si="64"/>
        <v>22500</v>
      </c>
      <c r="I595" s="27"/>
      <c r="J595" s="27">
        <f>H595</f>
        <v>22500</v>
      </c>
      <c r="K595" s="2"/>
    </row>
    <row r="596">
      <c r="A596" s="46" t="s">
        <v>433</v>
      </c>
      <c r="B596" s="47"/>
      <c r="C596" s="47"/>
      <c r="D596" s="47"/>
      <c r="E596" s="48"/>
      <c r="F596" s="48"/>
      <c r="G596" s="49"/>
      <c r="H596" s="50" t="s">
        <v>11</v>
      </c>
      <c r="I596" s="51">
        <f t="shared" ref="I596:J596" si="66">SUM(I597:I656)</f>
        <v>20678350</v>
      </c>
      <c r="J596" s="51">
        <f t="shared" si="66"/>
        <v>20000</v>
      </c>
      <c r="K596" s="2"/>
      <c r="L596" s="39">
        <v>9.0</v>
      </c>
      <c r="M596" s="39" t="s">
        <v>165</v>
      </c>
      <c r="N596" s="40">
        <f>I596</f>
        <v>20678350</v>
      </c>
    </row>
    <row r="597">
      <c r="A597" s="2"/>
      <c r="B597" s="2"/>
      <c r="C597" s="31" t="s">
        <v>434</v>
      </c>
      <c r="D597" s="22" t="s">
        <v>435</v>
      </c>
      <c r="E597" s="32" t="s">
        <v>144</v>
      </c>
      <c r="F597" s="32">
        <v>1.0</v>
      </c>
      <c r="G597" s="35">
        <v>180000.0</v>
      </c>
      <c r="H597" s="36">
        <f t="shared" ref="H597:H599" si="67">G597*F597</f>
        <v>180000</v>
      </c>
      <c r="I597" s="27"/>
      <c r="J597" s="2"/>
      <c r="K597" s="2"/>
      <c r="M597" s="39" t="s">
        <v>168</v>
      </c>
      <c r="N597" s="40">
        <f>'Kas Fisik Oprasional'!I170</f>
        <v>5835000</v>
      </c>
    </row>
    <row r="598">
      <c r="A598" s="2"/>
      <c r="B598" s="2"/>
      <c r="C598" s="34"/>
      <c r="D598" s="22" t="s">
        <v>436</v>
      </c>
      <c r="E598" s="32" t="s">
        <v>282</v>
      </c>
      <c r="F598" s="32">
        <v>5.0</v>
      </c>
      <c r="G598" s="35">
        <v>236000.0</v>
      </c>
      <c r="H598" s="36">
        <f t="shared" si="67"/>
        <v>1180000</v>
      </c>
      <c r="I598" s="27"/>
      <c r="J598" s="2"/>
      <c r="K598" s="2"/>
      <c r="M598" s="39" t="s">
        <v>242</v>
      </c>
      <c r="N598" s="38">
        <f>'list Reimburse'!I45</f>
        <v>131500</v>
      </c>
      <c r="O598" s="39" t="s">
        <v>437</v>
      </c>
    </row>
    <row r="599">
      <c r="A599" s="2"/>
      <c r="B599" s="2"/>
      <c r="C599" s="34"/>
      <c r="D599" s="22" t="s">
        <v>438</v>
      </c>
      <c r="E599" s="32" t="s">
        <v>16</v>
      </c>
      <c r="F599" s="32">
        <v>6.0</v>
      </c>
      <c r="G599" s="35">
        <v>94000.0</v>
      </c>
      <c r="H599" s="36">
        <f t="shared" si="67"/>
        <v>564000</v>
      </c>
      <c r="I599" s="41"/>
      <c r="J599" s="2"/>
      <c r="K599" s="2"/>
      <c r="M599" s="39" t="s">
        <v>345</v>
      </c>
      <c r="N599" s="39" t="s">
        <v>197</v>
      </c>
    </row>
    <row r="600">
      <c r="A600" s="2"/>
      <c r="B600" s="2"/>
      <c r="C600" s="34"/>
      <c r="D600" s="22" t="s">
        <v>439</v>
      </c>
      <c r="E600" s="32" t="s">
        <v>440</v>
      </c>
      <c r="F600" s="32">
        <v>5.0</v>
      </c>
      <c r="G600" s="35">
        <v>32500.0</v>
      </c>
      <c r="H600" s="36">
        <f t="shared" ref="H600:H650" si="68">F600*G600</f>
        <v>162500</v>
      </c>
      <c r="I600" s="41">
        <f>SUM(H597:H600)</f>
        <v>2086500</v>
      </c>
      <c r="J600" s="22"/>
      <c r="K600" s="2"/>
      <c r="M600" s="39" t="s">
        <v>12</v>
      </c>
      <c r="N600" s="40">
        <f>J596+'Kas Fisik Oprasional'!J170</f>
        <v>25000</v>
      </c>
    </row>
    <row r="601">
      <c r="A601" s="2"/>
      <c r="B601" s="2"/>
      <c r="C601" s="31" t="s">
        <v>79</v>
      </c>
      <c r="D601" s="22" t="s">
        <v>19</v>
      </c>
      <c r="E601" s="32" t="s">
        <v>16</v>
      </c>
      <c r="F601" s="32">
        <v>5.0</v>
      </c>
      <c r="G601" s="35">
        <v>35000.0</v>
      </c>
      <c r="H601" s="36">
        <f t="shared" si="68"/>
        <v>175000</v>
      </c>
      <c r="I601" s="27"/>
      <c r="J601" s="2"/>
      <c r="K601" s="2"/>
      <c r="M601" s="42" t="s">
        <v>11</v>
      </c>
      <c r="N601" s="40">
        <f>SUM(N596:N600)</f>
        <v>26669850</v>
      </c>
    </row>
    <row r="602">
      <c r="A602" s="2"/>
      <c r="B602" s="2"/>
      <c r="C602" s="34"/>
      <c r="D602" s="22" t="s">
        <v>20</v>
      </c>
      <c r="E602" s="32" t="s">
        <v>16</v>
      </c>
      <c r="F602" s="32">
        <v>3.0</v>
      </c>
      <c r="G602" s="35">
        <v>45000.0</v>
      </c>
      <c r="H602" s="36">
        <f t="shared" si="68"/>
        <v>135000</v>
      </c>
      <c r="I602" s="27"/>
      <c r="J602" s="2"/>
      <c r="K602" s="2"/>
    </row>
    <row r="603">
      <c r="A603" s="2"/>
      <c r="B603" s="2"/>
      <c r="C603" s="34"/>
      <c r="D603" s="22" t="s">
        <v>21</v>
      </c>
      <c r="E603" s="32" t="s">
        <v>16</v>
      </c>
      <c r="F603" s="32">
        <v>2.0</v>
      </c>
      <c r="G603" s="35">
        <v>45000.0</v>
      </c>
      <c r="H603" s="36">
        <f t="shared" si="68"/>
        <v>90000</v>
      </c>
      <c r="I603" s="41">
        <f>SUM(H601:H603)</f>
        <v>400000</v>
      </c>
      <c r="J603" s="22"/>
      <c r="K603" s="2"/>
    </row>
    <row r="604">
      <c r="A604" s="2"/>
      <c r="B604" s="2"/>
      <c r="C604" s="31" t="s">
        <v>25</v>
      </c>
      <c r="D604" s="22" t="s">
        <v>26</v>
      </c>
      <c r="E604" s="32" t="s">
        <v>16</v>
      </c>
      <c r="F604" s="32">
        <v>70.0</v>
      </c>
      <c r="G604" s="35">
        <v>7000.0</v>
      </c>
      <c r="H604" s="36">
        <f t="shared" si="68"/>
        <v>490000</v>
      </c>
      <c r="I604" s="41">
        <f>H604</f>
        <v>490000</v>
      </c>
      <c r="J604" s="22"/>
      <c r="K604" s="2"/>
    </row>
    <row r="605">
      <c r="A605" s="2"/>
      <c r="B605" s="2"/>
      <c r="C605" s="31" t="s">
        <v>401</v>
      </c>
      <c r="D605" s="22" t="s">
        <v>80</v>
      </c>
      <c r="E605" s="32" t="s">
        <v>16</v>
      </c>
      <c r="F605" s="32">
        <v>1.0</v>
      </c>
      <c r="G605" s="35">
        <v>35000.0</v>
      </c>
      <c r="H605" s="36">
        <f t="shared" si="68"/>
        <v>35000</v>
      </c>
      <c r="I605" s="27"/>
      <c r="J605" s="2"/>
      <c r="K605" s="2"/>
    </row>
    <row r="606">
      <c r="A606" s="2"/>
      <c r="B606" s="2"/>
      <c r="C606" s="34"/>
      <c r="D606" s="22" t="s">
        <v>150</v>
      </c>
      <c r="E606" s="32" t="s">
        <v>16</v>
      </c>
      <c r="F606" s="32">
        <v>2.0</v>
      </c>
      <c r="G606" s="35">
        <v>10000.0</v>
      </c>
      <c r="H606" s="36">
        <f t="shared" si="68"/>
        <v>20000</v>
      </c>
      <c r="I606" s="27"/>
      <c r="J606" s="2"/>
      <c r="K606" s="2"/>
    </row>
    <row r="607">
      <c r="A607" s="2"/>
      <c r="B607" s="2"/>
      <c r="C607" s="34"/>
      <c r="D607" s="22" t="s">
        <v>39</v>
      </c>
      <c r="E607" s="32" t="s">
        <v>16</v>
      </c>
      <c r="F607" s="32">
        <v>1.0</v>
      </c>
      <c r="G607" s="35">
        <v>12000.0</v>
      </c>
      <c r="H607" s="36">
        <f t="shared" si="68"/>
        <v>12000</v>
      </c>
      <c r="I607" s="27"/>
      <c r="J607" s="2"/>
      <c r="K607" s="2"/>
    </row>
    <row r="608">
      <c r="A608" s="2"/>
      <c r="B608" s="2"/>
      <c r="C608" s="34"/>
      <c r="D608" s="22" t="s">
        <v>41</v>
      </c>
      <c r="E608" s="32" t="s">
        <v>16</v>
      </c>
      <c r="F608" s="32">
        <v>0.25</v>
      </c>
      <c r="G608" s="35">
        <v>28000.0</v>
      </c>
      <c r="H608" s="36">
        <f t="shared" si="68"/>
        <v>7000</v>
      </c>
      <c r="I608" s="41">
        <f>SUM(H605:H608)</f>
        <v>74000</v>
      </c>
      <c r="J608" s="22"/>
      <c r="K608" s="2"/>
    </row>
    <row r="609">
      <c r="A609" s="2"/>
      <c r="B609" s="2"/>
      <c r="C609" s="31" t="s">
        <v>178</v>
      </c>
      <c r="D609" s="22" t="s">
        <v>29</v>
      </c>
      <c r="E609" s="32" t="s">
        <v>16</v>
      </c>
      <c r="F609" s="32">
        <v>12.5</v>
      </c>
      <c r="G609" s="35">
        <v>50000.0</v>
      </c>
      <c r="H609" s="36">
        <f t="shared" si="68"/>
        <v>625000</v>
      </c>
      <c r="I609" s="27"/>
      <c r="J609" s="2"/>
      <c r="K609" s="2"/>
    </row>
    <row r="610">
      <c r="A610" s="2"/>
      <c r="B610" s="2"/>
      <c r="C610" s="34"/>
      <c r="D610" s="22" t="s">
        <v>35</v>
      </c>
      <c r="E610" s="32" t="s">
        <v>16</v>
      </c>
      <c r="F610" s="32">
        <v>42.0</v>
      </c>
      <c r="G610" s="35">
        <v>14000.0</v>
      </c>
      <c r="H610" s="36">
        <f t="shared" si="68"/>
        <v>588000</v>
      </c>
      <c r="I610" s="27"/>
      <c r="J610" s="2"/>
      <c r="K610" s="2"/>
    </row>
    <row r="611">
      <c r="A611" s="2"/>
      <c r="B611" s="2"/>
      <c r="C611" s="34"/>
      <c r="D611" s="22" t="s">
        <v>30</v>
      </c>
      <c r="E611" s="32" t="s">
        <v>16</v>
      </c>
      <c r="F611" s="32">
        <v>1.0</v>
      </c>
      <c r="G611" s="35">
        <v>75000.0</v>
      </c>
      <c r="H611" s="36">
        <f t="shared" si="68"/>
        <v>75000</v>
      </c>
      <c r="I611" s="27"/>
      <c r="J611" s="2"/>
      <c r="K611" s="2"/>
    </row>
    <row r="612">
      <c r="A612" s="2"/>
      <c r="B612" s="2"/>
      <c r="C612" s="34"/>
      <c r="D612" s="22" t="s">
        <v>85</v>
      </c>
      <c r="E612" s="32" t="s">
        <v>16</v>
      </c>
      <c r="F612" s="32">
        <v>1.0</v>
      </c>
      <c r="G612" s="35">
        <v>40000.0</v>
      </c>
      <c r="H612" s="36">
        <f t="shared" si="68"/>
        <v>40000</v>
      </c>
      <c r="I612" s="27"/>
      <c r="J612" s="2"/>
      <c r="K612" s="2"/>
    </row>
    <row r="613">
      <c r="A613" s="2"/>
      <c r="B613" s="2"/>
      <c r="C613" s="34"/>
      <c r="D613" s="22" t="s">
        <v>441</v>
      </c>
      <c r="E613" s="32" t="s">
        <v>16</v>
      </c>
      <c r="F613" s="32">
        <v>5.5</v>
      </c>
      <c r="G613" s="35">
        <v>23000.0</v>
      </c>
      <c r="H613" s="36">
        <f t="shared" si="68"/>
        <v>126500</v>
      </c>
      <c r="I613" s="27"/>
      <c r="J613" s="2"/>
      <c r="K613" s="2"/>
    </row>
    <row r="614">
      <c r="A614" s="2"/>
      <c r="B614" s="2"/>
      <c r="C614" s="34"/>
      <c r="D614" s="22" t="s">
        <v>442</v>
      </c>
      <c r="E614" s="32" t="s">
        <v>16</v>
      </c>
      <c r="F614" s="32">
        <v>2.0</v>
      </c>
      <c r="G614" s="35">
        <v>95000.0</v>
      </c>
      <c r="H614" s="36">
        <f t="shared" si="68"/>
        <v>190000</v>
      </c>
      <c r="I614" s="27"/>
      <c r="J614" s="2"/>
      <c r="K614" s="2"/>
    </row>
    <row r="615">
      <c r="A615" s="2"/>
      <c r="B615" s="2"/>
      <c r="C615" s="34"/>
      <c r="D615" s="22" t="s">
        <v>33</v>
      </c>
      <c r="E615" s="32" t="s">
        <v>16</v>
      </c>
      <c r="F615" s="32">
        <v>10.0</v>
      </c>
      <c r="G615" s="35">
        <v>7000.0</v>
      </c>
      <c r="H615" s="36">
        <f t="shared" si="68"/>
        <v>70000</v>
      </c>
      <c r="I615" s="27"/>
      <c r="J615" s="2"/>
      <c r="K615" s="2"/>
    </row>
    <row r="616">
      <c r="A616" s="2"/>
      <c r="B616" s="2"/>
      <c r="C616" s="34"/>
      <c r="D616" s="22" t="s">
        <v>414</v>
      </c>
      <c r="E616" s="32" t="s">
        <v>16</v>
      </c>
      <c r="F616" s="32">
        <v>55.0</v>
      </c>
      <c r="G616" s="35">
        <v>11000.0</v>
      </c>
      <c r="H616" s="36">
        <f t="shared" si="68"/>
        <v>605000</v>
      </c>
      <c r="I616" s="27"/>
      <c r="J616" s="2"/>
      <c r="K616" s="2"/>
    </row>
    <row r="617">
      <c r="A617" s="2"/>
      <c r="B617" s="2"/>
      <c r="C617" s="34"/>
      <c r="D617" s="22" t="s">
        <v>28</v>
      </c>
      <c r="E617" s="32" t="s">
        <v>16</v>
      </c>
      <c r="F617" s="32">
        <v>160.0</v>
      </c>
      <c r="G617" s="35">
        <v>13000.0</v>
      </c>
      <c r="H617" s="36">
        <f t="shared" si="68"/>
        <v>2080000</v>
      </c>
      <c r="I617" s="27"/>
      <c r="J617" s="2"/>
      <c r="K617" s="2"/>
    </row>
    <row r="618">
      <c r="A618" s="2"/>
      <c r="B618" s="2"/>
      <c r="C618" s="34"/>
      <c r="D618" s="22" t="s">
        <v>43</v>
      </c>
      <c r="E618" s="32" t="s">
        <v>16</v>
      </c>
      <c r="F618" s="32">
        <v>10.0</v>
      </c>
      <c r="G618" s="35">
        <v>12000.0</v>
      </c>
      <c r="H618" s="36">
        <f t="shared" si="68"/>
        <v>120000</v>
      </c>
      <c r="I618" s="27"/>
      <c r="J618" s="2"/>
      <c r="K618" s="2"/>
    </row>
    <row r="619">
      <c r="A619" s="2"/>
      <c r="B619" s="2"/>
      <c r="C619" s="34"/>
      <c r="D619" s="22" t="s">
        <v>87</v>
      </c>
      <c r="E619" s="32" t="s">
        <v>16</v>
      </c>
      <c r="F619" s="32">
        <v>30.0</v>
      </c>
      <c r="G619" s="35">
        <v>7000.0</v>
      </c>
      <c r="H619" s="36">
        <f t="shared" si="68"/>
        <v>210000</v>
      </c>
      <c r="I619" s="27"/>
      <c r="J619" s="2"/>
      <c r="K619" s="2"/>
    </row>
    <row r="620">
      <c r="A620" s="2"/>
      <c r="B620" s="2"/>
      <c r="C620" s="34"/>
      <c r="D620" s="22" t="s">
        <v>34</v>
      </c>
      <c r="E620" s="32" t="s">
        <v>16</v>
      </c>
      <c r="F620" s="32">
        <v>80.0</v>
      </c>
      <c r="G620" s="35">
        <v>8000.0</v>
      </c>
      <c r="H620" s="36">
        <f t="shared" si="68"/>
        <v>640000</v>
      </c>
      <c r="I620" s="27"/>
      <c r="J620" s="2"/>
      <c r="K620" s="2"/>
    </row>
    <row r="621">
      <c r="A621" s="2"/>
      <c r="B621" s="2"/>
      <c r="C621" s="34"/>
      <c r="D621" s="22" t="s">
        <v>31</v>
      </c>
      <c r="E621" s="32" t="s">
        <v>16</v>
      </c>
      <c r="F621" s="32">
        <v>6.0</v>
      </c>
      <c r="G621" s="35">
        <v>15000.0</v>
      </c>
      <c r="H621" s="36">
        <f t="shared" si="68"/>
        <v>90000</v>
      </c>
      <c r="I621" s="41">
        <f>SUM(H609:H621)</f>
        <v>5459500</v>
      </c>
      <c r="J621" s="22"/>
      <c r="K621" s="2"/>
    </row>
    <row r="622">
      <c r="A622" s="2"/>
      <c r="B622" s="2"/>
      <c r="C622" s="31" t="s">
        <v>44</v>
      </c>
      <c r="D622" s="22" t="s">
        <v>443</v>
      </c>
      <c r="E622" s="32" t="s">
        <v>54</v>
      </c>
      <c r="F622" s="32">
        <v>2.0</v>
      </c>
      <c r="G622" s="35">
        <v>95000.0</v>
      </c>
      <c r="H622" s="36">
        <f t="shared" si="68"/>
        <v>190000</v>
      </c>
      <c r="I622" s="27"/>
      <c r="J622" s="2"/>
      <c r="K622" s="2"/>
    </row>
    <row r="623">
      <c r="A623" s="2"/>
      <c r="B623" s="2"/>
      <c r="C623" s="34"/>
      <c r="D623" s="22" t="s">
        <v>53</v>
      </c>
      <c r="E623" s="32" t="s">
        <v>54</v>
      </c>
      <c r="F623" s="32">
        <v>2.0</v>
      </c>
      <c r="G623" s="35">
        <v>85000.0</v>
      </c>
      <c r="H623" s="36">
        <f t="shared" si="68"/>
        <v>170000</v>
      </c>
      <c r="I623" s="27"/>
      <c r="J623" s="2"/>
      <c r="K623" s="2"/>
    </row>
    <row r="624">
      <c r="A624" s="2"/>
      <c r="B624" s="2"/>
      <c r="C624" s="34"/>
      <c r="D624" s="22" t="s">
        <v>259</v>
      </c>
      <c r="E624" s="32" t="s">
        <v>54</v>
      </c>
      <c r="F624" s="32">
        <v>1.0</v>
      </c>
      <c r="G624" s="35">
        <v>190000.0</v>
      </c>
      <c r="H624" s="36">
        <f t="shared" si="68"/>
        <v>190000</v>
      </c>
      <c r="I624" s="27"/>
      <c r="J624" s="2"/>
      <c r="K624" s="2"/>
    </row>
    <row r="625">
      <c r="A625" s="2"/>
      <c r="B625" s="2"/>
      <c r="C625" s="34"/>
      <c r="D625" s="22" t="s">
        <v>158</v>
      </c>
      <c r="E625" s="32" t="s">
        <v>257</v>
      </c>
      <c r="F625" s="32">
        <v>1.0</v>
      </c>
      <c r="G625" s="35">
        <v>80000.0</v>
      </c>
      <c r="H625" s="36">
        <f t="shared" si="68"/>
        <v>80000</v>
      </c>
      <c r="I625" s="27"/>
      <c r="J625" s="2"/>
      <c r="K625" s="2"/>
    </row>
    <row r="626">
      <c r="A626" s="2"/>
      <c r="B626" s="2"/>
      <c r="C626" s="34"/>
      <c r="D626" s="22" t="s">
        <v>58</v>
      </c>
      <c r="E626" s="32" t="s">
        <v>59</v>
      </c>
      <c r="F626" s="32">
        <v>1.0</v>
      </c>
      <c r="G626" s="35">
        <v>225000.0</v>
      </c>
      <c r="H626" s="36">
        <f t="shared" si="68"/>
        <v>225000</v>
      </c>
      <c r="I626" s="27"/>
      <c r="J626" s="2"/>
      <c r="K626" s="2"/>
    </row>
    <row r="627">
      <c r="A627" s="2"/>
      <c r="B627" s="2"/>
      <c r="C627" s="34"/>
      <c r="D627" s="22" t="s">
        <v>277</v>
      </c>
      <c r="E627" s="32" t="s">
        <v>59</v>
      </c>
      <c r="F627" s="32">
        <v>3.0</v>
      </c>
      <c r="G627" s="35">
        <v>140000.0</v>
      </c>
      <c r="H627" s="36">
        <f t="shared" si="68"/>
        <v>420000</v>
      </c>
      <c r="I627" s="27"/>
      <c r="J627" s="2"/>
      <c r="K627" s="2"/>
    </row>
    <row r="628">
      <c r="A628" s="2"/>
      <c r="B628" s="2"/>
      <c r="C628" s="34"/>
      <c r="D628" s="22" t="s">
        <v>444</v>
      </c>
      <c r="E628" s="32" t="s">
        <v>48</v>
      </c>
      <c r="F628" s="32">
        <v>3.0</v>
      </c>
      <c r="G628" s="35">
        <v>47000.0</v>
      </c>
      <c r="H628" s="36">
        <f t="shared" si="68"/>
        <v>141000</v>
      </c>
      <c r="I628" s="27"/>
      <c r="J628" s="2"/>
      <c r="K628" s="2"/>
    </row>
    <row r="629">
      <c r="A629" s="2"/>
      <c r="B629" s="2"/>
      <c r="C629" s="34"/>
      <c r="D629" s="22" t="s">
        <v>172</v>
      </c>
      <c r="E629" s="32" t="s">
        <v>16</v>
      </c>
      <c r="F629" s="32">
        <v>2.0</v>
      </c>
      <c r="G629" s="35">
        <v>110000.0</v>
      </c>
      <c r="H629" s="36">
        <f t="shared" si="68"/>
        <v>220000</v>
      </c>
      <c r="I629" s="27"/>
      <c r="J629" s="2"/>
      <c r="K629" s="2"/>
    </row>
    <row r="630">
      <c r="A630" s="2"/>
      <c r="B630" s="2"/>
      <c r="C630" s="34"/>
      <c r="D630" s="22" t="s">
        <v>45</v>
      </c>
      <c r="E630" s="32" t="s">
        <v>257</v>
      </c>
      <c r="F630" s="32">
        <v>2.0</v>
      </c>
      <c r="G630" s="35">
        <v>185000.0</v>
      </c>
      <c r="H630" s="36">
        <f t="shared" si="68"/>
        <v>370000</v>
      </c>
      <c r="I630" s="27"/>
      <c r="J630" s="2"/>
      <c r="K630" s="2"/>
    </row>
    <row r="631">
      <c r="A631" s="2"/>
      <c r="B631" s="2"/>
      <c r="C631" s="34"/>
      <c r="D631" s="22" t="s">
        <v>46</v>
      </c>
      <c r="E631" s="32" t="s">
        <v>48</v>
      </c>
      <c r="F631" s="32">
        <v>1.0</v>
      </c>
      <c r="G631" s="35">
        <v>47000.0</v>
      </c>
      <c r="H631" s="36">
        <f t="shared" si="68"/>
        <v>47000</v>
      </c>
      <c r="I631" s="27"/>
      <c r="J631" s="2"/>
      <c r="K631" s="2"/>
    </row>
    <row r="632">
      <c r="A632" s="2"/>
      <c r="B632" s="2"/>
      <c r="C632" s="34"/>
      <c r="D632" s="22" t="s">
        <v>154</v>
      </c>
      <c r="E632" s="32" t="s">
        <v>282</v>
      </c>
      <c r="F632" s="32">
        <v>76.0</v>
      </c>
      <c r="G632" s="35">
        <v>5900.0</v>
      </c>
      <c r="H632" s="36">
        <f t="shared" si="68"/>
        <v>448400</v>
      </c>
      <c r="I632" s="27"/>
      <c r="J632" s="2"/>
      <c r="K632" s="2"/>
    </row>
    <row r="633">
      <c r="A633" s="2"/>
      <c r="B633" s="2"/>
      <c r="C633" s="34"/>
      <c r="D633" s="22" t="s">
        <v>52</v>
      </c>
      <c r="E633" s="32" t="s">
        <v>16</v>
      </c>
      <c r="F633" s="32">
        <v>5.0</v>
      </c>
      <c r="G633" s="35">
        <v>42000.0</v>
      </c>
      <c r="H633" s="36">
        <f t="shared" si="68"/>
        <v>210000</v>
      </c>
      <c r="I633" s="27"/>
      <c r="J633" s="2"/>
      <c r="K633" s="2"/>
    </row>
    <row r="634">
      <c r="A634" s="2"/>
      <c r="B634" s="2"/>
      <c r="C634" s="34"/>
      <c r="D634" s="22" t="s">
        <v>445</v>
      </c>
      <c r="E634" s="32" t="s">
        <v>16</v>
      </c>
      <c r="F634" s="32">
        <v>0.25</v>
      </c>
      <c r="G634" s="35">
        <v>24000.0</v>
      </c>
      <c r="H634" s="36">
        <f t="shared" si="68"/>
        <v>6000</v>
      </c>
      <c r="I634" s="27"/>
      <c r="J634" s="2"/>
      <c r="K634" s="2"/>
    </row>
    <row r="635">
      <c r="A635" s="2"/>
      <c r="B635" s="2"/>
      <c r="C635" s="34"/>
      <c r="D635" s="22" t="s">
        <v>102</v>
      </c>
      <c r="E635" s="32" t="s">
        <v>16</v>
      </c>
      <c r="F635" s="32">
        <v>10.0</v>
      </c>
      <c r="G635" s="35">
        <v>11250.0</v>
      </c>
      <c r="H635" s="36">
        <f t="shared" si="68"/>
        <v>112500</v>
      </c>
      <c r="I635" s="27"/>
      <c r="J635" s="2"/>
      <c r="K635" s="2"/>
    </row>
    <row r="636">
      <c r="A636" s="2"/>
      <c r="B636" s="2"/>
      <c r="C636" s="34"/>
      <c r="D636" s="22" t="s">
        <v>102</v>
      </c>
      <c r="E636" s="32" t="s">
        <v>16</v>
      </c>
      <c r="F636" s="32">
        <v>20.0</v>
      </c>
      <c r="G636" s="35">
        <v>11250.0</v>
      </c>
      <c r="H636" s="36">
        <f t="shared" si="68"/>
        <v>225000</v>
      </c>
      <c r="I636" s="27"/>
      <c r="J636" s="2"/>
      <c r="K636" s="2"/>
    </row>
    <row r="637">
      <c r="A637" s="2"/>
      <c r="B637" s="2"/>
      <c r="C637" s="34"/>
      <c r="D637" s="22" t="s">
        <v>174</v>
      </c>
      <c r="E637" s="32" t="s">
        <v>16</v>
      </c>
      <c r="F637" s="32">
        <v>4.0</v>
      </c>
      <c r="G637" s="35">
        <v>42000.0</v>
      </c>
      <c r="H637" s="36">
        <f t="shared" si="68"/>
        <v>168000</v>
      </c>
      <c r="I637" s="27"/>
      <c r="J637" s="2"/>
      <c r="K637" s="2"/>
    </row>
    <row r="638">
      <c r="A638" s="2"/>
      <c r="B638" s="2"/>
      <c r="C638" s="34"/>
      <c r="D638" s="22" t="s">
        <v>100</v>
      </c>
      <c r="E638" s="32" t="s">
        <v>16</v>
      </c>
      <c r="F638" s="32">
        <v>5.0</v>
      </c>
      <c r="G638" s="35">
        <v>14000.0</v>
      </c>
      <c r="H638" s="36">
        <f t="shared" si="68"/>
        <v>70000</v>
      </c>
      <c r="I638" s="27"/>
      <c r="J638" s="2"/>
      <c r="K638" s="2"/>
    </row>
    <row r="639">
      <c r="A639" s="2"/>
      <c r="B639" s="2"/>
      <c r="C639" s="34"/>
      <c r="D639" s="22" t="s">
        <v>53</v>
      </c>
      <c r="E639" s="32" t="s">
        <v>54</v>
      </c>
      <c r="F639" s="32">
        <v>1.0</v>
      </c>
      <c r="G639" s="35">
        <v>85000.0</v>
      </c>
      <c r="H639" s="36">
        <f t="shared" si="68"/>
        <v>85000</v>
      </c>
      <c r="I639" s="27"/>
      <c r="J639" s="2"/>
      <c r="K639" s="2"/>
    </row>
    <row r="640">
      <c r="A640" s="2"/>
      <c r="B640" s="2"/>
      <c r="C640" s="34"/>
      <c r="D640" s="22" t="s">
        <v>60</v>
      </c>
      <c r="E640" s="32" t="s">
        <v>16</v>
      </c>
      <c r="F640" s="32">
        <v>8.0</v>
      </c>
      <c r="G640" s="35">
        <v>26000.0</v>
      </c>
      <c r="H640" s="36">
        <f t="shared" si="68"/>
        <v>208000</v>
      </c>
      <c r="I640" s="27"/>
      <c r="J640" s="2"/>
      <c r="K640" s="2"/>
    </row>
    <row r="641">
      <c r="A641" s="2"/>
      <c r="B641" s="2"/>
      <c r="C641" s="34"/>
      <c r="D641" s="22" t="s">
        <v>443</v>
      </c>
      <c r="E641" s="32" t="s">
        <v>16</v>
      </c>
      <c r="F641" s="32">
        <v>2.0</v>
      </c>
      <c r="G641" s="35">
        <v>24000.0</v>
      </c>
      <c r="H641" s="36">
        <f t="shared" si="68"/>
        <v>48000</v>
      </c>
      <c r="I641" s="27"/>
      <c r="J641" s="2"/>
      <c r="K641" s="2"/>
    </row>
    <row r="642">
      <c r="A642" s="2"/>
      <c r="B642" s="2"/>
      <c r="C642" s="34"/>
      <c r="D642" s="22" t="s">
        <v>319</v>
      </c>
      <c r="E642" s="32" t="s">
        <v>16</v>
      </c>
      <c r="F642" s="32">
        <v>4.0</v>
      </c>
      <c r="G642" s="35">
        <v>8000.0</v>
      </c>
      <c r="H642" s="36">
        <f t="shared" si="68"/>
        <v>32000</v>
      </c>
      <c r="I642" s="27"/>
      <c r="J642" s="2"/>
      <c r="K642" s="2"/>
    </row>
    <row r="643">
      <c r="A643" s="2"/>
      <c r="B643" s="2"/>
      <c r="C643" s="34"/>
      <c r="D643" s="22" t="s">
        <v>95</v>
      </c>
      <c r="E643" s="32" t="s">
        <v>16</v>
      </c>
      <c r="F643" s="32">
        <v>3.0</v>
      </c>
      <c r="G643" s="35">
        <v>18000.0</v>
      </c>
      <c r="H643" s="36">
        <f t="shared" si="68"/>
        <v>54000</v>
      </c>
      <c r="I643" s="27"/>
      <c r="J643" s="2"/>
      <c r="K643" s="2"/>
    </row>
    <row r="644">
      <c r="A644" s="2"/>
      <c r="B644" s="2"/>
      <c r="C644" s="34"/>
      <c r="D644" s="22" t="s">
        <v>172</v>
      </c>
      <c r="E644" s="32" t="s">
        <v>16</v>
      </c>
      <c r="F644" s="32">
        <v>2.0</v>
      </c>
      <c r="G644" s="35">
        <v>110000.0</v>
      </c>
      <c r="H644" s="36">
        <f t="shared" si="68"/>
        <v>220000</v>
      </c>
      <c r="I644" s="27"/>
      <c r="J644" s="2"/>
      <c r="K644" s="2"/>
    </row>
    <row r="645">
      <c r="A645" s="2"/>
      <c r="B645" s="2"/>
      <c r="C645" s="34"/>
      <c r="D645" s="22" t="s">
        <v>446</v>
      </c>
      <c r="E645" s="32" t="s">
        <v>16</v>
      </c>
      <c r="F645" s="32">
        <v>3.0</v>
      </c>
      <c r="G645" s="35">
        <v>95000.0</v>
      </c>
      <c r="H645" s="36">
        <f t="shared" si="68"/>
        <v>285000</v>
      </c>
      <c r="I645" s="27"/>
      <c r="J645" s="2"/>
      <c r="K645" s="2"/>
    </row>
    <row r="646">
      <c r="A646" s="2"/>
      <c r="B646" s="2"/>
      <c r="C646" s="34"/>
      <c r="D646" s="22" t="s">
        <v>158</v>
      </c>
      <c r="E646" s="32" t="s">
        <v>48</v>
      </c>
      <c r="F646" s="32">
        <v>1.0</v>
      </c>
      <c r="G646" s="35">
        <v>80000.0</v>
      </c>
      <c r="H646" s="36">
        <f t="shared" si="68"/>
        <v>80000</v>
      </c>
      <c r="I646" s="27"/>
      <c r="J646" s="2"/>
      <c r="K646" s="2"/>
    </row>
    <row r="647">
      <c r="A647" s="2"/>
      <c r="B647" s="2"/>
      <c r="C647" s="34"/>
      <c r="D647" s="22" t="s">
        <v>447</v>
      </c>
      <c r="E647" s="32" t="s">
        <v>16</v>
      </c>
      <c r="F647" s="32">
        <v>10.0</v>
      </c>
      <c r="G647" s="35">
        <v>24000.0</v>
      </c>
      <c r="H647" s="36">
        <f t="shared" si="68"/>
        <v>240000</v>
      </c>
      <c r="I647" s="27"/>
      <c r="J647" s="2"/>
      <c r="K647" s="2"/>
    </row>
    <row r="648">
      <c r="A648" s="2"/>
      <c r="B648" s="2"/>
      <c r="C648" s="34"/>
      <c r="D648" s="22" t="s">
        <v>174</v>
      </c>
      <c r="E648" s="32" t="s">
        <v>16</v>
      </c>
      <c r="F648" s="32">
        <v>4.0</v>
      </c>
      <c r="G648" s="35">
        <v>42000.0</v>
      </c>
      <c r="H648" s="36">
        <f t="shared" si="68"/>
        <v>168000</v>
      </c>
      <c r="I648" s="27"/>
      <c r="J648" s="2"/>
      <c r="K648" s="2"/>
    </row>
    <row r="649">
      <c r="A649" s="2"/>
      <c r="B649" s="2"/>
      <c r="C649" s="34"/>
      <c r="D649" s="22" t="s">
        <v>53</v>
      </c>
      <c r="E649" s="32" t="s">
        <v>54</v>
      </c>
      <c r="F649" s="32">
        <v>1.0</v>
      </c>
      <c r="G649" s="35">
        <v>85000.0</v>
      </c>
      <c r="H649" s="36">
        <f t="shared" si="68"/>
        <v>85000</v>
      </c>
      <c r="I649" s="27"/>
      <c r="J649" s="2"/>
      <c r="K649" s="2"/>
    </row>
    <row r="650">
      <c r="A650" s="2"/>
      <c r="B650" s="2"/>
      <c r="C650" s="34"/>
      <c r="D650" s="22" t="s">
        <v>448</v>
      </c>
      <c r="E650" s="32" t="s">
        <v>54</v>
      </c>
      <c r="F650" s="32">
        <v>1.0</v>
      </c>
      <c r="G650" s="35">
        <v>95000.0</v>
      </c>
      <c r="H650" s="36">
        <f t="shared" si="68"/>
        <v>95000</v>
      </c>
      <c r="I650" s="27"/>
      <c r="J650" s="2"/>
      <c r="K650" s="2"/>
    </row>
    <row r="651">
      <c r="A651" s="2"/>
      <c r="B651" s="2"/>
      <c r="C651" s="34"/>
      <c r="D651" s="22" t="s">
        <v>449</v>
      </c>
      <c r="E651" s="32" t="s">
        <v>50</v>
      </c>
      <c r="F651" s="32">
        <v>4.0</v>
      </c>
      <c r="G651" s="36">
        <f>H651/F651</f>
        <v>48000</v>
      </c>
      <c r="H651" s="35">
        <v>192000.0</v>
      </c>
      <c r="I651" s="27"/>
      <c r="J651" s="22"/>
      <c r="K651" s="2"/>
    </row>
    <row r="652">
      <c r="A652" s="2"/>
      <c r="B652" s="2"/>
      <c r="C652" s="34"/>
      <c r="D652" s="22" t="s">
        <v>450</v>
      </c>
      <c r="E652" s="32" t="s">
        <v>451</v>
      </c>
      <c r="F652" s="32">
        <v>4.0</v>
      </c>
      <c r="G652" s="35">
        <v>255000.0</v>
      </c>
      <c r="H652" s="36">
        <f t="shared" ref="H652:H656" si="69">F652*G652</f>
        <v>1020000</v>
      </c>
      <c r="I652" s="41">
        <f>SUM(H622:H652)</f>
        <v>6104900</v>
      </c>
      <c r="J652" s="22"/>
      <c r="K652" s="27">
        <f>G652/12</f>
        <v>21250</v>
      </c>
    </row>
    <row r="653">
      <c r="A653" s="2"/>
      <c r="B653" s="2"/>
      <c r="C653" s="39" t="s">
        <v>189</v>
      </c>
      <c r="D653" s="39" t="s">
        <v>452</v>
      </c>
      <c r="E653" s="45" t="s">
        <v>50</v>
      </c>
      <c r="F653" s="45">
        <v>1693.0</v>
      </c>
      <c r="G653" s="38">
        <v>1650.0</v>
      </c>
      <c r="H653" s="36">
        <f t="shared" si="69"/>
        <v>2793450</v>
      </c>
      <c r="I653" s="41">
        <f t="shared" ref="I653:I655" si="70">H653</f>
        <v>2793450</v>
      </c>
      <c r="J653" s="22"/>
      <c r="K653" s="2"/>
    </row>
    <row r="654">
      <c r="A654" s="2"/>
      <c r="B654" s="2"/>
      <c r="C654" s="31" t="s">
        <v>453</v>
      </c>
      <c r="D654" s="22" t="s">
        <v>454</v>
      </c>
      <c r="E654" s="32" t="s">
        <v>16</v>
      </c>
      <c r="F654" s="32">
        <v>105.0</v>
      </c>
      <c r="G654" s="35">
        <v>26000.0</v>
      </c>
      <c r="H654" s="36">
        <f t="shared" si="69"/>
        <v>2730000</v>
      </c>
      <c r="I654" s="41">
        <f t="shared" si="70"/>
        <v>2730000</v>
      </c>
      <c r="J654" s="22"/>
      <c r="K654" s="2"/>
    </row>
    <row r="655">
      <c r="A655" s="2"/>
      <c r="B655" s="2"/>
      <c r="C655" s="31" t="s">
        <v>455</v>
      </c>
      <c r="D655" s="22" t="s">
        <v>456</v>
      </c>
      <c r="E655" s="32" t="s">
        <v>16</v>
      </c>
      <c r="F655" s="32">
        <v>30.0</v>
      </c>
      <c r="G655" s="35">
        <v>18000.0</v>
      </c>
      <c r="H655" s="36">
        <f t="shared" si="69"/>
        <v>540000</v>
      </c>
      <c r="I655" s="41">
        <f t="shared" si="70"/>
        <v>540000</v>
      </c>
      <c r="J655" s="22"/>
      <c r="K655" s="2"/>
    </row>
    <row r="656">
      <c r="A656" s="2"/>
      <c r="B656" s="2"/>
      <c r="C656" s="34"/>
      <c r="D656" s="22" t="s">
        <v>12</v>
      </c>
      <c r="E656" s="12"/>
      <c r="F656" s="32">
        <v>8.0</v>
      </c>
      <c r="G656" s="35">
        <v>2500.0</v>
      </c>
      <c r="H656" s="36">
        <f t="shared" si="69"/>
        <v>20000</v>
      </c>
      <c r="I656" s="27"/>
      <c r="J656" s="27">
        <f>H656</f>
        <v>20000</v>
      </c>
      <c r="K656" s="2"/>
    </row>
    <row r="657">
      <c r="A657" s="46" t="s">
        <v>457</v>
      </c>
      <c r="B657" s="47"/>
      <c r="C657" s="47"/>
      <c r="D657" s="47"/>
      <c r="E657" s="48"/>
      <c r="F657" s="48"/>
      <c r="G657" s="49"/>
      <c r="H657" s="50" t="s">
        <v>11</v>
      </c>
      <c r="I657" s="51">
        <f t="shared" ref="I657:J657" si="71">SUM(I658:I722)</f>
        <v>79095750</v>
      </c>
      <c r="J657" s="51">
        <f t="shared" si="71"/>
        <v>41500</v>
      </c>
      <c r="K657" s="2"/>
      <c r="L657" s="39">
        <v>10.0</v>
      </c>
      <c r="M657" s="39" t="s">
        <v>165</v>
      </c>
      <c r="N657" s="40">
        <f>I657</f>
        <v>79095750</v>
      </c>
    </row>
    <row r="658">
      <c r="A658" s="2"/>
      <c r="B658" s="2"/>
      <c r="C658" s="31" t="s">
        <v>106</v>
      </c>
      <c r="D658" s="22" t="s">
        <v>458</v>
      </c>
      <c r="E658" s="32" t="s">
        <v>133</v>
      </c>
      <c r="F658" s="32">
        <v>30.0</v>
      </c>
      <c r="G658" s="35">
        <v>12000.0</v>
      </c>
      <c r="H658" s="36">
        <f t="shared" ref="H658:H667" si="72">F658*G658</f>
        <v>360000</v>
      </c>
      <c r="I658" s="27"/>
      <c r="J658" s="2"/>
      <c r="K658" s="2"/>
      <c r="M658" s="39" t="s">
        <v>168</v>
      </c>
      <c r="N658" s="40">
        <f>'Kas Fisik Oprasional'!I176</f>
        <v>9534000</v>
      </c>
    </row>
    <row r="659">
      <c r="A659" s="2"/>
      <c r="B659" s="2"/>
      <c r="C659" s="34"/>
      <c r="D659" s="22" t="s">
        <v>459</v>
      </c>
      <c r="E659" s="32" t="s">
        <v>133</v>
      </c>
      <c r="F659" s="32">
        <v>74.0</v>
      </c>
      <c r="G659" s="35">
        <v>12000.0</v>
      </c>
      <c r="H659" s="36">
        <f t="shared" si="72"/>
        <v>888000</v>
      </c>
      <c r="I659" s="41">
        <f>SUM(H658:H659)</f>
        <v>1248000</v>
      </c>
      <c r="J659" s="22" t="s">
        <v>17</v>
      </c>
      <c r="K659" s="2"/>
      <c r="M659" s="39" t="s">
        <v>242</v>
      </c>
      <c r="N659" s="40">
        <f>'list Reimburse'!I48</f>
        <v>1074050</v>
      </c>
    </row>
    <row r="660">
      <c r="A660" s="2"/>
      <c r="B660" s="2"/>
      <c r="C660" s="31" t="s">
        <v>460</v>
      </c>
      <c r="D660" s="22" t="s">
        <v>458</v>
      </c>
      <c r="E660" s="32" t="s">
        <v>133</v>
      </c>
      <c r="F660" s="32">
        <v>100.0</v>
      </c>
      <c r="G660" s="35">
        <v>9600.0</v>
      </c>
      <c r="H660" s="36">
        <f t="shared" si="72"/>
        <v>960000</v>
      </c>
      <c r="I660" s="41">
        <f>H660</f>
        <v>960000</v>
      </c>
      <c r="J660" s="22" t="s">
        <v>17</v>
      </c>
      <c r="K660" s="2"/>
      <c r="M660" s="39" t="s">
        <v>345</v>
      </c>
      <c r="N660" s="39" t="s">
        <v>197</v>
      </c>
    </row>
    <row r="661">
      <c r="A661" s="2"/>
      <c r="B661" s="2"/>
      <c r="C661" s="31" t="s">
        <v>461</v>
      </c>
      <c r="D661" s="22" t="s">
        <v>462</v>
      </c>
      <c r="E661" s="32" t="s">
        <v>24</v>
      </c>
      <c r="F661" s="32">
        <v>26.0</v>
      </c>
      <c r="G661" s="35">
        <v>362500.0</v>
      </c>
      <c r="H661" s="36">
        <f t="shared" si="72"/>
        <v>9425000</v>
      </c>
      <c r="I661" s="27"/>
      <c r="J661" s="2"/>
      <c r="K661" s="2"/>
      <c r="M661" s="39" t="s">
        <v>12</v>
      </c>
      <c r="N661" s="40">
        <f>J657+'Kas Fisik Oprasional'!J176</f>
        <v>54000</v>
      </c>
    </row>
    <row r="662">
      <c r="A662" s="2"/>
      <c r="B662" s="2"/>
      <c r="C662" s="34"/>
      <c r="D662" s="22" t="s">
        <v>463</v>
      </c>
      <c r="E662" s="32" t="s">
        <v>24</v>
      </c>
      <c r="F662" s="32">
        <v>5.0</v>
      </c>
      <c r="G662" s="35">
        <v>362500.0</v>
      </c>
      <c r="H662" s="36">
        <f t="shared" si="72"/>
        <v>1812500</v>
      </c>
      <c r="I662" s="27"/>
      <c r="J662" s="2"/>
      <c r="K662" s="2"/>
      <c r="M662" s="42" t="s">
        <v>11</v>
      </c>
      <c r="N662" s="40">
        <f>sum(N657:N661)</f>
        <v>89757800</v>
      </c>
    </row>
    <row r="663">
      <c r="A663" s="2"/>
      <c r="B663" s="2"/>
      <c r="C663" s="34"/>
      <c r="D663" s="22" t="s">
        <v>464</v>
      </c>
      <c r="E663" s="32" t="s">
        <v>16</v>
      </c>
      <c r="F663" s="32">
        <v>110.0</v>
      </c>
      <c r="G663" s="35">
        <v>24500.0</v>
      </c>
      <c r="H663" s="36">
        <f t="shared" si="72"/>
        <v>2695000</v>
      </c>
      <c r="I663" s="27"/>
      <c r="J663" s="2"/>
      <c r="K663" s="2"/>
    </row>
    <row r="664">
      <c r="A664" s="2"/>
      <c r="B664" s="2"/>
      <c r="C664" s="34"/>
      <c r="D664" s="22" t="s">
        <v>465</v>
      </c>
      <c r="E664" s="32" t="s">
        <v>24</v>
      </c>
      <c r="F664" s="32">
        <v>5.0</v>
      </c>
      <c r="G664" s="35">
        <v>362500.0</v>
      </c>
      <c r="H664" s="36">
        <f t="shared" si="72"/>
        <v>1812500</v>
      </c>
      <c r="I664" s="27"/>
      <c r="J664" s="2"/>
      <c r="K664" s="2"/>
    </row>
    <row r="665">
      <c r="A665" s="2"/>
      <c r="B665" s="2"/>
      <c r="C665" s="34"/>
      <c r="D665" s="22" t="s">
        <v>466</v>
      </c>
      <c r="E665" s="32" t="s">
        <v>16</v>
      </c>
      <c r="F665" s="32">
        <v>170.0</v>
      </c>
      <c r="G665" s="35">
        <v>24500.0</v>
      </c>
      <c r="H665" s="36">
        <f t="shared" si="72"/>
        <v>4165000</v>
      </c>
      <c r="I665" s="27"/>
      <c r="J665" s="2"/>
      <c r="K665" s="2"/>
    </row>
    <row r="666">
      <c r="A666" s="2"/>
      <c r="B666" s="2"/>
      <c r="C666" s="34"/>
      <c r="D666" s="22" t="s">
        <v>467</v>
      </c>
      <c r="E666" s="32" t="s">
        <v>24</v>
      </c>
      <c r="F666" s="32">
        <v>4.0</v>
      </c>
      <c r="G666" s="35">
        <v>362500.0</v>
      </c>
      <c r="H666" s="36">
        <f t="shared" si="72"/>
        <v>1450000</v>
      </c>
      <c r="I666" s="41">
        <f>SUM(H661:H666)</f>
        <v>21360000</v>
      </c>
      <c r="J666" s="22" t="s">
        <v>17</v>
      </c>
      <c r="K666" s="2"/>
    </row>
    <row r="667">
      <c r="A667" s="2"/>
      <c r="B667" s="2"/>
      <c r="C667" s="31" t="s">
        <v>18</v>
      </c>
      <c r="D667" s="22" t="s">
        <v>19</v>
      </c>
      <c r="E667" s="32" t="s">
        <v>16</v>
      </c>
      <c r="F667" s="32">
        <v>3.0</v>
      </c>
      <c r="G667" s="35">
        <v>35000.0</v>
      </c>
      <c r="H667" s="36">
        <f t="shared" si="72"/>
        <v>105000</v>
      </c>
      <c r="I667" s="27"/>
      <c r="J667" s="2"/>
      <c r="K667" s="2"/>
    </row>
    <row r="668">
      <c r="A668" s="2"/>
      <c r="B668" s="2"/>
      <c r="C668" s="34"/>
      <c r="D668" s="22" t="s">
        <v>20</v>
      </c>
      <c r="E668" s="32" t="s">
        <v>16</v>
      </c>
      <c r="F668" s="32">
        <v>6.5</v>
      </c>
      <c r="G668" s="35">
        <f>H668/F668</f>
        <v>45076.92308</v>
      </c>
      <c r="H668" s="35">
        <v>293000.0</v>
      </c>
      <c r="I668" s="27"/>
      <c r="J668" s="2"/>
      <c r="K668" s="2"/>
    </row>
    <row r="669">
      <c r="A669" s="2"/>
      <c r="B669" s="2"/>
      <c r="C669" s="34"/>
      <c r="D669" s="22" t="s">
        <v>21</v>
      </c>
      <c r="E669" s="32" t="s">
        <v>16</v>
      </c>
      <c r="F669" s="32">
        <v>4.0</v>
      </c>
      <c r="G669" s="35">
        <v>45000.0</v>
      </c>
      <c r="H669" s="36">
        <f>F669*G669</f>
        <v>180000</v>
      </c>
      <c r="I669" s="41">
        <f>SUM(H667:H669)</f>
        <v>578000</v>
      </c>
      <c r="J669" s="22" t="s">
        <v>17</v>
      </c>
      <c r="K669" s="2"/>
    </row>
    <row r="670">
      <c r="A670" s="2"/>
      <c r="B670" s="2"/>
      <c r="C670" s="31" t="s">
        <v>468</v>
      </c>
      <c r="D670" s="22" t="s">
        <v>469</v>
      </c>
      <c r="E670" s="32" t="s">
        <v>16</v>
      </c>
      <c r="F670" s="32">
        <v>80.0</v>
      </c>
      <c r="G670" s="36">
        <f>H670/F670</f>
        <v>150000</v>
      </c>
      <c r="H670" s="35">
        <v>1.2E7</v>
      </c>
      <c r="I670" s="41">
        <f>H670</f>
        <v>12000000</v>
      </c>
      <c r="J670" s="22" t="s">
        <v>17</v>
      </c>
      <c r="K670" s="2"/>
    </row>
    <row r="671">
      <c r="A671" s="2"/>
      <c r="B671" s="2"/>
      <c r="C671" s="31" t="s">
        <v>434</v>
      </c>
      <c r="D671" s="22" t="s">
        <v>470</v>
      </c>
      <c r="E671" s="32" t="s">
        <v>310</v>
      </c>
      <c r="F671" s="32">
        <v>1.0</v>
      </c>
      <c r="G671" s="35">
        <v>365000.0</v>
      </c>
      <c r="H671" s="35">
        <f t="shared" ref="H671:H676" si="73">F671*G671</f>
        <v>365000</v>
      </c>
      <c r="I671" s="27"/>
      <c r="J671" s="2"/>
      <c r="K671" s="2"/>
    </row>
    <row r="672">
      <c r="A672" s="2"/>
      <c r="B672" s="2"/>
      <c r="C672" s="34"/>
      <c r="D672" s="22" t="s">
        <v>307</v>
      </c>
      <c r="E672" s="32" t="s">
        <v>16</v>
      </c>
      <c r="F672" s="32">
        <v>1.0</v>
      </c>
      <c r="G672" s="35">
        <v>30000.0</v>
      </c>
      <c r="H672" s="35">
        <f t="shared" si="73"/>
        <v>30000</v>
      </c>
      <c r="I672" s="27"/>
      <c r="J672" s="2"/>
      <c r="K672" s="2"/>
    </row>
    <row r="673">
      <c r="A673" s="2"/>
      <c r="B673" s="2"/>
      <c r="C673" s="34"/>
      <c r="D673" s="22" t="s">
        <v>471</v>
      </c>
      <c r="E673" s="32" t="s">
        <v>472</v>
      </c>
      <c r="F673" s="32">
        <v>2.0</v>
      </c>
      <c r="G673" s="35">
        <v>121000.0</v>
      </c>
      <c r="H673" s="35">
        <f t="shared" si="73"/>
        <v>242000</v>
      </c>
      <c r="I673" s="27"/>
      <c r="J673" s="2"/>
      <c r="K673" s="2"/>
    </row>
    <row r="674">
      <c r="A674" s="2"/>
      <c r="B674" s="2"/>
      <c r="C674" s="34"/>
      <c r="D674" s="22" t="s">
        <v>473</v>
      </c>
      <c r="E674" s="32" t="s">
        <v>472</v>
      </c>
      <c r="F674" s="32">
        <v>2.0</v>
      </c>
      <c r="G674" s="35">
        <v>99500.0</v>
      </c>
      <c r="H674" s="35">
        <f t="shared" si="73"/>
        <v>199000</v>
      </c>
      <c r="I674" s="27"/>
      <c r="J674" s="2"/>
      <c r="K674" s="2"/>
    </row>
    <row r="675">
      <c r="A675" s="2"/>
      <c r="B675" s="2"/>
      <c r="C675" s="34"/>
      <c r="D675" s="22" t="s">
        <v>474</v>
      </c>
      <c r="E675" s="32" t="s">
        <v>144</v>
      </c>
      <c r="F675" s="32">
        <v>2.0</v>
      </c>
      <c r="G675" s="35">
        <v>240000.0</v>
      </c>
      <c r="H675" s="35">
        <f t="shared" si="73"/>
        <v>480000</v>
      </c>
      <c r="I675" s="27"/>
      <c r="J675" s="2"/>
      <c r="K675" s="2"/>
    </row>
    <row r="676">
      <c r="A676" s="2"/>
      <c r="B676" s="2"/>
      <c r="C676" s="34"/>
      <c r="D676" s="22" t="s">
        <v>475</v>
      </c>
      <c r="E676" s="32" t="s">
        <v>310</v>
      </c>
      <c r="F676" s="32">
        <v>2.0</v>
      </c>
      <c r="G676" s="35">
        <v>142500.0</v>
      </c>
      <c r="H676" s="35">
        <f t="shared" si="73"/>
        <v>285000</v>
      </c>
      <c r="I676" s="27"/>
      <c r="J676" s="2"/>
      <c r="K676" s="2"/>
    </row>
    <row r="677">
      <c r="A677" s="2"/>
      <c r="B677" s="2"/>
      <c r="C677" s="34"/>
      <c r="D677" s="22"/>
      <c r="E677" s="32"/>
      <c r="F677" s="32"/>
      <c r="G677" s="35"/>
      <c r="H677" s="35">
        <v>-1017500.0</v>
      </c>
      <c r="I677" s="41">
        <f>SUM(H671:H677)</f>
        <v>583500</v>
      </c>
      <c r="J677" s="2"/>
      <c r="K677" s="2"/>
    </row>
    <row r="678">
      <c r="A678" s="2"/>
      <c r="B678" s="2"/>
      <c r="C678" s="31" t="s">
        <v>25</v>
      </c>
      <c r="D678" s="22" t="s">
        <v>26</v>
      </c>
      <c r="E678" s="32" t="s">
        <v>16</v>
      </c>
      <c r="F678" s="32">
        <v>50.0</v>
      </c>
      <c r="G678" s="35">
        <v>7500.0</v>
      </c>
      <c r="H678" s="36">
        <f t="shared" ref="H678:H690" si="74">F678*G678</f>
        <v>375000</v>
      </c>
      <c r="I678" s="41">
        <f>H678</f>
        <v>375000</v>
      </c>
      <c r="J678" s="22" t="s">
        <v>17</v>
      </c>
      <c r="K678" s="2"/>
    </row>
    <row r="679">
      <c r="A679" s="2"/>
      <c r="B679" s="2"/>
      <c r="C679" s="31" t="s">
        <v>476</v>
      </c>
      <c r="D679" s="22" t="s">
        <v>477</v>
      </c>
      <c r="E679" s="32" t="s">
        <v>16</v>
      </c>
      <c r="F679" s="32">
        <v>20.0</v>
      </c>
      <c r="G679" s="35">
        <v>35000.0</v>
      </c>
      <c r="H679" s="36">
        <f t="shared" si="74"/>
        <v>700000</v>
      </c>
      <c r="I679" s="27"/>
      <c r="J679" s="2"/>
      <c r="K679" s="2"/>
    </row>
    <row r="680">
      <c r="A680" s="2"/>
      <c r="B680" s="2"/>
      <c r="C680" s="34"/>
      <c r="D680" s="22" t="s">
        <v>478</v>
      </c>
      <c r="E680" s="32" t="s">
        <v>287</v>
      </c>
      <c r="F680" s="32">
        <v>1.0</v>
      </c>
      <c r="G680" s="35">
        <v>460000.0</v>
      </c>
      <c r="H680" s="36">
        <f t="shared" si="74"/>
        <v>460000</v>
      </c>
      <c r="I680" s="41">
        <f>SUM(H679:H680)</f>
        <v>1160000</v>
      </c>
      <c r="J680" s="22" t="s">
        <v>17</v>
      </c>
      <c r="K680" s="27">
        <f>G680/20</f>
        <v>23000</v>
      </c>
    </row>
    <row r="681">
      <c r="A681" s="2"/>
      <c r="B681" s="2"/>
      <c r="C681" s="31" t="s">
        <v>189</v>
      </c>
      <c r="D681" s="22" t="s">
        <v>479</v>
      </c>
      <c r="E681" s="32" t="s">
        <v>16</v>
      </c>
      <c r="F681" s="32">
        <v>92.0</v>
      </c>
      <c r="G681" s="35">
        <v>34500.0</v>
      </c>
      <c r="H681" s="36">
        <f t="shared" si="74"/>
        <v>3174000</v>
      </c>
      <c r="I681" s="41">
        <f>H681</f>
        <v>3174000</v>
      </c>
      <c r="J681" s="22" t="s">
        <v>17</v>
      </c>
      <c r="K681" s="2"/>
    </row>
    <row r="682">
      <c r="A682" s="2"/>
      <c r="B682" s="2"/>
      <c r="C682" s="34"/>
      <c r="D682" s="22" t="s">
        <v>415</v>
      </c>
      <c r="E682" s="32" t="s">
        <v>16</v>
      </c>
      <c r="F682" s="32">
        <v>85.0</v>
      </c>
      <c r="G682" s="35">
        <v>12000.0</v>
      </c>
      <c r="H682" s="36">
        <f t="shared" si="74"/>
        <v>1020000</v>
      </c>
      <c r="I682" s="27"/>
      <c r="J682" s="2"/>
      <c r="K682" s="2"/>
    </row>
    <row r="683">
      <c r="A683" s="2"/>
      <c r="B683" s="2"/>
      <c r="C683" s="34"/>
      <c r="D683" s="22" t="s">
        <v>441</v>
      </c>
      <c r="E683" s="32" t="s">
        <v>16</v>
      </c>
      <c r="F683" s="32">
        <v>2.0</v>
      </c>
      <c r="G683" s="35">
        <v>25000.0</v>
      </c>
      <c r="H683" s="36">
        <f t="shared" si="74"/>
        <v>50000</v>
      </c>
      <c r="I683" s="27"/>
      <c r="J683" s="2"/>
      <c r="K683" s="2"/>
    </row>
    <row r="684">
      <c r="A684" s="2"/>
      <c r="B684" s="2"/>
      <c r="C684" s="34"/>
      <c r="D684" s="22" t="s">
        <v>29</v>
      </c>
      <c r="E684" s="32" t="s">
        <v>16</v>
      </c>
      <c r="F684" s="32">
        <v>7.5</v>
      </c>
      <c r="G684" s="35">
        <v>50000.0</v>
      </c>
      <c r="H684" s="36">
        <f t="shared" si="74"/>
        <v>375000</v>
      </c>
      <c r="I684" s="27"/>
      <c r="J684" s="2"/>
      <c r="K684" s="2"/>
    </row>
    <row r="685">
      <c r="A685" s="2"/>
      <c r="B685" s="2"/>
      <c r="C685" s="34"/>
      <c r="D685" s="22" t="s">
        <v>30</v>
      </c>
      <c r="E685" s="32" t="s">
        <v>16</v>
      </c>
      <c r="F685" s="32">
        <v>3.0</v>
      </c>
      <c r="G685" s="35">
        <v>80000.0</v>
      </c>
      <c r="H685" s="36">
        <f t="shared" si="74"/>
        <v>240000</v>
      </c>
      <c r="I685" s="27"/>
      <c r="J685" s="2"/>
      <c r="K685" s="2"/>
    </row>
    <row r="686">
      <c r="A686" s="2"/>
      <c r="B686" s="2"/>
      <c r="C686" s="34"/>
      <c r="D686" s="22" t="s">
        <v>87</v>
      </c>
      <c r="E686" s="32" t="s">
        <v>16</v>
      </c>
      <c r="F686" s="32">
        <v>47.0</v>
      </c>
      <c r="G686" s="35">
        <v>7000.0</v>
      </c>
      <c r="H686" s="36">
        <f t="shared" si="74"/>
        <v>329000</v>
      </c>
      <c r="I686" s="27"/>
      <c r="J686" s="2"/>
      <c r="K686" s="2"/>
    </row>
    <row r="687">
      <c r="A687" s="2"/>
      <c r="B687" s="2"/>
      <c r="C687" s="34"/>
      <c r="D687" s="22" t="s">
        <v>34</v>
      </c>
      <c r="E687" s="32" t="s">
        <v>16</v>
      </c>
      <c r="F687" s="32">
        <v>85.0</v>
      </c>
      <c r="G687" s="35">
        <v>7000.0</v>
      </c>
      <c r="H687" s="36">
        <f t="shared" si="74"/>
        <v>595000</v>
      </c>
      <c r="I687" s="27"/>
      <c r="J687" s="2"/>
      <c r="K687" s="2"/>
    </row>
    <row r="688">
      <c r="A688" s="2"/>
      <c r="B688" s="2"/>
      <c r="C688" s="34"/>
      <c r="D688" s="22" t="s">
        <v>35</v>
      </c>
      <c r="E688" s="32" t="s">
        <v>16</v>
      </c>
      <c r="F688" s="32">
        <v>105.0</v>
      </c>
      <c r="G688" s="35">
        <v>14000.0</v>
      </c>
      <c r="H688" s="36">
        <f t="shared" si="74"/>
        <v>1470000</v>
      </c>
      <c r="I688" s="27"/>
      <c r="J688" s="2"/>
      <c r="K688" s="2"/>
    </row>
    <row r="689">
      <c r="A689" s="2"/>
      <c r="B689" s="2"/>
      <c r="C689" s="34"/>
      <c r="D689" s="22" t="s">
        <v>31</v>
      </c>
      <c r="E689" s="32" t="s">
        <v>16</v>
      </c>
      <c r="F689" s="32">
        <v>5.0</v>
      </c>
      <c r="G689" s="35">
        <v>18000.0</v>
      </c>
      <c r="H689" s="36">
        <f t="shared" si="74"/>
        <v>90000</v>
      </c>
      <c r="I689" s="27"/>
      <c r="J689" s="2"/>
      <c r="K689" s="2"/>
    </row>
    <row r="690">
      <c r="A690" s="2"/>
      <c r="B690" s="2"/>
      <c r="C690" s="34"/>
      <c r="D690" s="22" t="s">
        <v>480</v>
      </c>
      <c r="E690" s="32" t="s">
        <v>16</v>
      </c>
      <c r="F690" s="32">
        <v>32.0</v>
      </c>
      <c r="G690" s="35">
        <v>27500.0</v>
      </c>
      <c r="H690" s="36">
        <f t="shared" si="74"/>
        <v>880000</v>
      </c>
      <c r="I690" s="41">
        <f>SUM(H682:H690)</f>
        <v>5049000</v>
      </c>
      <c r="J690" s="22" t="s">
        <v>17</v>
      </c>
      <c r="K690" s="2"/>
    </row>
    <row r="691">
      <c r="A691" s="2"/>
      <c r="B691" s="2"/>
      <c r="C691" s="31" t="s">
        <v>401</v>
      </c>
      <c r="D691" s="22" t="s">
        <v>39</v>
      </c>
      <c r="E691" s="32" t="s">
        <v>16</v>
      </c>
      <c r="F691" s="32">
        <v>0.25</v>
      </c>
      <c r="G691" s="35">
        <f t="shared" ref="G691:G692" si="75">H691/F691</f>
        <v>12000</v>
      </c>
      <c r="H691" s="35">
        <v>3000.0</v>
      </c>
      <c r="I691" s="27"/>
      <c r="J691" s="2"/>
      <c r="K691" s="2"/>
    </row>
    <row r="692">
      <c r="A692" s="2"/>
      <c r="B692" s="2"/>
      <c r="C692" s="34"/>
      <c r="D692" s="22" t="s">
        <v>274</v>
      </c>
      <c r="E692" s="32" t="s">
        <v>16</v>
      </c>
      <c r="F692" s="32">
        <v>4.0</v>
      </c>
      <c r="G692" s="35">
        <f t="shared" si="75"/>
        <v>19000</v>
      </c>
      <c r="H692" s="35">
        <v>76000.0</v>
      </c>
      <c r="I692" s="41">
        <f>SUM(H691:H692)</f>
        <v>79000</v>
      </c>
      <c r="J692" s="22" t="s">
        <v>17</v>
      </c>
      <c r="K692" s="2"/>
    </row>
    <row r="693">
      <c r="A693" s="2"/>
      <c r="B693" s="2"/>
      <c r="C693" s="31" t="s">
        <v>44</v>
      </c>
      <c r="D693" s="22" t="s">
        <v>102</v>
      </c>
      <c r="E693" s="32" t="s">
        <v>59</v>
      </c>
      <c r="F693" s="32">
        <v>2.0</v>
      </c>
      <c r="G693" s="35">
        <v>225000.0</v>
      </c>
      <c r="H693" s="36">
        <f t="shared" ref="H693:H696" si="76">G693*F693</f>
        <v>450000</v>
      </c>
      <c r="I693" s="27"/>
      <c r="J693" s="2"/>
      <c r="K693" s="2"/>
    </row>
    <row r="694">
      <c r="A694" s="2"/>
      <c r="B694" s="2"/>
      <c r="C694" s="34"/>
      <c r="D694" s="22" t="s">
        <v>95</v>
      </c>
      <c r="E694" s="32" t="s">
        <v>16</v>
      </c>
      <c r="F694" s="32">
        <v>6.0</v>
      </c>
      <c r="G694" s="35">
        <v>17000.0</v>
      </c>
      <c r="H694" s="36">
        <f t="shared" si="76"/>
        <v>102000</v>
      </c>
      <c r="I694" s="27"/>
      <c r="J694" s="2"/>
      <c r="K694" s="2"/>
    </row>
    <row r="695">
      <c r="A695" s="2"/>
      <c r="B695" s="2"/>
      <c r="C695" s="34"/>
      <c r="D695" s="22" t="s">
        <v>481</v>
      </c>
      <c r="E695" s="32" t="s">
        <v>16</v>
      </c>
      <c r="F695" s="32">
        <v>1.0</v>
      </c>
      <c r="G695" s="35">
        <v>48000.0</v>
      </c>
      <c r="H695" s="36">
        <f t="shared" si="76"/>
        <v>48000</v>
      </c>
      <c r="I695" s="27"/>
      <c r="J695" s="2"/>
      <c r="K695" s="2"/>
    </row>
    <row r="696">
      <c r="A696" s="2"/>
      <c r="B696" s="2"/>
      <c r="C696" s="34"/>
      <c r="D696" s="22" t="s">
        <v>293</v>
      </c>
      <c r="E696" s="32" t="s">
        <v>16</v>
      </c>
      <c r="F696" s="32">
        <v>1.0</v>
      </c>
      <c r="G696" s="35">
        <v>70000.0</v>
      </c>
      <c r="H696" s="36">
        <f t="shared" si="76"/>
        <v>70000</v>
      </c>
      <c r="I696" s="27"/>
      <c r="J696" s="2"/>
      <c r="K696" s="2"/>
    </row>
    <row r="697">
      <c r="A697" s="2"/>
      <c r="B697" s="2"/>
      <c r="C697" s="34"/>
      <c r="D697" s="22" t="s">
        <v>482</v>
      </c>
      <c r="E697" s="32" t="s">
        <v>16</v>
      </c>
      <c r="F697" s="32">
        <v>155.0</v>
      </c>
      <c r="G697" s="35">
        <v>2450.0</v>
      </c>
      <c r="H697" s="36">
        <f t="shared" ref="H697:H715" si="77">F697*G697</f>
        <v>379750</v>
      </c>
      <c r="I697" s="27"/>
      <c r="J697" s="2"/>
      <c r="K697" s="2"/>
    </row>
    <row r="698">
      <c r="A698" s="2"/>
      <c r="B698" s="2"/>
      <c r="C698" s="34"/>
      <c r="D698" s="22" t="s">
        <v>158</v>
      </c>
      <c r="E698" s="32" t="s">
        <v>62</v>
      </c>
      <c r="F698" s="32">
        <v>1.0</v>
      </c>
      <c r="G698" s="35">
        <v>80000.0</v>
      </c>
      <c r="H698" s="36">
        <f t="shared" si="77"/>
        <v>80000</v>
      </c>
      <c r="I698" s="27"/>
      <c r="J698" s="2"/>
      <c r="K698" s="2"/>
    </row>
    <row r="699">
      <c r="A699" s="2"/>
      <c r="B699" s="2"/>
      <c r="C699" s="34"/>
      <c r="D699" s="22" t="s">
        <v>95</v>
      </c>
      <c r="E699" s="32" t="s">
        <v>16</v>
      </c>
      <c r="F699" s="32">
        <v>10.0</v>
      </c>
      <c r="G699" s="35">
        <v>17000.0</v>
      </c>
      <c r="H699" s="36">
        <f t="shared" si="77"/>
        <v>170000</v>
      </c>
      <c r="I699" s="27"/>
      <c r="J699" s="2"/>
      <c r="K699" s="2"/>
    </row>
    <row r="700">
      <c r="A700" s="2"/>
      <c r="B700" s="2"/>
      <c r="C700" s="34"/>
      <c r="D700" s="22" t="s">
        <v>45</v>
      </c>
      <c r="E700" s="32" t="s">
        <v>62</v>
      </c>
      <c r="F700" s="32">
        <v>3.0</v>
      </c>
      <c r="G700" s="35">
        <v>185000.0</v>
      </c>
      <c r="H700" s="36">
        <f t="shared" si="77"/>
        <v>555000</v>
      </c>
      <c r="I700" s="27"/>
      <c r="J700" s="2"/>
      <c r="K700" s="2"/>
    </row>
    <row r="701">
      <c r="A701" s="2"/>
      <c r="B701" s="2"/>
      <c r="C701" s="34"/>
      <c r="D701" s="22" t="s">
        <v>172</v>
      </c>
      <c r="E701" s="32" t="s">
        <v>16</v>
      </c>
      <c r="F701" s="32">
        <v>2.0</v>
      </c>
      <c r="G701" s="35">
        <v>110000.0</v>
      </c>
      <c r="H701" s="36">
        <f t="shared" si="77"/>
        <v>220000</v>
      </c>
      <c r="I701" s="27"/>
      <c r="J701" s="2"/>
      <c r="K701" s="2"/>
    </row>
    <row r="702">
      <c r="A702" s="2"/>
      <c r="B702" s="2"/>
      <c r="C702" s="34"/>
      <c r="D702" s="22" t="s">
        <v>483</v>
      </c>
      <c r="E702" s="32" t="s">
        <v>16</v>
      </c>
      <c r="F702" s="32">
        <v>0.25</v>
      </c>
      <c r="G702" s="35">
        <v>48000.0</v>
      </c>
      <c r="H702" s="36">
        <f t="shared" si="77"/>
        <v>12000</v>
      </c>
      <c r="I702" s="27"/>
      <c r="J702" s="2"/>
      <c r="K702" s="2"/>
    </row>
    <row r="703">
      <c r="A703" s="2"/>
      <c r="B703" s="2"/>
      <c r="C703" s="34"/>
      <c r="D703" s="22" t="s">
        <v>63</v>
      </c>
      <c r="E703" s="32" t="s">
        <v>54</v>
      </c>
      <c r="F703" s="32">
        <v>6.0</v>
      </c>
      <c r="G703" s="35">
        <v>190000.0</v>
      </c>
      <c r="H703" s="36">
        <f t="shared" si="77"/>
        <v>1140000</v>
      </c>
      <c r="I703" s="27"/>
      <c r="J703" s="2"/>
      <c r="K703" s="2"/>
    </row>
    <row r="704">
      <c r="A704" s="2"/>
      <c r="B704" s="2"/>
      <c r="C704" s="34"/>
      <c r="D704" s="22" t="s">
        <v>49</v>
      </c>
      <c r="E704" s="32" t="s">
        <v>16</v>
      </c>
      <c r="F704" s="32">
        <v>3.0</v>
      </c>
      <c r="G704" s="35">
        <v>46000.0</v>
      </c>
      <c r="H704" s="36">
        <f t="shared" si="77"/>
        <v>138000</v>
      </c>
      <c r="I704" s="27"/>
      <c r="J704" s="2"/>
      <c r="K704" s="2"/>
    </row>
    <row r="705">
      <c r="A705" s="2"/>
      <c r="B705" s="2"/>
      <c r="C705" s="34"/>
      <c r="D705" s="22" t="s">
        <v>52</v>
      </c>
      <c r="E705" s="32" t="s">
        <v>16</v>
      </c>
      <c r="F705" s="32">
        <v>2.0</v>
      </c>
      <c r="G705" s="35">
        <v>42000.0</v>
      </c>
      <c r="H705" s="36">
        <f t="shared" si="77"/>
        <v>84000</v>
      </c>
      <c r="I705" s="27"/>
      <c r="J705" s="2"/>
      <c r="K705" s="2"/>
    </row>
    <row r="706">
      <c r="A706" s="2"/>
      <c r="B706" s="2"/>
      <c r="C706" s="34"/>
      <c r="D706" s="22" t="s">
        <v>260</v>
      </c>
      <c r="E706" s="32" t="s">
        <v>48</v>
      </c>
      <c r="F706" s="32">
        <v>4.0</v>
      </c>
      <c r="G706" s="35">
        <v>53000.0</v>
      </c>
      <c r="H706" s="36">
        <f t="shared" si="77"/>
        <v>212000</v>
      </c>
      <c r="I706" s="27"/>
      <c r="J706" s="2"/>
      <c r="K706" s="2"/>
    </row>
    <row r="707">
      <c r="A707" s="2"/>
      <c r="B707" s="2"/>
      <c r="C707" s="34"/>
      <c r="D707" s="22" t="s">
        <v>100</v>
      </c>
      <c r="E707" s="32" t="s">
        <v>16</v>
      </c>
      <c r="F707" s="32">
        <v>5.0</v>
      </c>
      <c r="G707" s="35">
        <v>14000.0</v>
      </c>
      <c r="H707" s="36">
        <f t="shared" si="77"/>
        <v>70000</v>
      </c>
      <c r="I707" s="27"/>
      <c r="J707" s="2"/>
      <c r="K707" s="2"/>
    </row>
    <row r="708">
      <c r="A708" s="2"/>
      <c r="B708" s="2"/>
      <c r="C708" s="34"/>
      <c r="D708" s="22" t="s">
        <v>60</v>
      </c>
      <c r="E708" s="32" t="s">
        <v>16</v>
      </c>
      <c r="F708" s="32">
        <v>8.0</v>
      </c>
      <c r="G708" s="35">
        <v>26000.0</v>
      </c>
      <c r="H708" s="36">
        <f t="shared" si="77"/>
        <v>208000</v>
      </c>
      <c r="I708" s="27"/>
      <c r="J708" s="2"/>
      <c r="K708" s="2"/>
    </row>
    <row r="709">
      <c r="A709" s="2"/>
      <c r="B709" s="2"/>
      <c r="C709" s="34"/>
      <c r="D709" s="22" t="s">
        <v>58</v>
      </c>
      <c r="E709" s="32" t="s">
        <v>16</v>
      </c>
      <c r="F709" s="32">
        <v>10.0</v>
      </c>
      <c r="G709" s="35">
        <v>11250.0</v>
      </c>
      <c r="H709" s="36">
        <f t="shared" si="77"/>
        <v>112500</v>
      </c>
      <c r="I709" s="27"/>
      <c r="J709" s="2"/>
      <c r="K709" s="2"/>
    </row>
    <row r="710">
      <c r="A710" s="2"/>
      <c r="B710" s="2"/>
      <c r="C710" s="34"/>
      <c r="D710" s="22" t="s">
        <v>484</v>
      </c>
      <c r="E710" s="32" t="s">
        <v>48</v>
      </c>
      <c r="F710" s="32">
        <v>1.0</v>
      </c>
      <c r="G710" s="35">
        <v>29000.0</v>
      </c>
      <c r="H710" s="36">
        <f t="shared" si="77"/>
        <v>29000</v>
      </c>
      <c r="I710" s="27"/>
      <c r="J710" s="2"/>
      <c r="K710" s="2"/>
    </row>
    <row r="711">
      <c r="A711" s="2"/>
      <c r="B711" s="2"/>
      <c r="C711" s="34"/>
      <c r="D711" s="22" t="s">
        <v>485</v>
      </c>
      <c r="E711" s="32" t="s">
        <v>48</v>
      </c>
      <c r="F711" s="32">
        <v>1.0</v>
      </c>
      <c r="G711" s="35">
        <v>37000.0</v>
      </c>
      <c r="H711" s="36">
        <f t="shared" si="77"/>
        <v>37000</v>
      </c>
      <c r="I711" s="27"/>
      <c r="J711" s="2"/>
      <c r="K711" s="2"/>
    </row>
    <row r="712">
      <c r="A712" s="2"/>
      <c r="B712" s="2"/>
      <c r="C712" s="34"/>
      <c r="D712" s="22" t="s">
        <v>93</v>
      </c>
      <c r="E712" s="32" t="s">
        <v>48</v>
      </c>
      <c r="F712" s="32">
        <v>1.0</v>
      </c>
      <c r="G712" s="35">
        <v>47000.0</v>
      </c>
      <c r="H712" s="36">
        <f t="shared" si="77"/>
        <v>47000</v>
      </c>
      <c r="I712" s="27"/>
      <c r="J712" s="2"/>
      <c r="K712" s="2"/>
    </row>
    <row r="713">
      <c r="A713" s="2"/>
      <c r="B713" s="2"/>
      <c r="C713" s="31"/>
      <c r="D713" s="22"/>
      <c r="E713" s="32" t="s">
        <v>16</v>
      </c>
      <c r="F713" s="32">
        <v>0.5</v>
      </c>
      <c r="G713" s="35">
        <v>46000.0</v>
      </c>
      <c r="H713" s="35">
        <f t="shared" si="77"/>
        <v>23000</v>
      </c>
      <c r="I713" s="41">
        <f>SUM(H693:H713)</f>
        <v>4187250</v>
      </c>
      <c r="J713" s="22" t="s">
        <v>17</v>
      </c>
      <c r="K713" s="2"/>
    </row>
    <row r="714">
      <c r="A714" s="2"/>
      <c r="B714" s="2"/>
      <c r="C714" s="31" t="s">
        <v>486</v>
      </c>
      <c r="D714" s="22" t="s">
        <v>487</v>
      </c>
      <c r="E714" s="32" t="s">
        <v>301</v>
      </c>
      <c r="F714" s="32">
        <v>1200.0</v>
      </c>
      <c r="G714" s="35">
        <v>3500.0</v>
      </c>
      <c r="H714" s="36">
        <f t="shared" si="77"/>
        <v>4200000</v>
      </c>
      <c r="I714" s="27"/>
      <c r="J714" s="2"/>
      <c r="K714" s="2"/>
    </row>
    <row r="715">
      <c r="A715" s="2"/>
      <c r="B715" s="2"/>
      <c r="C715" s="34"/>
      <c r="D715" s="22" t="s">
        <v>488</v>
      </c>
      <c r="E715" s="32" t="s">
        <v>16</v>
      </c>
      <c r="F715" s="32">
        <v>235.0</v>
      </c>
      <c r="G715" s="35">
        <v>27500.0</v>
      </c>
      <c r="H715" s="36">
        <f t="shared" si="77"/>
        <v>6462500</v>
      </c>
      <c r="I715" s="41"/>
      <c r="J715" s="2"/>
      <c r="K715" s="2"/>
    </row>
    <row r="716">
      <c r="A716" s="2"/>
      <c r="B716" s="2"/>
      <c r="C716" s="31"/>
      <c r="D716" s="22" t="s">
        <v>489</v>
      </c>
      <c r="E716" s="32"/>
      <c r="F716" s="32"/>
      <c r="G716" s="35"/>
      <c r="H716" s="35">
        <v>-500.0</v>
      </c>
      <c r="I716" s="41">
        <f>SUM(H714:H716)</f>
        <v>10662000</v>
      </c>
      <c r="J716" s="2"/>
      <c r="K716" s="2"/>
    </row>
    <row r="717">
      <c r="A717" s="2"/>
      <c r="B717" s="2"/>
      <c r="C717" s="31" t="s">
        <v>203</v>
      </c>
      <c r="D717" s="22" t="s">
        <v>490</v>
      </c>
      <c r="E717" s="32" t="s">
        <v>16</v>
      </c>
      <c r="F717" s="32">
        <v>170.0</v>
      </c>
      <c r="G717" s="35">
        <v>30000.0</v>
      </c>
      <c r="H717" s="36">
        <f t="shared" ref="H717:H720" si="78">F717*G717</f>
        <v>5100000</v>
      </c>
      <c r="I717" s="41">
        <f>H717</f>
        <v>5100000</v>
      </c>
      <c r="J717" s="2"/>
      <c r="K717" s="2"/>
    </row>
    <row r="718">
      <c r="A718" s="2"/>
      <c r="B718" s="2"/>
      <c r="C718" s="39" t="s">
        <v>122</v>
      </c>
      <c r="D718" s="39" t="s">
        <v>491</v>
      </c>
      <c r="E718" s="45" t="s">
        <v>186</v>
      </c>
      <c r="F718" s="45">
        <v>13.0</v>
      </c>
      <c r="G718" s="38">
        <v>580000.0</v>
      </c>
      <c r="H718" s="36">
        <f t="shared" si="78"/>
        <v>7540000</v>
      </c>
      <c r="I718" s="27"/>
      <c r="J718" s="2"/>
      <c r="K718" s="2"/>
    </row>
    <row r="719">
      <c r="A719" s="2"/>
      <c r="B719" s="2"/>
      <c r="C719" s="39"/>
      <c r="D719" s="39" t="s">
        <v>491</v>
      </c>
      <c r="E719" s="45" t="s">
        <v>16</v>
      </c>
      <c r="F719" s="45">
        <v>14.0</v>
      </c>
      <c r="G719" s="38">
        <v>35000.0</v>
      </c>
      <c r="H719" s="36">
        <f t="shared" si="78"/>
        <v>490000</v>
      </c>
      <c r="I719" s="27"/>
      <c r="J719" s="2"/>
      <c r="K719" s="2"/>
    </row>
    <row r="720">
      <c r="A720" s="2"/>
      <c r="B720" s="2"/>
      <c r="D720" s="39" t="s">
        <v>492</v>
      </c>
      <c r="E720" s="45" t="s">
        <v>50</v>
      </c>
      <c r="F720" s="45">
        <v>2550.0</v>
      </c>
      <c r="G720" s="38">
        <v>1800.0</v>
      </c>
      <c r="H720" s="36">
        <f t="shared" si="78"/>
        <v>4590000</v>
      </c>
      <c r="I720" s="27"/>
      <c r="J720" s="2"/>
      <c r="K720" s="2"/>
    </row>
    <row r="721">
      <c r="A721" s="2"/>
      <c r="B721" s="2"/>
      <c r="C721" s="34"/>
      <c r="D721" s="59" t="s">
        <v>493</v>
      </c>
      <c r="E721" s="60"/>
      <c r="F721" s="60"/>
      <c r="G721" s="61"/>
      <c r="H721" s="58">
        <v>-40000.0</v>
      </c>
      <c r="I721" s="41">
        <f>SUM(H718:H721)</f>
        <v>12580000</v>
      </c>
      <c r="J721" s="2"/>
      <c r="K721" s="2"/>
    </row>
    <row r="722">
      <c r="A722" s="2"/>
      <c r="B722" s="2"/>
      <c r="C722" s="34"/>
      <c r="D722" s="2"/>
      <c r="E722" s="12"/>
      <c r="F722" s="32">
        <v>14.0</v>
      </c>
      <c r="G722" s="35">
        <v>2500.0</v>
      </c>
      <c r="H722" s="36">
        <f>F722*G722+6500</f>
        <v>41500</v>
      </c>
      <c r="I722" s="27"/>
      <c r="J722" s="33">
        <f>H722</f>
        <v>41500</v>
      </c>
      <c r="K722" s="2"/>
    </row>
    <row r="723">
      <c r="A723" s="46" t="s">
        <v>494</v>
      </c>
      <c r="B723" s="47"/>
      <c r="C723" s="47"/>
      <c r="D723" s="47"/>
      <c r="E723" s="48"/>
      <c r="F723" s="48"/>
      <c r="G723" s="49"/>
      <c r="H723" s="50" t="s">
        <v>11</v>
      </c>
      <c r="I723" s="51">
        <f t="shared" ref="I723:J723" si="79">SUM(I724:I795)</f>
        <v>105970000</v>
      </c>
      <c r="J723" s="51">
        <f t="shared" si="79"/>
        <v>46500</v>
      </c>
      <c r="K723" s="2"/>
      <c r="L723" s="39">
        <v>11.0</v>
      </c>
      <c r="M723" s="39" t="s">
        <v>165</v>
      </c>
      <c r="N723" s="40">
        <f>I723</f>
        <v>105970000</v>
      </c>
    </row>
    <row r="724">
      <c r="A724" s="2"/>
      <c r="B724" s="2"/>
      <c r="C724" s="31" t="s">
        <v>75</v>
      </c>
      <c r="D724" s="22" t="s">
        <v>495</v>
      </c>
      <c r="E724" s="32" t="s">
        <v>282</v>
      </c>
      <c r="F724" s="32">
        <v>10.0</v>
      </c>
      <c r="G724" s="35">
        <v>51000.0</v>
      </c>
      <c r="H724" s="36">
        <f t="shared" ref="H724:H767" si="80">F724*G724</f>
        <v>510000</v>
      </c>
      <c r="I724" s="27"/>
      <c r="J724" s="2"/>
      <c r="K724" s="2"/>
      <c r="M724" s="39" t="s">
        <v>168</v>
      </c>
      <c r="N724" s="40">
        <f>'Kas Fisik Oprasional'!I212</f>
        <v>8505000</v>
      </c>
    </row>
    <row r="725">
      <c r="A725" s="2"/>
      <c r="B725" s="2"/>
      <c r="C725" s="34"/>
      <c r="D725" s="22" t="s">
        <v>496</v>
      </c>
      <c r="E725" s="32" t="s">
        <v>144</v>
      </c>
      <c r="F725" s="32">
        <v>0.5</v>
      </c>
      <c r="G725" s="35">
        <v>1085000.0</v>
      </c>
      <c r="H725" s="36">
        <f t="shared" si="80"/>
        <v>542500</v>
      </c>
      <c r="I725" s="27"/>
      <c r="J725" s="2"/>
      <c r="K725" s="2"/>
      <c r="M725" s="39" t="s">
        <v>242</v>
      </c>
      <c r="N725" s="40">
        <f>'list Reimburse'!I57</f>
        <v>1230000</v>
      </c>
      <c r="O725" s="39" t="s">
        <v>497</v>
      </c>
    </row>
    <row r="726">
      <c r="A726" s="2"/>
      <c r="B726" s="2"/>
      <c r="C726" s="34"/>
      <c r="D726" s="22" t="s">
        <v>498</v>
      </c>
      <c r="E726" s="32" t="s">
        <v>48</v>
      </c>
      <c r="F726" s="32">
        <v>2.0</v>
      </c>
      <c r="G726" s="35">
        <v>92000.0</v>
      </c>
      <c r="H726" s="36">
        <f t="shared" si="80"/>
        <v>184000</v>
      </c>
      <c r="I726" s="27"/>
      <c r="J726" s="2"/>
      <c r="K726" s="2"/>
      <c r="M726" s="39" t="s">
        <v>345</v>
      </c>
      <c r="N726" s="39" t="s">
        <v>197</v>
      </c>
    </row>
    <row r="727">
      <c r="A727" s="2"/>
      <c r="B727" s="2"/>
      <c r="C727" s="34"/>
      <c r="D727" s="22" t="s">
        <v>499</v>
      </c>
      <c r="E727" s="32" t="s">
        <v>16</v>
      </c>
      <c r="F727" s="32">
        <v>1.0</v>
      </c>
      <c r="G727" s="35">
        <v>25000.0</v>
      </c>
      <c r="H727" s="36">
        <f t="shared" si="80"/>
        <v>25000</v>
      </c>
      <c r="I727" s="27"/>
      <c r="J727" s="2"/>
      <c r="K727" s="2"/>
      <c r="M727" s="39" t="s">
        <v>12</v>
      </c>
      <c r="N727" s="40">
        <f>J723+'Kas Fisik Oprasional'!J212</f>
        <v>51500</v>
      </c>
    </row>
    <row r="728">
      <c r="A728" s="2"/>
      <c r="B728" s="2"/>
      <c r="C728" s="34"/>
      <c r="D728" s="22" t="s">
        <v>500</v>
      </c>
      <c r="E728" s="32" t="s">
        <v>501</v>
      </c>
      <c r="F728" s="32">
        <v>2.5</v>
      </c>
      <c r="G728" s="35">
        <v>25000.0</v>
      </c>
      <c r="H728" s="36">
        <f t="shared" si="80"/>
        <v>62500</v>
      </c>
      <c r="I728" s="41">
        <f>SUM(H724:H728)</f>
        <v>1324000</v>
      </c>
      <c r="J728" s="2"/>
      <c r="K728" s="2"/>
      <c r="M728" s="42" t="s">
        <v>11</v>
      </c>
      <c r="N728" s="40">
        <f>SUM(N723:N727)</f>
        <v>115756500</v>
      </c>
    </row>
    <row r="729">
      <c r="A729" s="2"/>
      <c r="B729" s="2"/>
      <c r="C729" s="31" t="s">
        <v>18</v>
      </c>
      <c r="D729" s="22" t="s">
        <v>19</v>
      </c>
      <c r="E729" s="32" t="s">
        <v>16</v>
      </c>
      <c r="F729" s="32">
        <v>3.0</v>
      </c>
      <c r="G729" s="35">
        <v>35000.0</v>
      </c>
      <c r="H729" s="36">
        <f t="shared" si="80"/>
        <v>105000</v>
      </c>
      <c r="I729" s="27"/>
      <c r="J729" s="2"/>
      <c r="K729" s="2"/>
    </row>
    <row r="730">
      <c r="A730" s="2"/>
      <c r="B730" s="2"/>
      <c r="C730" s="34"/>
      <c r="D730" s="22" t="s">
        <v>20</v>
      </c>
      <c r="E730" s="32" t="s">
        <v>16</v>
      </c>
      <c r="F730" s="32">
        <v>2.0</v>
      </c>
      <c r="G730" s="35">
        <v>45000.0</v>
      </c>
      <c r="H730" s="36">
        <f t="shared" si="80"/>
        <v>90000</v>
      </c>
      <c r="I730" s="27"/>
      <c r="J730" s="2"/>
      <c r="K730" s="2"/>
    </row>
    <row r="731">
      <c r="A731" s="2"/>
      <c r="B731" s="2"/>
      <c r="C731" s="34"/>
      <c r="D731" s="22" t="s">
        <v>21</v>
      </c>
      <c r="E731" s="32" t="s">
        <v>16</v>
      </c>
      <c r="F731" s="32">
        <v>1.0</v>
      </c>
      <c r="G731" s="35">
        <v>45000.0</v>
      </c>
      <c r="H731" s="36">
        <f t="shared" si="80"/>
        <v>45000</v>
      </c>
      <c r="I731" s="41">
        <f>SUM(H729:H731)</f>
        <v>240000</v>
      </c>
      <c r="J731" s="2"/>
      <c r="K731" s="2"/>
    </row>
    <row r="732">
      <c r="A732" s="2"/>
      <c r="B732" s="2"/>
      <c r="C732" s="31" t="s">
        <v>502</v>
      </c>
      <c r="D732" s="22" t="s">
        <v>503</v>
      </c>
      <c r="E732" s="32" t="s">
        <v>16</v>
      </c>
      <c r="F732" s="32">
        <v>55.0</v>
      </c>
      <c r="G732" s="35">
        <v>123500.0</v>
      </c>
      <c r="H732" s="36">
        <f t="shared" si="80"/>
        <v>6792500</v>
      </c>
      <c r="I732" s="41">
        <f t="shared" ref="I732:I735" si="81">H732</f>
        <v>6792500</v>
      </c>
      <c r="J732" s="2"/>
      <c r="K732" s="2"/>
    </row>
    <row r="733">
      <c r="A733" s="2"/>
      <c r="B733" s="2"/>
      <c r="C733" s="31" t="s">
        <v>504</v>
      </c>
      <c r="D733" s="22" t="s">
        <v>505</v>
      </c>
      <c r="E733" s="32" t="s">
        <v>186</v>
      </c>
      <c r="F733" s="32">
        <v>250.0</v>
      </c>
      <c r="G733" s="35">
        <v>116000.0</v>
      </c>
      <c r="H733" s="36">
        <f t="shared" si="80"/>
        <v>29000000</v>
      </c>
      <c r="I733" s="41">
        <f t="shared" si="81"/>
        <v>29000000</v>
      </c>
      <c r="J733" s="2"/>
      <c r="K733" s="2"/>
    </row>
    <row r="734">
      <c r="A734" s="2"/>
      <c r="B734" s="2"/>
      <c r="C734" s="31" t="s">
        <v>25</v>
      </c>
      <c r="D734" s="22" t="s">
        <v>26</v>
      </c>
      <c r="E734" s="32" t="s">
        <v>16</v>
      </c>
      <c r="F734" s="32">
        <v>18.0</v>
      </c>
      <c r="G734" s="35">
        <v>8000.0</v>
      </c>
      <c r="H734" s="36">
        <f t="shared" si="80"/>
        <v>144000</v>
      </c>
      <c r="I734" s="41">
        <f t="shared" si="81"/>
        <v>144000</v>
      </c>
      <c r="J734" s="2"/>
      <c r="K734" s="2"/>
    </row>
    <row r="735">
      <c r="A735" s="2"/>
      <c r="B735" s="2"/>
      <c r="C735" s="31" t="s">
        <v>506</v>
      </c>
      <c r="D735" s="22" t="s">
        <v>85</v>
      </c>
      <c r="E735" s="32" t="s">
        <v>16</v>
      </c>
      <c r="F735" s="32">
        <v>85.0</v>
      </c>
      <c r="G735" s="35">
        <v>14000.0</v>
      </c>
      <c r="H735" s="36">
        <f t="shared" si="80"/>
        <v>1190000</v>
      </c>
      <c r="I735" s="41">
        <f t="shared" si="81"/>
        <v>1190000</v>
      </c>
      <c r="J735" s="2"/>
      <c r="K735" s="2"/>
    </row>
    <row r="736">
      <c r="A736" s="2"/>
      <c r="B736" s="2"/>
      <c r="C736" s="31" t="s">
        <v>27</v>
      </c>
      <c r="D736" s="22" t="s">
        <v>29</v>
      </c>
      <c r="E736" s="32" t="s">
        <v>16</v>
      </c>
      <c r="F736" s="32">
        <v>1.0</v>
      </c>
      <c r="G736" s="35">
        <v>45000.0</v>
      </c>
      <c r="H736" s="36">
        <f t="shared" si="80"/>
        <v>45000</v>
      </c>
      <c r="I736" s="27"/>
      <c r="J736" s="2"/>
      <c r="K736" s="2"/>
    </row>
    <row r="737">
      <c r="A737" s="2"/>
      <c r="B737" s="2"/>
      <c r="C737" s="34"/>
      <c r="D737" s="22" t="s">
        <v>32</v>
      </c>
      <c r="E737" s="32" t="s">
        <v>16</v>
      </c>
      <c r="F737" s="32">
        <v>1.5</v>
      </c>
      <c r="G737" s="35">
        <v>20000.0</v>
      </c>
      <c r="H737" s="36">
        <f t="shared" si="80"/>
        <v>30000</v>
      </c>
      <c r="I737" s="27"/>
      <c r="J737" s="2"/>
      <c r="K737" s="2"/>
    </row>
    <row r="738">
      <c r="A738" s="2"/>
      <c r="B738" s="2"/>
      <c r="C738" s="34"/>
      <c r="D738" s="22" t="s">
        <v>86</v>
      </c>
      <c r="E738" s="32" t="s">
        <v>16</v>
      </c>
      <c r="F738" s="32">
        <v>35.0</v>
      </c>
      <c r="G738" s="35">
        <v>11000.0</v>
      </c>
      <c r="H738" s="36">
        <f t="shared" si="80"/>
        <v>385000</v>
      </c>
      <c r="I738" s="27"/>
      <c r="J738" s="2"/>
      <c r="K738" s="2"/>
    </row>
    <row r="739">
      <c r="A739" s="2"/>
      <c r="B739" s="2"/>
      <c r="C739" s="34"/>
      <c r="D739" s="22" t="s">
        <v>34</v>
      </c>
      <c r="E739" s="32" t="s">
        <v>16</v>
      </c>
      <c r="F739" s="32">
        <v>108.0</v>
      </c>
      <c r="G739" s="35">
        <v>8000.0</v>
      </c>
      <c r="H739" s="36">
        <f t="shared" si="80"/>
        <v>864000</v>
      </c>
      <c r="I739" s="27"/>
      <c r="J739" s="2"/>
      <c r="K739" s="2"/>
    </row>
    <row r="740">
      <c r="A740" s="2"/>
      <c r="B740" s="2"/>
      <c r="C740" s="34"/>
      <c r="D740" s="22" t="s">
        <v>35</v>
      </c>
      <c r="E740" s="32" t="s">
        <v>16</v>
      </c>
      <c r="F740" s="32">
        <v>80.0</v>
      </c>
      <c r="G740" s="35">
        <v>14000.0</v>
      </c>
      <c r="H740" s="36">
        <f t="shared" si="80"/>
        <v>1120000</v>
      </c>
      <c r="I740" s="27"/>
      <c r="J740" s="2"/>
      <c r="K740" s="2"/>
    </row>
    <row r="741">
      <c r="A741" s="2"/>
      <c r="B741" s="2"/>
      <c r="C741" s="34"/>
      <c r="D741" s="22" t="s">
        <v>175</v>
      </c>
      <c r="E741" s="32" t="s">
        <v>16</v>
      </c>
      <c r="F741" s="32">
        <v>35.0</v>
      </c>
      <c r="G741" s="35">
        <v>9000.0</v>
      </c>
      <c r="H741" s="36">
        <f t="shared" si="80"/>
        <v>315000</v>
      </c>
      <c r="I741" s="27"/>
      <c r="J741" s="2"/>
      <c r="K741" s="2"/>
    </row>
    <row r="742">
      <c r="A742" s="2"/>
      <c r="B742" s="2"/>
      <c r="C742" s="34"/>
      <c r="D742" s="22" t="s">
        <v>36</v>
      </c>
      <c r="E742" s="32" t="s">
        <v>16</v>
      </c>
      <c r="F742" s="32">
        <v>90.0</v>
      </c>
      <c r="G742" s="35">
        <v>9000.0</v>
      </c>
      <c r="H742" s="36">
        <f t="shared" si="80"/>
        <v>810000</v>
      </c>
      <c r="I742" s="27"/>
      <c r="J742" s="2"/>
      <c r="K742" s="2"/>
    </row>
    <row r="743">
      <c r="A743" s="2"/>
      <c r="B743" s="2"/>
      <c r="C743" s="34"/>
      <c r="D743" s="22" t="s">
        <v>507</v>
      </c>
      <c r="E743" s="32" t="s">
        <v>16</v>
      </c>
      <c r="F743" s="32">
        <v>2.0</v>
      </c>
      <c r="G743" s="35">
        <v>25000.0</v>
      </c>
      <c r="H743" s="36">
        <f t="shared" si="80"/>
        <v>50000</v>
      </c>
      <c r="I743" s="27"/>
      <c r="J743" s="2"/>
      <c r="K743" s="2"/>
    </row>
    <row r="744">
      <c r="A744" s="2"/>
      <c r="B744" s="2"/>
      <c r="C744" s="34"/>
      <c r="D744" s="22" t="s">
        <v>43</v>
      </c>
      <c r="E744" s="32" t="s">
        <v>16</v>
      </c>
      <c r="F744" s="32">
        <v>32.0</v>
      </c>
      <c r="G744" s="35">
        <v>14000.0</v>
      </c>
      <c r="H744" s="36">
        <f t="shared" si="80"/>
        <v>448000</v>
      </c>
      <c r="I744" s="27"/>
      <c r="J744" s="2"/>
      <c r="K744" s="2"/>
    </row>
    <row r="745">
      <c r="A745" s="2"/>
      <c r="B745" s="2"/>
      <c r="C745" s="34"/>
      <c r="D745" s="22" t="s">
        <v>31</v>
      </c>
      <c r="E745" s="32" t="s">
        <v>16</v>
      </c>
      <c r="F745" s="32">
        <v>7.0</v>
      </c>
      <c r="G745" s="35">
        <v>17000.0</v>
      </c>
      <c r="H745" s="36">
        <f t="shared" si="80"/>
        <v>119000</v>
      </c>
      <c r="I745" s="27"/>
      <c r="J745" s="2"/>
      <c r="K745" s="2"/>
    </row>
    <row r="746">
      <c r="A746" s="2"/>
      <c r="B746" s="2"/>
      <c r="C746" s="34"/>
      <c r="D746" s="22" t="s">
        <v>508</v>
      </c>
      <c r="E746" s="32" t="s">
        <v>16</v>
      </c>
      <c r="F746" s="32">
        <v>1.0</v>
      </c>
      <c r="G746" s="35">
        <v>20000.0</v>
      </c>
      <c r="H746" s="36">
        <f t="shared" si="80"/>
        <v>20000</v>
      </c>
      <c r="I746" s="27"/>
      <c r="J746" s="2"/>
      <c r="K746" s="2"/>
    </row>
    <row r="747">
      <c r="A747" s="2"/>
      <c r="B747" s="2"/>
      <c r="C747" s="34"/>
      <c r="D747" s="22" t="s">
        <v>509</v>
      </c>
      <c r="E747" s="32" t="s">
        <v>16</v>
      </c>
      <c r="F747" s="32">
        <v>1.0</v>
      </c>
      <c r="G747" s="35">
        <v>25000.0</v>
      </c>
      <c r="H747" s="36">
        <f t="shared" si="80"/>
        <v>25000</v>
      </c>
      <c r="I747" s="41">
        <f>sum(H736:H747)</f>
        <v>4231000</v>
      </c>
      <c r="J747" s="2"/>
      <c r="K747" s="2"/>
    </row>
    <row r="748">
      <c r="A748" s="2"/>
      <c r="B748" s="2"/>
      <c r="C748" s="31" t="s">
        <v>510</v>
      </c>
      <c r="D748" s="22" t="s">
        <v>511</v>
      </c>
      <c r="E748" s="32" t="s">
        <v>186</v>
      </c>
      <c r="F748" s="32">
        <v>50.0</v>
      </c>
      <c r="G748" s="35">
        <v>258000.0</v>
      </c>
      <c r="H748" s="36">
        <f t="shared" si="80"/>
        <v>12900000</v>
      </c>
      <c r="I748" s="41">
        <f>H748</f>
        <v>12900000</v>
      </c>
      <c r="J748" s="2"/>
      <c r="K748" s="2"/>
    </row>
    <row r="749">
      <c r="A749" s="2"/>
      <c r="B749" s="2"/>
      <c r="C749" s="39" t="s">
        <v>122</v>
      </c>
      <c r="D749" s="39" t="s">
        <v>512</v>
      </c>
      <c r="E749" s="45" t="s">
        <v>16</v>
      </c>
      <c r="F749" s="45">
        <v>144.0</v>
      </c>
      <c r="G749" s="38">
        <v>19000.0</v>
      </c>
      <c r="H749" s="36">
        <f t="shared" si="80"/>
        <v>2736000</v>
      </c>
      <c r="I749" s="27"/>
      <c r="J749" s="2"/>
      <c r="K749" s="2"/>
    </row>
    <row r="750">
      <c r="A750" s="2"/>
      <c r="B750" s="2"/>
      <c r="D750" s="39" t="s">
        <v>513</v>
      </c>
      <c r="E750" s="45" t="s">
        <v>16</v>
      </c>
      <c r="F750" s="45">
        <v>265.0</v>
      </c>
      <c r="G750" s="38">
        <v>19500.0</v>
      </c>
      <c r="H750" s="36">
        <f t="shared" si="80"/>
        <v>5167500</v>
      </c>
      <c r="I750" s="27"/>
      <c r="J750" s="2"/>
      <c r="K750" s="2"/>
    </row>
    <row r="751">
      <c r="A751" s="2"/>
      <c r="B751" s="2"/>
      <c r="D751" s="39" t="s">
        <v>514</v>
      </c>
      <c r="E751" s="45" t="s">
        <v>16</v>
      </c>
      <c r="F751" s="45">
        <v>207.0</v>
      </c>
      <c r="G751" s="38">
        <v>18000.0</v>
      </c>
      <c r="H751" s="36">
        <f t="shared" si="80"/>
        <v>3726000</v>
      </c>
      <c r="I751" s="27"/>
      <c r="J751" s="2"/>
      <c r="K751" s="2"/>
    </row>
    <row r="752">
      <c r="A752" s="2"/>
      <c r="B752" s="2"/>
      <c r="D752" s="39" t="s">
        <v>515</v>
      </c>
      <c r="E752" s="45" t="s">
        <v>16</v>
      </c>
      <c r="F752" s="45">
        <v>245.0</v>
      </c>
      <c r="G752" s="38">
        <v>19500.0</v>
      </c>
      <c r="H752" s="36">
        <f t="shared" si="80"/>
        <v>4777500</v>
      </c>
      <c r="I752" s="41">
        <f>SUM(H749:H752)</f>
        <v>16407000</v>
      </c>
      <c r="J752" s="2"/>
      <c r="K752" s="2"/>
    </row>
    <row r="753">
      <c r="A753" s="2"/>
      <c r="B753" s="2"/>
      <c r="C753" s="31" t="s">
        <v>455</v>
      </c>
      <c r="D753" s="22" t="s">
        <v>516</v>
      </c>
      <c r="E753" s="32" t="s">
        <v>16</v>
      </c>
      <c r="F753" s="32">
        <v>34.0</v>
      </c>
      <c r="G753" s="35">
        <v>18000.0</v>
      </c>
      <c r="H753" s="36">
        <f t="shared" si="80"/>
        <v>612000</v>
      </c>
      <c r="I753" s="41">
        <f>H753</f>
        <v>612000</v>
      </c>
      <c r="J753" s="2"/>
      <c r="K753" s="2"/>
    </row>
    <row r="754">
      <c r="A754" s="2"/>
      <c r="B754" s="2"/>
      <c r="C754" s="31" t="s">
        <v>44</v>
      </c>
      <c r="D754" s="22" t="s">
        <v>430</v>
      </c>
      <c r="E754" s="32" t="s">
        <v>16</v>
      </c>
      <c r="F754" s="32">
        <v>1.0</v>
      </c>
      <c r="G754" s="35">
        <v>95000.0</v>
      </c>
      <c r="H754" s="36">
        <f t="shared" si="80"/>
        <v>95000</v>
      </c>
      <c r="I754" s="27"/>
      <c r="J754" s="2"/>
      <c r="K754" s="2"/>
    </row>
    <row r="755">
      <c r="A755" s="2"/>
      <c r="B755" s="2"/>
      <c r="C755" s="34"/>
      <c r="D755" s="22" t="s">
        <v>517</v>
      </c>
      <c r="E755" s="32" t="s">
        <v>16</v>
      </c>
      <c r="F755" s="32">
        <v>1.0</v>
      </c>
      <c r="G755" s="35">
        <v>95000.0</v>
      </c>
      <c r="H755" s="36">
        <f t="shared" si="80"/>
        <v>95000</v>
      </c>
      <c r="I755" s="27"/>
      <c r="J755" s="2"/>
      <c r="K755" s="2"/>
    </row>
    <row r="756">
      <c r="A756" s="2"/>
      <c r="B756" s="2"/>
      <c r="C756" s="34"/>
      <c r="D756" s="22" t="s">
        <v>49</v>
      </c>
      <c r="E756" s="32" t="s">
        <v>16</v>
      </c>
      <c r="F756" s="32">
        <v>1.0</v>
      </c>
      <c r="G756" s="35">
        <v>46000.0</v>
      </c>
      <c r="H756" s="36">
        <f t="shared" si="80"/>
        <v>46000</v>
      </c>
      <c r="I756" s="27"/>
      <c r="J756" s="2"/>
      <c r="K756" s="2"/>
    </row>
    <row r="757">
      <c r="A757" s="2"/>
      <c r="B757" s="2"/>
      <c r="C757" s="34"/>
      <c r="D757" s="22" t="s">
        <v>293</v>
      </c>
      <c r="E757" s="32" t="s">
        <v>16</v>
      </c>
      <c r="F757" s="32">
        <v>1.0</v>
      </c>
      <c r="G757" s="35">
        <v>70000.0</v>
      </c>
      <c r="H757" s="36">
        <f t="shared" si="80"/>
        <v>70000</v>
      </c>
      <c r="I757" s="27"/>
      <c r="J757" s="2"/>
      <c r="K757" s="2"/>
    </row>
    <row r="758">
      <c r="A758" s="2"/>
      <c r="B758" s="2"/>
      <c r="C758" s="34"/>
      <c r="D758" s="22" t="s">
        <v>158</v>
      </c>
      <c r="E758" s="32" t="s">
        <v>257</v>
      </c>
      <c r="F758" s="32">
        <v>1.0</v>
      </c>
      <c r="G758" s="35">
        <v>80000.0</v>
      </c>
      <c r="H758" s="36">
        <f t="shared" si="80"/>
        <v>80000</v>
      </c>
      <c r="I758" s="27"/>
      <c r="J758" s="2"/>
      <c r="K758" s="2"/>
    </row>
    <row r="759">
      <c r="A759" s="2"/>
      <c r="B759" s="2"/>
      <c r="C759" s="34"/>
      <c r="D759" s="22" t="s">
        <v>45</v>
      </c>
      <c r="E759" s="32" t="s">
        <v>257</v>
      </c>
      <c r="F759" s="32">
        <v>4.0</v>
      </c>
      <c r="G759" s="35">
        <v>185000.0</v>
      </c>
      <c r="H759" s="36">
        <f t="shared" si="80"/>
        <v>740000</v>
      </c>
      <c r="I759" s="27"/>
      <c r="J759" s="2"/>
      <c r="K759" s="2"/>
    </row>
    <row r="760">
      <c r="A760" s="2"/>
      <c r="B760" s="2"/>
      <c r="C760" s="34"/>
      <c r="D760" s="22" t="s">
        <v>518</v>
      </c>
      <c r="E760" s="32" t="s">
        <v>16</v>
      </c>
      <c r="F760" s="32">
        <v>1.0</v>
      </c>
      <c r="G760" s="35">
        <v>95000.0</v>
      </c>
      <c r="H760" s="36">
        <f t="shared" si="80"/>
        <v>95000</v>
      </c>
      <c r="I760" s="27"/>
      <c r="J760" s="2"/>
      <c r="K760" s="2"/>
    </row>
    <row r="761">
      <c r="A761" s="2"/>
      <c r="B761" s="2"/>
      <c r="C761" s="34"/>
      <c r="D761" s="22" t="s">
        <v>93</v>
      </c>
      <c r="E761" s="32" t="s">
        <v>48</v>
      </c>
      <c r="F761" s="32">
        <v>2.0</v>
      </c>
      <c r="G761" s="35">
        <v>47000.0</v>
      </c>
      <c r="H761" s="36">
        <f t="shared" si="80"/>
        <v>94000</v>
      </c>
      <c r="I761" s="27"/>
      <c r="J761" s="2"/>
      <c r="K761" s="2"/>
    </row>
    <row r="762">
      <c r="A762" s="2"/>
      <c r="B762" s="2"/>
      <c r="C762" s="34"/>
      <c r="D762" s="22" t="s">
        <v>52</v>
      </c>
      <c r="E762" s="32" t="s">
        <v>16</v>
      </c>
      <c r="F762" s="32">
        <v>1.0</v>
      </c>
      <c r="G762" s="35">
        <v>42000.0</v>
      </c>
      <c r="H762" s="36">
        <f t="shared" si="80"/>
        <v>42000</v>
      </c>
      <c r="I762" s="27"/>
      <c r="J762" s="2"/>
      <c r="K762" s="2"/>
    </row>
    <row r="763">
      <c r="A763" s="2"/>
      <c r="B763" s="2"/>
      <c r="C763" s="34"/>
      <c r="D763" s="22" t="s">
        <v>294</v>
      </c>
      <c r="E763" s="32" t="s">
        <v>16</v>
      </c>
      <c r="F763" s="32">
        <v>7.0</v>
      </c>
      <c r="G763" s="35">
        <v>24000.0</v>
      </c>
      <c r="H763" s="36">
        <f t="shared" si="80"/>
        <v>168000</v>
      </c>
      <c r="I763" s="27"/>
      <c r="J763" s="2"/>
      <c r="K763" s="2"/>
    </row>
    <row r="764">
      <c r="A764" s="2"/>
      <c r="B764" s="2"/>
      <c r="C764" s="34"/>
      <c r="D764" s="22" t="s">
        <v>159</v>
      </c>
      <c r="E764" s="32" t="s">
        <v>48</v>
      </c>
      <c r="F764" s="32">
        <v>3.0</v>
      </c>
      <c r="G764" s="35">
        <v>52000.0</v>
      </c>
      <c r="H764" s="36">
        <f t="shared" si="80"/>
        <v>156000</v>
      </c>
      <c r="I764" s="27"/>
      <c r="J764" s="2"/>
      <c r="K764" s="2"/>
    </row>
    <row r="765">
      <c r="A765" s="2"/>
      <c r="B765" s="2"/>
      <c r="C765" s="34"/>
      <c r="D765" s="22" t="s">
        <v>154</v>
      </c>
      <c r="E765" s="32" t="s">
        <v>16</v>
      </c>
      <c r="F765" s="32">
        <v>7.0</v>
      </c>
      <c r="G765" s="35">
        <v>18500.0</v>
      </c>
      <c r="H765" s="36">
        <f t="shared" si="80"/>
        <v>129500</v>
      </c>
      <c r="I765" s="27"/>
      <c r="J765" s="2"/>
      <c r="K765" s="2"/>
    </row>
    <row r="766">
      <c r="A766" s="2"/>
      <c r="B766" s="2"/>
      <c r="C766" s="34"/>
      <c r="D766" s="22" t="s">
        <v>277</v>
      </c>
      <c r="E766" s="32" t="s">
        <v>59</v>
      </c>
      <c r="F766" s="32">
        <v>3.0</v>
      </c>
      <c r="G766" s="35">
        <v>140000.0</v>
      </c>
      <c r="H766" s="36">
        <f t="shared" si="80"/>
        <v>420000</v>
      </c>
      <c r="I766" s="27"/>
      <c r="J766" s="2"/>
      <c r="K766" s="2"/>
    </row>
    <row r="767">
      <c r="A767" s="2"/>
      <c r="B767" s="2"/>
      <c r="C767" s="34"/>
      <c r="D767" s="22" t="s">
        <v>58</v>
      </c>
      <c r="E767" s="32" t="s">
        <v>16</v>
      </c>
      <c r="F767" s="32">
        <v>7.0</v>
      </c>
      <c r="G767" s="35">
        <v>11500.0</v>
      </c>
      <c r="H767" s="36">
        <f t="shared" si="80"/>
        <v>80500</v>
      </c>
      <c r="I767" s="27"/>
      <c r="J767" s="2"/>
      <c r="K767" s="2"/>
    </row>
    <row r="768">
      <c r="A768" s="2"/>
      <c r="B768" s="2"/>
      <c r="C768" s="34"/>
      <c r="D768" s="22" t="s">
        <v>519</v>
      </c>
      <c r="E768" s="32" t="s">
        <v>50</v>
      </c>
      <c r="F768" s="32">
        <v>9.0</v>
      </c>
      <c r="G768" s="36">
        <f>H768/F768</f>
        <v>22111.11111</v>
      </c>
      <c r="H768" s="35">
        <v>199000.0</v>
      </c>
      <c r="I768" s="27"/>
      <c r="J768" s="2"/>
      <c r="K768" s="2"/>
    </row>
    <row r="769">
      <c r="A769" s="2"/>
      <c r="B769" s="2"/>
      <c r="C769" s="34"/>
      <c r="D769" s="22" t="s">
        <v>520</v>
      </c>
      <c r="E769" s="32" t="s">
        <v>50</v>
      </c>
      <c r="F769" s="32">
        <v>240.0</v>
      </c>
      <c r="G769" s="35">
        <v>2450.0</v>
      </c>
      <c r="H769" s="36">
        <f t="shared" ref="H769:H789" si="82">F769*G769</f>
        <v>588000</v>
      </c>
      <c r="I769" s="27"/>
      <c r="J769" s="2"/>
      <c r="K769" s="2"/>
    </row>
    <row r="770">
      <c r="A770" s="2"/>
      <c r="B770" s="2"/>
      <c r="C770" s="34"/>
      <c r="D770" s="22" t="s">
        <v>521</v>
      </c>
      <c r="E770" s="32" t="s">
        <v>16</v>
      </c>
      <c r="F770" s="32">
        <v>3.0</v>
      </c>
      <c r="G770" s="35">
        <v>8000.0</v>
      </c>
      <c r="H770" s="36">
        <f t="shared" si="82"/>
        <v>24000</v>
      </c>
      <c r="I770" s="27"/>
      <c r="J770" s="2"/>
      <c r="K770" s="2"/>
    </row>
    <row r="771">
      <c r="A771" s="2"/>
      <c r="B771" s="2"/>
      <c r="C771" s="34"/>
      <c r="D771" s="22" t="s">
        <v>430</v>
      </c>
      <c r="E771" s="32" t="s">
        <v>16</v>
      </c>
      <c r="F771" s="32">
        <v>1.0</v>
      </c>
      <c r="G771" s="35">
        <v>95000.0</v>
      </c>
      <c r="H771" s="36">
        <f t="shared" si="82"/>
        <v>95000</v>
      </c>
      <c r="I771" s="27"/>
      <c r="J771" s="2"/>
      <c r="K771" s="2"/>
    </row>
    <row r="772">
      <c r="A772" s="2"/>
      <c r="B772" s="2"/>
      <c r="C772" s="34"/>
      <c r="D772" s="22" t="s">
        <v>522</v>
      </c>
      <c r="E772" s="32" t="s">
        <v>523</v>
      </c>
      <c r="F772" s="32">
        <v>2.0</v>
      </c>
      <c r="G772" s="35">
        <v>65000.0</v>
      </c>
      <c r="H772" s="36">
        <f t="shared" si="82"/>
        <v>130000</v>
      </c>
      <c r="I772" s="27"/>
      <c r="J772" s="2"/>
      <c r="K772" s="2"/>
    </row>
    <row r="773">
      <c r="A773" s="2"/>
      <c r="B773" s="2"/>
      <c r="C773" s="34"/>
      <c r="D773" s="22" t="s">
        <v>92</v>
      </c>
      <c r="E773" s="32" t="s">
        <v>16</v>
      </c>
      <c r="F773" s="32">
        <v>1.0</v>
      </c>
      <c r="G773" s="35">
        <v>165000.0</v>
      </c>
      <c r="H773" s="36">
        <f t="shared" si="82"/>
        <v>165000</v>
      </c>
      <c r="I773" s="27"/>
      <c r="J773" s="2"/>
      <c r="K773" s="2"/>
    </row>
    <row r="774">
      <c r="A774" s="2"/>
      <c r="B774" s="2"/>
      <c r="C774" s="34"/>
      <c r="D774" s="22" t="s">
        <v>60</v>
      </c>
      <c r="E774" s="32" t="s">
        <v>16</v>
      </c>
      <c r="F774" s="32">
        <v>3.0</v>
      </c>
      <c r="G774" s="35">
        <v>26000.0</v>
      </c>
      <c r="H774" s="36">
        <f t="shared" si="82"/>
        <v>78000</v>
      </c>
      <c r="I774" s="27"/>
      <c r="J774" s="2"/>
      <c r="K774" s="2"/>
    </row>
    <row r="775">
      <c r="A775" s="2"/>
      <c r="B775" s="2"/>
      <c r="C775" s="34"/>
      <c r="D775" s="22" t="s">
        <v>158</v>
      </c>
      <c r="E775" s="32" t="s">
        <v>257</v>
      </c>
      <c r="F775" s="32">
        <v>1.0</v>
      </c>
      <c r="G775" s="35">
        <v>80000.0</v>
      </c>
      <c r="H775" s="36">
        <f t="shared" si="82"/>
        <v>80000</v>
      </c>
      <c r="I775" s="27"/>
      <c r="J775" s="2"/>
      <c r="K775" s="2"/>
    </row>
    <row r="776">
      <c r="A776" s="2"/>
      <c r="B776" s="2"/>
      <c r="C776" s="34"/>
      <c r="D776" s="22" t="s">
        <v>430</v>
      </c>
      <c r="E776" s="32" t="s">
        <v>16</v>
      </c>
      <c r="F776" s="32">
        <v>3.0</v>
      </c>
      <c r="G776" s="35">
        <v>95000.0</v>
      </c>
      <c r="H776" s="36">
        <f t="shared" si="82"/>
        <v>285000</v>
      </c>
      <c r="I776" s="27"/>
      <c r="J776" s="2"/>
      <c r="K776" s="2"/>
    </row>
    <row r="777">
      <c r="A777" s="2"/>
      <c r="B777" s="2"/>
      <c r="C777" s="34"/>
      <c r="D777" s="22" t="s">
        <v>297</v>
      </c>
      <c r="E777" s="32" t="s">
        <v>16</v>
      </c>
      <c r="F777" s="32">
        <v>15.0</v>
      </c>
      <c r="G777" s="35">
        <v>23500.0</v>
      </c>
      <c r="H777" s="36">
        <f t="shared" si="82"/>
        <v>352500</v>
      </c>
      <c r="I777" s="27"/>
      <c r="J777" s="2"/>
      <c r="K777" s="2"/>
    </row>
    <row r="778">
      <c r="A778" s="2"/>
      <c r="B778" s="2"/>
      <c r="C778" s="34"/>
      <c r="D778" s="22" t="s">
        <v>102</v>
      </c>
      <c r="E778" s="32" t="s">
        <v>59</v>
      </c>
      <c r="F778" s="32">
        <v>2.0</v>
      </c>
      <c r="G778" s="35">
        <v>225000.0</v>
      </c>
      <c r="H778" s="36">
        <f t="shared" si="82"/>
        <v>450000</v>
      </c>
      <c r="I778" s="41">
        <f>SUM(H754:H778)</f>
        <v>4757500</v>
      </c>
      <c r="J778" s="2"/>
      <c r="K778" s="2"/>
    </row>
    <row r="779">
      <c r="A779" s="2"/>
      <c r="B779" s="2"/>
      <c r="C779" s="39" t="s">
        <v>113</v>
      </c>
      <c r="D779" s="39" t="s">
        <v>524</v>
      </c>
      <c r="E779" s="45" t="s">
        <v>16</v>
      </c>
      <c r="F779" s="45">
        <v>214.0</v>
      </c>
      <c r="G779" s="38">
        <v>28500.0</v>
      </c>
      <c r="H779" s="36">
        <f t="shared" si="82"/>
        <v>6099000</v>
      </c>
      <c r="I779" s="27"/>
      <c r="J779" s="2"/>
      <c r="K779" s="2"/>
    </row>
    <row r="780">
      <c r="A780" s="2"/>
      <c r="B780" s="2"/>
      <c r="D780" s="39" t="s">
        <v>525</v>
      </c>
      <c r="E780" s="45" t="s">
        <v>16</v>
      </c>
      <c r="F780" s="45">
        <v>180.0</v>
      </c>
      <c r="G780" s="38">
        <v>28500.0</v>
      </c>
      <c r="H780" s="36">
        <f t="shared" si="82"/>
        <v>5130000</v>
      </c>
      <c r="I780" s="27"/>
      <c r="J780" s="2"/>
      <c r="K780" s="2"/>
    </row>
    <row r="781">
      <c r="A781" s="2"/>
      <c r="B781" s="2"/>
      <c r="D781" s="39" t="s">
        <v>526</v>
      </c>
      <c r="E781" s="45" t="s">
        <v>16</v>
      </c>
      <c r="F781" s="45">
        <v>158.0</v>
      </c>
      <c r="G781" s="38">
        <v>28000.0</v>
      </c>
      <c r="H781" s="36">
        <f t="shared" si="82"/>
        <v>4424000</v>
      </c>
      <c r="I781" s="41">
        <f>SUM(H779:H781)</f>
        <v>15653000</v>
      </c>
      <c r="J781" s="2"/>
      <c r="K781" s="2"/>
    </row>
    <row r="782">
      <c r="A782" s="2"/>
      <c r="B782" s="2"/>
      <c r="C782" s="31" t="s">
        <v>527</v>
      </c>
      <c r="D782" s="22" t="s">
        <v>528</v>
      </c>
      <c r="E782" s="32" t="s">
        <v>16</v>
      </c>
      <c r="F782" s="32">
        <v>92.0</v>
      </c>
      <c r="G782" s="35">
        <v>50000.0</v>
      </c>
      <c r="H782" s="36">
        <f t="shared" si="82"/>
        <v>4600000</v>
      </c>
      <c r="I782" s="41">
        <f>H782</f>
        <v>4600000</v>
      </c>
      <c r="J782" s="2"/>
      <c r="K782" s="2"/>
    </row>
    <row r="783">
      <c r="A783" s="2"/>
      <c r="B783" s="2"/>
      <c r="C783" s="22" t="s">
        <v>162</v>
      </c>
      <c r="D783" s="22" t="s">
        <v>259</v>
      </c>
      <c r="E783" s="22" t="s">
        <v>54</v>
      </c>
      <c r="F783" s="22">
        <v>1.0</v>
      </c>
      <c r="G783" s="33">
        <v>190000.0</v>
      </c>
      <c r="H783" s="27">
        <f t="shared" si="82"/>
        <v>190000</v>
      </c>
      <c r="I783" s="27"/>
      <c r="J783" s="2"/>
      <c r="K783" s="2"/>
    </row>
    <row r="784">
      <c r="A784" s="2"/>
      <c r="B784" s="2"/>
      <c r="C784" s="2"/>
      <c r="D784" s="22" t="s">
        <v>49</v>
      </c>
      <c r="E784" s="22" t="s">
        <v>16</v>
      </c>
      <c r="F784" s="22">
        <v>1.0</v>
      </c>
      <c r="G784" s="33">
        <v>46000.0</v>
      </c>
      <c r="H784" s="27">
        <f t="shared" si="82"/>
        <v>46000</v>
      </c>
      <c r="I784" s="27"/>
      <c r="J784" s="2"/>
      <c r="K784" s="2"/>
    </row>
    <row r="785">
      <c r="A785" s="2"/>
      <c r="B785" s="2"/>
      <c r="C785" s="2"/>
      <c r="D785" s="22" t="s">
        <v>60</v>
      </c>
      <c r="E785" s="22" t="s">
        <v>16</v>
      </c>
      <c r="F785" s="22">
        <v>1.0</v>
      </c>
      <c r="G785" s="33">
        <v>26000.0</v>
      </c>
      <c r="H785" s="27">
        <f t="shared" si="82"/>
        <v>26000</v>
      </c>
      <c r="I785" s="27"/>
      <c r="J785" s="2"/>
      <c r="K785" s="2"/>
    </row>
    <row r="786">
      <c r="A786" s="2"/>
      <c r="B786" s="2"/>
      <c r="C786" s="2"/>
      <c r="D786" s="22" t="s">
        <v>102</v>
      </c>
      <c r="E786" s="22" t="s">
        <v>24</v>
      </c>
      <c r="F786" s="22">
        <v>1.0</v>
      </c>
      <c r="G786" s="33">
        <v>225000.0</v>
      </c>
      <c r="H786" s="27">
        <f t="shared" si="82"/>
        <v>225000</v>
      </c>
      <c r="I786" s="27"/>
      <c r="J786" s="2"/>
      <c r="K786" s="2"/>
    </row>
    <row r="787">
      <c r="A787" s="2"/>
      <c r="B787" s="2"/>
      <c r="C787" s="2"/>
      <c r="D787" s="22" t="s">
        <v>277</v>
      </c>
      <c r="E787" s="22" t="s">
        <v>24</v>
      </c>
      <c r="F787" s="22">
        <v>1.0</v>
      </c>
      <c r="G787" s="33">
        <v>140000.0</v>
      </c>
      <c r="H787" s="27">
        <f t="shared" si="82"/>
        <v>140000</v>
      </c>
      <c r="I787" s="27"/>
      <c r="J787" s="2"/>
      <c r="K787" s="2"/>
    </row>
    <row r="788">
      <c r="A788" s="2"/>
      <c r="B788" s="2"/>
      <c r="C788" s="2"/>
      <c r="D788" s="22" t="s">
        <v>529</v>
      </c>
      <c r="E788" s="22" t="s">
        <v>54</v>
      </c>
      <c r="F788" s="22">
        <v>1.0</v>
      </c>
      <c r="G788" s="33">
        <v>95000.0</v>
      </c>
      <c r="H788" s="27">
        <f t="shared" si="82"/>
        <v>95000</v>
      </c>
      <c r="I788" s="27"/>
      <c r="J788" s="2"/>
      <c r="K788" s="2"/>
    </row>
    <row r="789">
      <c r="A789" s="2"/>
      <c r="B789" s="2"/>
      <c r="C789" s="2"/>
      <c r="D789" s="22" t="s">
        <v>92</v>
      </c>
      <c r="E789" s="22" t="s">
        <v>186</v>
      </c>
      <c r="F789" s="22">
        <v>1.0</v>
      </c>
      <c r="G789" s="33">
        <v>165000.0</v>
      </c>
      <c r="H789" s="27">
        <f t="shared" si="82"/>
        <v>165000</v>
      </c>
      <c r="I789" s="27"/>
      <c r="J789" s="2"/>
      <c r="K789" s="2"/>
    </row>
    <row r="790">
      <c r="A790" s="2"/>
      <c r="B790" s="2"/>
      <c r="C790" s="2"/>
      <c r="D790" s="22" t="s">
        <v>92</v>
      </c>
      <c r="E790" s="22" t="s">
        <v>16</v>
      </c>
      <c r="F790" s="22">
        <v>4.0</v>
      </c>
      <c r="G790" s="33">
        <f>H790/F790</f>
        <v>16500</v>
      </c>
      <c r="H790" s="33">
        <v>66000.0</v>
      </c>
      <c r="I790" s="27"/>
      <c r="J790" s="2"/>
      <c r="K790" s="2"/>
    </row>
    <row r="791">
      <c r="A791" s="2"/>
      <c r="B791" s="2"/>
      <c r="C791" s="2"/>
      <c r="D791" s="22" t="s">
        <v>530</v>
      </c>
      <c r="E791" s="22" t="s">
        <v>287</v>
      </c>
      <c r="F791" s="22">
        <v>1.0</v>
      </c>
      <c r="G791" s="33">
        <v>225000.0</v>
      </c>
      <c r="H791" s="27">
        <f t="shared" ref="H791:H794" si="83">F791*G791</f>
        <v>225000</v>
      </c>
      <c r="I791" s="27"/>
      <c r="J791" s="2"/>
      <c r="K791" s="2"/>
    </row>
    <row r="792">
      <c r="A792" s="2"/>
      <c r="B792" s="2"/>
      <c r="C792" s="2"/>
      <c r="D792" s="22" t="s">
        <v>258</v>
      </c>
      <c r="E792" s="22" t="s">
        <v>50</v>
      </c>
      <c r="F792" s="22">
        <v>2.0</v>
      </c>
      <c r="G792" s="33">
        <v>56000.0</v>
      </c>
      <c r="H792" s="27">
        <f t="shared" si="83"/>
        <v>112000</v>
      </c>
      <c r="I792" s="41">
        <f>SUM(H783:H792)</f>
        <v>1290000</v>
      </c>
      <c r="J792" s="2"/>
      <c r="K792" s="2"/>
    </row>
    <row r="793">
      <c r="A793" s="2"/>
      <c r="B793" s="2"/>
      <c r="C793" s="22" t="s">
        <v>531</v>
      </c>
      <c r="D793" s="22" t="s">
        <v>335</v>
      </c>
      <c r="E793" s="22" t="s">
        <v>16</v>
      </c>
      <c r="F793" s="22">
        <v>30.0</v>
      </c>
      <c r="G793" s="33">
        <v>30000.0</v>
      </c>
      <c r="H793" s="27">
        <f t="shared" si="83"/>
        <v>900000</v>
      </c>
      <c r="I793" s="41">
        <f t="shared" ref="I793:I794" si="84">H793</f>
        <v>900000</v>
      </c>
      <c r="J793" s="2"/>
      <c r="K793" s="2"/>
    </row>
    <row r="794">
      <c r="A794" s="2"/>
      <c r="B794" s="2"/>
      <c r="C794" s="22" t="s">
        <v>486</v>
      </c>
      <c r="D794" s="22" t="s">
        <v>532</v>
      </c>
      <c r="E794" s="22" t="s">
        <v>301</v>
      </c>
      <c r="F794" s="22">
        <v>1694.0</v>
      </c>
      <c r="G794" s="33">
        <v>3500.0</v>
      </c>
      <c r="H794" s="27">
        <f t="shared" si="83"/>
        <v>5929000</v>
      </c>
      <c r="I794" s="41">
        <f t="shared" si="84"/>
        <v>5929000</v>
      </c>
      <c r="J794" s="2"/>
      <c r="K794" s="2"/>
    </row>
    <row r="795">
      <c r="A795" s="2"/>
      <c r="B795" s="2"/>
      <c r="C795" s="34"/>
      <c r="D795" s="22" t="s">
        <v>12</v>
      </c>
      <c r="E795" s="12"/>
      <c r="F795" s="32">
        <v>16.0</v>
      </c>
      <c r="G795" s="35">
        <v>2500.0</v>
      </c>
      <c r="H795" s="36">
        <f>F795*G795+6500</f>
        <v>46500</v>
      </c>
      <c r="I795" s="27"/>
      <c r="J795" s="27">
        <f>H795</f>
        <v>46500</v>
      </c>
      <c r="K795" s="2"/>
    </row>
    <row r="796">
      <c r="A796" s="46" t="s">
        <v>533</v>
      </c>
      <c r="B796" s="47"/>
      <c r="C796" s="47"/>
      <c r="D796" s="47"/>
      <c r="E796" s="48"/>
      <c r="F796" s="48"/>
      <c r="G796" s="49"/>
      <c r="H796" s="50" t="s">
        <v>11</v>
      </c>
      <c r="I796" s="51">
        <f t="shared" ref="I796:J796" si="85">SUM(I797:I834)</f>
        <v>111454620</v>
      </c>
      <c r="J796" s="51">
        <f t="shared" si="85"/>
        <v>35000</v>
      </c>
      <c r="K796" s="2"/>
      <c r="L796" s="39">
        <v>12.0</v>
      </c>
      <c r="M796" s="39" t="s">
        <v>165</v>
      </c>
      <c r="N796" s="40">
        <f>I796</f>
        <v>111454620</v>
      </c>
    </row>
    <row r="797">
      <c r="A797" s="2"/>
      <c r="B797" s="2"/>
      <c r="C797" s="31" t="s">
        <v>106</v>
      </c>
      <c r="D797" s="22" t="s">
        <v>534</v>
      </c>
      <c r="E797" s="32" t="s">
        <v>133</v>
      </c>
      <c r="F797" s="32">
        <v>130.0</v>
      </c>
      <c r="G797" s="35">
        <v>12000.0</v>
      </c>
      <c r="H797" s="36">
        <f t="shared" ref="H797:H834" si="86">F797*G797</f>
        <v>1560000</v>
      </c>
      <c r="I797" s="41">
        <f t="shared" ref="I797:I798" si="87">H797</f>
        <v>1560000</v>
      </c>
      <c r="J797" s="2"/>
      <c r="K797" s="22" t="s">
        <v>17</v>
      </c>
      <c r="M797" s="39" t="s">
        <v>168</v>
      </c>
      <c r="N797" s="40">
        <f>'Kas Fisik Oprasional'!I222</f>
        <v>3059100</v>
      </c>
    </row>
    <row r="798">
      <c r="A798" s="2"/>
      <c r="B798" s="2"/>
      <c r="C798" s="39" t="s">
        <v>203</v>
      </c>
      <c r="D798" s="39" t="s">
        <v>535</v>
      </c>
      <c r="E798" s="45" t="s">
        <v>16</v>
      </c>
      <c r="F798" s="45">
        <v>85.0</v>
      </c>
      <c r="G798" s="38">
        <v>47000.0</v>
      </c>
      <c r="H798" s="36">
        <f t="shared" si="86"/>
        <v>3995000</v>
      </c>
      <c r="I798" s="41">
        <f t="shared" si="87"/>
        <v>3995000</v>
      </c>
      <c r="J798" s="2"/>
      <c r="K798" s="22" t="s">
        <v>17</v>
      </c>
      <c r="M798" s="39" t="s">
        <v>242</v>
      </c>
      <c r="N798" s="40">
        <f>'list Reimburse'!I70</f>
        <v>515000</v>
      </c>
      <c r="O798" s="39" t="s">
        <v>536</v>
      </c>
    </row>
    <row r="799">
      <c r="A799" s="2"/>
      <c r="B799" s="2"/>
      <c r="C799" s="39" t="s">
        <v>106</v>
      </c>
      <c r="D799" s="39" t="s">
        <v>537</v>
      </c>
      <c r="E799" s="45" t="s">
        <v>16</v>
      </c>
      <c r="F799" s="45">
        <v>87.0</v>
      </c>
      <c r="G799" s="38">
        <v>36000.0</v>
      </c>
      <c r="H799" s="36">
        <f t="shared" si="86"/>
        <v>3132000</v>
      </c>
      <c r="I799" s="27"/>
      <c r="J799" s="2"/>
      <c r="K799" s="2"/>
      <c r="M799" s="39" t="s">
        <v>345</v>
      </c>
      <c r="N799" s="39" t="s">
        <v>197</v>
      </c>
    </row>
    <row r="800">
      <c r="A800" s="2"/>
      <c r="B800" s="2"/>
      <c r="D800" s="39" t="s">
        <v>538</v>
      </c>
      <c r="E800" s="45" t="s">
        <v>16</v>
      </c>
      <c r="F800" s="45">
        <v>45.0</v>
      </c>
      <c r="G800" s="38">
        <v>36000.0</v>
      </c>
      <c r="H800" s="36">
        <f t="shared" si="86"/>
        <v>1620000</v>
      </c>
      <c r="I800" s="27"/>
      <c r="J800" s="2"/>
      <c r="K800" s="2"/>
      <c r="M800" s="39" t="s">
        <v>12</v>
      </c>
      <c r="N800" s="40">
        <f>J796+'Kas Fisik Oprasional'!J222+'list Reimburse'!J70</f>
        <v>42500</v>
      </c>
    </row>
    <row r="801">
      <c r="A801" s="2"/>
      <c r="B801" s="2"/>
      <c r="D801" s="39" t="s">
        <v>539</v>
      </c>
      <c r="E801" s="45" t="s">
        <v>16</v>
      </c>
      <c r="F801" s="45">
        <v>8.0</v>
      </c>
      <c r="G801" s="38">
        <v>60000.0</v>
      </c>
      <c r="H801" s="36">
        <f t="shared" si="86"/>
        <v>480000</v>
      </c>
      <c r="I801" s="41">
        <f>SUM(H799:H801)</f>
        <v>5232000</v>
      </c>
      <c r="J801" s="2"/>
      <c r="K801" s="22" t="s">
        <v>17</v>
      </c>
      <c r="M801" s="42" t="s">
        <v>11</v>
      </c>
      <c r="N801" s="40">
        <f>SUM(N796:N800)</f>
        <v>115071220</v>
      </c>
    </row>
    <row r="802">
      <c r="A802" s="2"/>
      <c r="B802" s="2"/>
      <c r="C802" s="39" t="s">
        <v>122</v>
      </c>
      <c r="D802" s="39" t="s">
        <v>540</v>
      </c>
      <c r="E802" s="45" t="s">
        <v>16</v>
      </c>
      <c r="F802" s="45">
        <v>270.0</v>
      </c>
      <c r="G802" s="38">
        <v>25000.0</v>
      </c>
      <c r="H802" s="36">
        <f t="shared" si="86"/>
        <v>6750000</v>
      </c>
      <c r="I802" s="27"/>
      <c r="J802" s="2"/>
      <c r="K802" s="2"/>
    </row>
    <row r="803">
      <c r="A803" s="2"/>
      <c r="B803" s="2"/>
      <c r="D803" s="39" t="s">
        <v>541</v>
      </c>
      <c r="E803" s="45" t="s">
        <v>50</v>
      </c>
      <c r="F803" s="45">
        <v>1290.0</v>
      </c>
      <c r="G803" s="38">
        <v>1800.0</v>
      </c>
      <c r="H803" s="36">
        <f t="shared" si="86"/>
        <v>2322000</v>
      </c>
      <c r="I803" s="27"/>
      <c r="J803" s="2"/>
      <c r="K803" s="2"/>
    </row>
    <row r="804">
      <c r="A804" s="2"/>
      <c r="B804" s="2"/>
      <c r="D804" s="39" t="s">
        <v>542</v>
      </c>
      <c r="E804" s="45" t="s">
        <v>50</v>
      </c>
      <c r="F804" s="45">
        <v>1750.0</v>
      </c>
      <c r="G804" s="38">
        <v>1800.0</v>
      </c>
      <c r="H804" s="36">
        <f t="shared" si="86"/>
        <v>3150000</v>
      </c>
      <c r="I804" s="27"/>
      <c r="J804" s="2"/>
      <c r="K804" s="2"/>
    </row>
    <row r="805">
      <c r="A805" s="2"/>
      <c r="B805" s="2"/>
      <c r="D805" s="39" t="s">
        <v>543</v>
      </c>
      <c r="E805" s="45" t="s">
        <v>50</v>
      </c>
      <c r="F805" s="45">
        <v>2065.0</v>
      </c>
      <c r="G805" s="38">
        <v>1800.0</v>
      </c>
      <c r="H805" s="36">
        <f t="shared" si="86"/>
        <v>3717000</v>
      </c>
      <c r="I805" s="41">
        <f>SUM(H802:H805)</f>
        <v>15939000</v>
      </c>
      <c r="J805" s="2"/>
      <c r="K805" s="22" t="s">
        <v>17</v>
      </c>
    </row>
    <row r="806">
      <c r="A806" s="2"/>
      <c r="B806" s="2"/>
      <c r="C806" s="39" t="s">
        <v>544</v>
      </c>
      <c r="D806" s="39" t="s">
        <v>545</v>
      </c>
      <c r="E806" s="45" t="s">
        <v>90</v>
      </c>
      <c r="F806" s="45">
        <v>1250.0</v>
      </c>
      <c r="G806" s="38">
        <v>2000.0</v>
      </c>
      <c r="H806" s="36">
        <f t="shared" si="86"/>
        <v>2500000</v>
      </c>
      <c r="I806" s="27"/>
      <c r="J806" s="2"/>
      <c r="K806" s="2"/>
    </row>
    <row r="807">
      <c r="A807" s="2"/>
      <c r="B807" s="2"/>
      <c r="D807" s="39" t="s">
        <v>546</v>
      </c>
      <c r="E807" s="45" t="s">
        <v>50</v>
      </c>
      <c r="F807" s="45">
        <v>2550.0</v>
      </c>
      <c r="G807" s="38">
        <v>2000.0</v>
      </c>
      <c r="H807" s="36">
        <f t="shared" si="86"/>
        <v>5100000</v>
      </c>
      <c r="I807" s="41">
        <f>SUM(H806:H807)</f>
        <v>7600000</v>
      </c>
      <c r="J807" s="2"/>
      <c r="K807" s="22" t="s">
        <v>17</v>
      </c>
    </row>
    <row r="808">
      <c r="A808" s="2"/>
      <c r="B808" s="2"/>
      <c r="C808" s="31" t="s">
        <v>127</v>
      </c>
      <c r="D808" s="22" t="s">
        <v>128</v>
      </c>
      <c r="E808" s="32" t="s">
        <v>16</v>
      </c>
      <c r="F808" s="32">
        <v>20.0</v>
      </c>
      <c r="G808" s="35">
        <v>22000.0</v>
      </c>
      <c r="H808" s="36">
        <f t="shared" si="86"/>
        <v>440000</v>
      </c>
      <c r="I808" s="41">
        <f>H808</f>
        <v>440000</v>
      </c>
      <c r="J808" s="2"/>
      <c r="K808" s="22" t="s">
        <v>17</v>
      </c>
    </row>
    <row r="809">
      <c r="A809" s="2"/>
      <c r="B809" s="2"/>
      <c r="C809" s="39" t="s">
        <v>113</v>
      </c>
      <c r="D809" s="39" t="s">
        <v>547</v>
      </c>
      <c r="E809" s="45" t="s">
        <v>16</v>
      </c>
      <c r="F809" s="45">
        <v>75.0</v>
      </c>
      <c r="G809" s="38">
        <v>43000.0</v>
      </c>
      <c r="H809" s="36">
        <f t="shared" si="86"/>
        <v>3225000</v>
      </c>
      <c r="I809" s="27"/>
      <c r="J809" s="2"/>
      <c r="K809" s="2"/>
    </row>
    <row r="810">
      <c r="A810" s="2"/>
      <c r="B810" s="2"/>
      <c r="D810" s="39" t="s">
        <v>548</v>
      </c>
      <c r="E810" s="45" t="s">
        <v>16</v>
      </c>
      <c r="F810" s="45">
        <v>110.0</v>
      </c>
      <c r="G810" s="38">
        <v>43000.0</v>
      </c>
      <c r="H810" s="36">
        <f t="shared" si="86"/>
        <v>4730000</v>
      </c>
      <c r="I810" s="27"/>
      <c r="J810" s="2"/>
      <c r="K810" s="2"/>
    </row>
    <row r="811">
      <c r="A811" s="2"/>
      <c r="B811" s="2"/>
      <c r="D811" s="39" t="s">
        <v>549</v>
      </c>
      <c r="E811" s="45" t="s">
        <v>16</v>
      </c>
      <c r="F811" s="45">
        <v>94.0</v>
      </c>
      <c r="G811" s="38">
        <v>43000.0</v>
      </c>
      <c r="H811" s="36">
        <f t="shared" si="86"/>
        <v>4042000</v>
      </c>
      <c r="I811" s="41">
        <f>SUM(H809:H811)</f>
        <v>11997000</v>
      </c>
      <c r="J811" s="2"/>
      <c r="K811" s="22" t="s">
        <v>17</v>
      </c>
    </row>
    <row r="812">
      <c r="A812" s="2"/>
      <c r="B812" s="2"/>
      <c r="C812" s="39" t="s">
        <v>550</v>
      </c>
      <c r="D812" s="39" t="s">
        <v>551</v>
      </c>
      <c r="E812" s="45" t="s">
        <v>133</v>
      </c>
      <c r="F812" s="45">
        <v>83.0</v>
      </c>
      <c r="G812" s="38">
        <v>9600.0</v>
      </c>
      <c r="H812" s="36">
        <f t="shared" si="86"/>
        <v>796800</v>
      </c>
      <c r="I812" s="41">
        <f>H812</f>
        <v>796800</v>
      </c>
      <c r="J812" s="2"/>
      <c r="K812" s="22" t="s">
        <v>17</v>
      </c>
    </row>
    <row r="813">
      <c r="A813" s="2"/>
      <c r="B813" s="2"/>
      <c r="C813" s="39" t="s">
        <v>552</v>
      </c>
      <c r="D813" s="39" t="s">
        <v>553</v>
      </c>
      <c r="E813" s="45" t="s">
        <v>50</v>
      </c>
      <c r="F813" s="45">
        <v>2070.0</v>
      </c>
      <c r="G813" s="38">
        <v>560.0</v>
      </c>
      <c r="H813" s="36">
        <f t="shared" si="86"/>
        <v>1159200</v>
      </c>
      <c r="I813" s="27"/>
      <c r="J813" s="2"/>
      <c r="K813" s="2"/>
    </row>
    <row r="814">
      <c r="A814" s="2"/>
      <c r="B814" s="2"/>
      <c r="D814" s="39" t="s">
        <v>554</v>
      </c>
      <c r="E814" s="45" t="s">
        <v>50</v>
      </c>
      <c r="F814" s="45">
        <v>1835.0</v>
      </c>
      <c r="G814" s="38">
        <v>480.0</v>
      </c>
      <c r="H814" s="36">
        <f t="shared" si="86"/>
        <v>880800</v>
      </c>
      <c r="I814" s="27"/>
      <c r="J814" s="2"/>
      <c r="K814" s="2"/>
    </row>
    <row r="815">
      <c r="A815" s="2"/>
      <c r="B815" s="2"/>
      <c r="D815" s="39" t="s">
        <v>555</v>
      </c>
      <c r="E815" s="45" t="s">
        <v>50</v>
      </c>
      <c r="F815" s="45">
        <v>2600.0</v>
      </c>
      <c r="G815" s="38">
        <v>480.0</v>
      </c>
      <c r="H815" s="36">
        <f t="shared" si="86"/>
        <v>1248000</v>
      </c>
      <c r="I815" s="27"/>
      <c r="J815" s="2"/>
      <c r="K815" s="2"/>
    </row>
    <row r="816">
      <c r="A816" s="2"/>
      <c r="B816" s="2"/>
      <c r="D816" s="39" t="s">
        <v>556</v>
      </c>
      <c r="E816" s="45" t="s">
        <v>50</v>
      </c>
      <c r="F816" s="45">
        <v>1150.0</v>
      </c>
      <c r="G816" s="38">
        <v>480.0</v>
      </c>
      <c r="H816" s="36">
        <f t="shared" si="86"/>
        <v>552000</v>
      </c>
      <c r="I816" s="27"/>
      <c r="J816" s="2"/>
      <c r="K816" s="2"/>
    </row>
    <row r="817">
      <c r="A817" s="2"/>
      <c r="B817" s="2"/>
      <c r="D817" s="39" t="s">
        <v>557</v>
      </c>
      <c r="E817" s="45" t="s">
        <v>50</v>
      </c>
      <c r="F817" s="45">
        <v>2350.0</v>
      </c>
      <c r="G817" s="38">
        <v>480.0</v>
      </c>
      <c r="H817" s="36">
        <f t="shared" si="86"/>
        <v>1128000</v>
      </c>
      <c r="I817" s="27"/>
      <c r="J817" s="2"/>
      <c r="K817" s="2"/>
    </row>
    <row r="818">
      <c r="A818" s="2"/>
      <c r="B818" s="2"/>
      <c r="D818" s="39" t="s">
        <v>558</v>
      </c>
      <c r="E818" s="45" t="s">
        <v>50</v>
      </c>
      <c r="F818" s="45">
        <v>2070.0</v>
      </c>
      <c r="G818" s="38">
        <v>560.0</v>
      </c>
      <c r="H818" s="36">
        <f t="shared" si="86"/>
        <v>1159200</v>
      </c>
      <c r="I818" s="27"/>
      <c r="J818" s="2"/>
      <c r="K818" s="2"/>
    </row>
    <row r="819">
      <c r="A819" s="2"/>
      <c r="B819" s="2"/>
      <c r="D819" s="39" t="s">
        <v>559</v>
      </c>
      <c r="E819" s="45" t="s">
        <v>50</v>
      </c>
      <c r="F819" s="45">
        <v>1839.0</v>
      </c>
      <c r="G819" s="38">
        <v>480.0</v>
      </c>
      <c r="H819" s="36">
        <f t="shared" si="86"/>
        <v>882720</v>
      </c>
      <c r="I819" s="27"/>
      <c r="J819" s="2"/>
      <c r="K819" s="2"/>
    </row>
    <row r="820">
      <c r="A820" s="2"/>
      <c r="B820" s="2"/>
      <c r="D820" s="39" t="s">
        <v>560</v>
      </c>
      <c r="E820" s="45" t="s">
        <v>50</v>
      </c>
      <c r="F820" s="45">
        <v>1700.0</v>
      </c>
      <c r="G820" s="38">
        <v>480.0</v>
      </c>
      <c r="H820" s="36">
        <f t="shared" si="86"/>
        <v>816000</v>
      </c>
      <c r="I820" s="41">
        <f>SUM(H813:H820)</f>
        <v>7825920</v>
      </c>
      <c r="J820" s="2"/>
      <c r="K820" s="22" t="s">
        <v>17</v>
      </c>
    </row>
    <row r="821">
      <c r="A821" s="2"/>
      <c r="B821" s="2"/>
      <c r="C821" s="39" t="s">
        <v>106</v>
      </c>
      <c r="D821" s="39" t="s">
        <v>561</v>
      </c>
      <c r="E821" s="45" t="s">
        <v>133</v>
      </c>
      <c r="F821" s="45">
        <v>75.0</v>
      </c>
      <c r="G821" s="38">
        <v>12000.0</v>
      </c>
      <c r="H821" s="36">
        <f t="shared" si="86"/>
        <v>900000</v>
      </c>
      <c r="I821" s="41">
        <f>H821</f>
        <v>900000</v>
      </c>
      <c r="J821" s="2"/>
      <c r="K821" s="22" t="s">
        <v>17</v>
      </c>
    </row>
    <row r="822">
      <c r="A822" s="2"/>
      <c r="B822" s="2"/>
      <c r="C822" s="39" t="s">
        <v>189</v>
      </c>
      <c r="D822" s="39" t="s">
        <v>562</v>
      </c>
      <c r="E822" s="45" t="s">
        <v>16</v>
      </c>
      <c r="F822" s="45">
        <v>149.0</v>
      </c>
      <c r="G822" s="38">
        <v>15500.0</v>
      </c>
      <c r="H822" s="36">
        <f t="shared" si="86"/>
        <v>2309500</v>
      </c>
      <c r="I822" s="27"/>
      <c r="J822" s="2"/>
      <c r="K822" s="2"/>
    </row>
    <row r="823">
      <c r="A823" s="2"/>
      <c r="B823" s="2"/>
      <c r="D823" s="39" t="s">
        <v>563</v>
      </c>
      <c r="E823" s="45" t="s">
        <v>16</v>
      </c>
      <c r="F823" s="45">
        <v>224.0</v>
      </c>
      <c r="G823" s="38">
        <v>26500.0</v>
      </c>
      <c r="H823" s="36">
        <f t="shared" si="86"/>
        <v>5936000</v>
      </c>
      <c r="I823" s="41">
        <f>SUM(H822:H823)</f>
        <v>8245500</v>
      </c>
      <c r="J823" s="2"/>
      <c r="K823" s="22" t="s">
        <v>17</v>
      </c>
    </row>
    <row r="824">
      <c r="A824" s="2"/>
      <c r="B824" s="2"/>
      <c r="C824" s="39" t="s">
        <v>122</v>
      </c>
      <c r="D824" s="39" t="s">
        <v>564</v>
      </c>
      <c r="E824" s="45" t="s">
        <v>16</v>
      </c>
      <c r="F824" s="62">
        <v>184.0</v>
      </c>
      <c r="G824" s="38">
        <v>25000.0</v>
      </c>
      <c r="H824" s="36">
        <f t="shared" si="86"/>
        <v>4600000</v>
      </c>
      <c r="I824" s="27"/>
      <c r="J824" s="2"/>
      <c r="K824" s="2"/>
    </row>
    <row r="825">
      <c r="A825" s="2"/>
      <c r="B825" s="2"/>
      <c r="D825" s="39" t="s">
        <v>565</v>
      </c>
      <c r="E825" s="45" t="s">
        <v>16</v>
      </c>
      <c r="F825" s="62">
        <v>1260.0</v>
      </c>
      <c r="G825" s="38">
        <v>1800.0</v>
      </c>
      <c r="H825" s="36">
        <f t="shared" si="86"/>
        <v>2268000</v>
      </c>
      <c r="I825" s="27"/>
      <c r="J825" s="2"/>
      <c r="K825" s="2"/>
    </row>
    <row r="826">
      <c r="A826" s="2"/>
      <c r="B826" s="2"/>
      <c r="D826" s="39" t="s">
        <v>566</v>
      </c>
      <c r="E826" s="45" t="s">
        <v>16</v>
      </c>
      <c r="F826" s="62">
        <v>200.0</v>
      </c>
      <c r="G826" s="38">
        <v>19000.0</v>
      </c>
      <c r="H826" s="36">
        <f t="shared" si="86"/>
        <v>3800000</v>
      </c>
      <c r="I826" s="27"/>
      <c r="J826" s="2"/>
      <c r="K826" s="2"/>
    </row>
    <row r="827">
      <c r="A827" s="2"/>
      <c r="B827" s="2"/>
      <c r="D827" s="39" t="s">
        <v>567</v>
      </c>
      <c r="E827" s="45" t="s">
        <v>201</v>
      </c>
      <c r="F827" s="62">
        <v>14.0</v>
      </c>
      <c r="G827" s="38">
        <v>650000.0</v>
      </c>
      <c r="H827" s="36">
        <f t="shared" si="86"/>
        <v>9100000</v>
      </c>
      <c r="I827" s="27"/>
      <c r="J827" s="2"/>
      <c r="K827" s="2"/>
    </row>
    <row r="828">
      <c r="A828" s="2"/>
      <c r="B828" s="2"/>
      <c r="D828" s="39" t="s">
        <v>568</v>
      </c>
      <c r="E828" s="45" t="s">
        <v>16</v>
      </c>
      <c r="F828" s="62">
        <v>270.0</v>
      </c>
      <c r="G828" s="38">
        <v>19000.0</v>
      </c>
      <c r="H828" s="36">
        <f t="shared" si="86"/>
        <v>5130000</v>
      </c>
      <c r="I828" s="27"/>
      <c r="J828" s="2"/>
      <c r="K828" s="2"/>
    </row>
    <row r="829">
      <c r="A829" s="2"/>
      <c r="B829" s="2"/>
      <c r="D829" s="39" t="s">
        <v>569</v>
      </c>
      <c r="E829" s="45" t="s">
        <v>16</v>
      </c>
      <c r="F829" s="62">
        <v>151.0</v>
      </c>
      <c r="G829" s="38">
        <v>18000.0</v>
      </c>
      <c r="H829" s="36">
        <f t="shared" si="86"/>
        <v>2718000</v>
      </c>
      <c r="I829" s="27"/>
      <c r="J829" s="2"/>
      <c r="K829" s="2"/>
    </row>
    <row r="830">
      <c r="A830" s="2"/>
      <c r="B830" s="2"/>
      <c r="D830" s="39" t="s">
        <v>570</v>
      </c>
      <c r="E830" s="45" t="s">
        <v>16</v>
      </c>
      <c r="F830" s="45">
        <v>3213.0</v>
      </c>
      <c r="G830" s="38">
        <v>1800.0</v>
      </c>
      <c r="H830" s="36">
        <f t="shared" si="86"/>
        <v>5783400</v>
      </c>
      <c r="I830" s="41">
        <f>SUM(H824:H830)</f>
        <v>33399400</v>
      </c>
      <c r="J830" s="2"/>
      <c r="K830" s="2"/>
    </row>
    <row r="831">
      <c r="A831" s="2"/>
      <c r="B831" s="2"/>
      <c r="C831" s="31" t="s">
        <v>571</v>
      </c>
      <c r="D831" s="22" t="s">
        <v>572</v>
      </c>
      <c r="E831" s="32" t="s">
        <v>16</v>
      </c>
      <c r="F831" s="32">
        <v>260.0</v>
      </c>
      <c r="G831" s="35">
        <v>26000.0</v>
      </c>
      <c r="H831" s="36">
        <f t="shared" si="86"/>
        <v>6760000</v>
      </c>
      <c r="I831" s="41">
        <f t="shared" ref="I831:I833" si="88">H831</f>
        <v>6760000</v>
      </c>
      <c r="J831" s="2"/>
      <c r="K831" s="2"/>
    </row>
    <row r="832">
      <c r="A832" s="2"/>
      <c r="B832" s="2"/>
      <c r="C832" s="31" t="s">
        <v>573</v>
      </c>
      <c r="D832" s="22" t="s">
        <v>574</v>
      </c>
      <c r="E832" s="32" t="s">
        <v>16</v>
      </c>
      <c r="F832" s="32">
        <v>130.0</v>
      </c>
      <c r="G832" s="35">
        <v>25000.0</v>
      </c>
      <c r="H832" s="36">
        <f t="shared" si="86"/>
        <v>3250000</v>
      </c>
      <c r="I832" s="41">
        <f t="shared" si="88"/>
        <v>3250000</v>
      </c>
      <c r="J832" s="2"/>
      <c r="K832" s="22" t="s">
        <v>17</v>
      </c>
    </row>
    <row r="833">
      <c r="A833" s="2"/>
      <c r="B833" s="2"/>
      <c r="C833" s="31" t="s">
        <v>27</v>
      </c>
      <c r="D833" s="22" t="s">
        <v>575</v>
      </c>
      <c r="E833" s="32" t="s">
        <v>50</v>
      </c>
      <c r="F833" s="32">
        <v>1255.0</v>
      </c>
      <c r="G833" s="35">
        <v>2800.0</v>
      </c>
      <c r="H833" s="36">
        <f t="shared" si="86"/>
        <v>3514000</v>
      </c>
      <c r="I833" s="41">
        <f t="shared" si="88"/>
        <v>3514000</v>
      </c>
      <c r="J833" s="2"/>
      <c r="K833" s="22" t="s">
        <v>17</v>
      </c>
    </row>
    <row r="834">
      <c r="A834" s="2"/>
      <c r="B834" s="2"/>
      <c r="C834" s="31"/>
      <c r="D834" s="22" t="s">
        <v>12</v>
      </c>
      <c r="E834" s="32"/>
      <c r="F834" s="32">
        <v>14.0</v>
      </c>
      <c r="G834" s="35">
        <v>2500.0</v>
      </c>
      <c r="H834" s="36">
        <f t="shared" si="86"/>
        <v>35000</v>
      </c>
      <c r="I834" s="41"/>
      <c r="J834" s="27">
        <f>H834</f>
        <v>35000</v>
      </c>
      <c r="K834" s="22"/>
    </row>
    <row r="835">
      <c r="A835" s="46" t="s">
        <v>576</v>
      </c>
      <c r="B835" s="47"/>
      <c r="C835" s="47"/>
      <c r="D835" s="47"/>
      <c r="E835" s="48"/>
      <c r="F835" s="48"/>
      <c r="G835" s="49"/>
      <c r="H835" s="50" t="s">
        <v>11</v>
      </c>
      <c r="I835" s="51">
        <f t="shared" ref="I835:J835" si="89">SUM(I836:I860)</f>
        <v>58278200</v>
      </c>
      <c r="J835" s="51">
        <f t="shared" si="89"/>
        <v>20000</v>
      </c>
      <c r="K835" s="2"/>
      <c r="L835" s="39">
        <v>13.0</v>
      </c>
      <c r="M835" s="39" t="s">
        <v>165</v>
      </c>
      <c r="N835" s="40">
        <f>I835</f>
        <v>58278200</v>
      </c>
    </row>
    <row r="836">
      <c r="A836" s="2"/>
      <c r="B836" s="2"/>
      <c r="C836" s="39" t="s">
        <v>189</v>
      </c>
      <c r="D836" s="39" t="s">
        <v>577</v>
      </c>
      <c r="E836" s="45" t="s">
        <v>16</v>
      </c>
      <c r="F836" s="45">
        <v>37.7</v>
      </c>
      <c r="G836" s="38">
        <v>70000.0</v>
      </c>
      <c r="H836" s="36">
        <f t="shared" ref="H836:H846" si="90">F836*G836</f>
        <v>2639000</v>
      </c>
      <c r="I836" s="27"/>
      <c r="J836" s="2"/>
      <c r="K836" s="2"/>
      <c r="M836" s="39" t="s">
        <v>168</v>
      </c>
      <c r="N836" s="40">
        <f>'Kas Fisik Oprasional'!I245</f>
        <v>19373000</v>
      </c>
    </row>
    <row r="837">
      <c r="A837" s="2"/>
      <c r="B837" s="2"/>
      <c r="D837" s="39" t="s">
        <v>578</v>
      </c>
      <c r="E837" s="45" t="s">
        <v>50</v>
      </c>
      <c r="F837" s="45">
        <v>2175.0</v>
      </c>
      <c r="G837" s="38">
        <v>1650.0</v>
      </c>
      <c r="H837" s="36">
        <f t="shared" si="90"/>
        <v>3588750</v>
      </c>
      <c r="I837" s="41">
        <f>SUM(H836:H837)</f>
        <v>6227750</v>
      </c>
      <c r="J837" s="2"/>
      <c r="K837" s="22" t="s">
        <v>17</v>
      </c>
      <c r="M837" s="39" t="s">
        <v>242</v>
      </c>
      <c r="N837" s="40">
        <f>'list Reimburse'!I72</f>
        <v>648000</v>
      </c>
    </row>
    <row r="838">
      <c r="A838" s="2"/>
      <c r="B838" s="2"/>
      <c r="C838" s="31" t="s">
        <v>205</v>
      </c>
      <c r="D838" s="22" t="s">
        <v>579</v>
      </c>
      <c r="E838" s="32" t="s">
        <v>133</v>
      </c>
      <c r="F838" s="32">
        <v>97.0</v>
      </c>
      <c r="G838" s="35">
        <v>12000.0</v>
      </c>
      <c r="H838" s="36">
        <f t="shared" si="90"/>
        <v>1164000</v>
      </c>
      <c r="I838" s="27"/>
      <c r="J838" s="2"/>
      <c r="K838" s="2"/>
      <c r="M838" s="39" t="s">
        <v>345</v>
      </c>
      <c r="N838" s="39" t="s">
        <v>197</v>
      </c>
    </row>
    <row r="839">
      <c r="A839" s="2"/>
      <c r="B839" s="2"/>
      <c r="C839" s="34"/>
      <c r="D839" s="22" t="s">
        <v>580</v>
      </c>
      <c r="E839" s="32" t="s">
        <v>133</v>
      </c>
      <c r="F839" s="32">
        <v>49.0</v>
      </c>
      <c r="G839" s="35">
        <v>12000.0</v>
      </c>
      <c r="H839" s="36">
        <f t="shared" si="90"/>
        <v>588000</v>
      </c>
      <c r="I839" s="27"/>
      <c r="J839" s="22"/>
      <c r="K839" s="2"/>
      <c r="M839" s="39" t="s">
        <v>12</v>
      </c>
      <c r="N839" s="40">
        <f>J835+'Kas Fisik Oprasional'!J245</f>
        <v>32500</v>
      </c>
    </row>
    <row r="840">
      <c r="A840" s="2"/>
      <c r="B840" s="2"/>
      <c r="C840" s="34"/>
      <c r="D840" s="22" t="s">
        <v>581</v>
      </c>
      <c r="E840" s="32" t="s">
        <v>50</v>
      </c>
      <c r="F840" s="32">
        <v>1710.0</v>
      </c>
      <c r="G840" s="35">
        <v>500.0</v>
      </c>
      <c r="H840" s="36">
        <f t="shared" si="90"/>
        <v>855000</v>
      </c>
      <c r="I840" s="27"/>
      <c r="J840" s="2"/>
      <c r="K840" s="2"/>
      <c r="M840" s="42" t="s">
        <v>11</v>
      </c>
      <c r="N840" s="40">
        <f>SUM(N835:N839)</f>
        <v>78331700</v>
      </c>
    </row>
    <row r="841">
      <c r="A841" s="2"/>
      <c r="B841" s="2"/>
      <c r="D841" s="22" t="s">
        <v>582</v>
      </c>
      <c r="E841" s="32" t="s">
        <v>50</v>
      </c>
      <c r="F841" s="32">
        <v>1684.0</v>
      </c>
      <c r="G841" s="35">
        <v>750.0</v>
      </c>
      <c r="H841" s="36">
        <f t="shared" si="90"/>
        <v>1263000</v>
      </c>
      <c r="I841" s="41">
        <f>SUM(H838:H841)</f>
        <v>3870000</v>
      </c>
      <c r="J841" s="2"/>
      <c r="K841" s="22" t="s">
        <v>17</v>
      </c>
    </row>
    <row r="842">
      <c r="A842" s="2"/>
      <c r="B842" s="2"/>
      <c r="C842" s="39" t="s">
        <v>237</v>
      </c>
      <c r="D842" s="39" t="s">
        <v>583</v>
      </c>
      <c r="E842" s="45" t="s">
        <v>50</v>
      </c>
      <c r="F842" s="45">
        <v>35.0</v>
      </c>
      <c r="G842" s="38">
        <v>28000.0</v>
      </c>
      <c r="H842" s="36">
        <f t="shared" si="90"/>
        <v>980000</v>
      </c>
      <c r="I842" s="27"/>
      <c r="J842" s="2"/>
      <c r="K842" s="2"/>
    </row>
    <row r="843">
      <c r="A843" s="2"/>
      <c r="B843" s="2"/>
      <c r="D843" s="39" t="s">
        <v>584</v>
      </c>
      <c r="E843" s="45" t="s">
        <v>16</v>
      </c>
      <c r="F843" s="45">
        <v>25.0</v>
      </c>
      <c r="G843" s="38">
        <v>22000.0</v>
      </c>
      <c r="H843" s="36">
        <f t="shared" si="90"/>
        <v>550000</v>
      </c>
      <c r="I843" s="27"/>
      <c r="J843" s="2"/>
      <c r="K843" s="2"/>
    </row>
    <row r="844">
      <c r="A844" s="2"/>
      <c r="B844" s="2"/>
      <c r="D844" s="39" t="s">
        <v>585</v>
      </c>
      <c r="E844" s="45" t="s">
        <v>16</v>
      </c>
      <c r="F844" s="45">
        <v>99.0</v>
      </c>
      <c r="G844" s="38">
        <v>28000.0</v>
      </c>
      <c r="H844" s="36">
        <f t="shared" si="90"/>
        <v>2772000</v>
      </c>
      <c r="I844" s="27"/>
      <c r="J844" s="2"/>
      <c r="K844" s="2"/>
    </row>
    <row r="845">
      <c r="A845" s="2"/>
      <c r="B845" s="2"/>
      <c r="D845" s="39" t="s">
        <v>586</v>
      </c>
      <c r="E845" s="45" t="s">
        <v>50</v>
      </c>
      <c r="F845" s="45">
        <v>255.0</v>
      </c>
      <c r="G845" s="38">
        <v>29000.0</v>
      </c>
      <c r="H845" s="36">
        <f t="shared" si="90"/>
        <v>7395000</v>
      </c>
      <c r="I845" s="41">
        <f>SUM(H842:H845)</f>
        <v>11697000</v>
      </c>
      <c r="J845" s="22"/>
      <c r="K845" s="22" t="s">
        <v>17</v>
      </c>
    </row>
    <row r="846">
      <c r="A846" s="2"/>
      <c r="B846" s="2"/>
      <c r="C846" s="31" t="s">
        <v>587</v>
      </c>
      <c r="D846" s="22" t="s">
        <v>588</v>
      </c>
      <c r="E846" s="32" t="s">
        <v>16</v>
      </c>
      <c r="F846" s="32">
        <v>20.0</v>
      </c>
      <c r="G846" s="35">
        <v>11300.0</v>
      </c>
      <c r="H846" s="36">
        <f t="shared" si="90"/>
        <v>226000</v>
      </c>
      <c r="I846" s="41">
        <f>H846</f>
        <v>226000</v>
      </c>
      <c r="J846" s="2"/>
      <c r="K846" s="22" t="s">
        <v>17</v>
      </c>
    </row>
    <row r="847">
      <c r="A847" s="2"/>
      <c r="B847" s="2"/>
      <c r="C847" s="31" t="s">
        <v>248</v>
      </c>
      <c r="D847" s="22" t="s">
        <v>589</v>
      </c>
      <c r="E847" s="32" t="s">
        <v>16</v>
      </c>
      <c r="F847" s="32">
        <v>50.0</v>
      </c>
      <c r="G847" s="35">
        <v>23800.0</v>
      </c>
      <c r="H847" s="35">
        <v>1190000.0</v>
      </c>
      <c r="I847" s="27"/>
      <c r="J847" s="2"/>
      <c r="K847" s="2"/>
    </row>
    <row r="848">
      <c r="A848" s="2"/>
      <c r="B848" s="2"/>
      <c r="C848" s="34"/>
      <c r="D848" s="22" t="s">
        <v>590</v>
      </c>
      <c r="E848" s="32" t="s">
        <v>16</v>
      </c>
      <c r="F848" s="32">
        <v>75.0</v>
      </c>
      <c r="G848" s="35">
        <v>14500.0</v>
      </c>
      <c r="H848" s="36">
        <f t="shared" ref="H848:H860" si="91">F848*G848</f>
        <v>1087500</v>
      </c>
      <c r="I848" s="27"/>
      <c r="J848" s="2"/>
      <c r="K848" s="2"/>
    </row>
    <row r="849">
      <c r="A849" s="2"/>
      <c r="B849" s="2"/>
      <c r="C849" s="34"/>
      <c r="D849" s="22" t="s">
        <v>74</v>
      </c>
      <c r="E849" s="32" t="s">
        <v>16</v>
      </c>
      <c r="F849" s="32">
        <v>425.0</v>
      </c>
      <c r="G849" s="35">
        <v>14500.0</v>
      </c>
      <c r="H849" s="36">
        <f t="shared" si="91"/>
        <v>6162500</v>
      </c>
      <c r="I849" s="27"/>
      <c r="J849" s="2"/>
      <c r="K849" s="2"/>
    </row>
    <row r="850">
      <c r="A850" s="2"/>
      <c r="B850" s="2"/>
      <c r="C850" s="34"/>
      <c r="D850" s="22" t="s">
        <v>74</v>
      </c>
      <c r="E850" s="32" t="s">
        <v>16</v>
      </c>
      <c r="F850" s="32">
        <v>400.0</v>
      </c>
      <c r="G850" s="35">
        <v>14500.0</v>
      </c>
      <c r="H850" s="36">
        <f t="shared" si="91"/>
        <v>5800000</v>
      </c>
      <c r="I850" s="27"/>
      <c r="J850" s="2"/>
      <c r="K850" s="2"/>
    </row>
    <row r="851">
      <c r="A851" s="2"/>
      <c r="B851" s="2"/>
      <c r="C851" s="34"/>
      <c r="D851" s="22" t="s">
        <v>184</v>
      </c>
      <c r="E851" s="32" t="s">
        <v>16</v>
      </c>
      <c r="F851" s="32">
        <v>320.0</v>
      </c>
      <c r="G851" s="35">
        <v>23800.0</v>
      </c>
      <c r="H851" s="36">
        <f t="shared" si="91"/>
        <v>7616000</v>
      </c>
      <c r="I851" s="41">
        <f>SUM(H847:H851)</f>
        <v>21856000</v>
      </c>
      <c r="J851" s="2"/>
      <c r="K851" s="22" t="s">
        <v>17</v>
      </c>
    </row>
    <row r="852">
      <c r="A852" s="2"/>
      <c r="B852" s="2"/>
      <c r="C852" s="31" t="s">
        <v>189</v>
      </c>
      <c r="D852" s="22" t="s">
        <v>591</v>
      </c>
      <c r="E852" s="32" t="s">
        <v>16</v>
      </c>
      <c r="F852" s="32">
        <v>142.0</v>
      </c>
      <c r="G852" s="35">
        <v>26500.0</v>
      </c>
      <c r="H852" s="36">
        <f t="shared" si="91"/>
        <v>3763000</v>
      </c>
      <c r="I852" s="27"/>
      <c r="J852" s="2"/>
      <c r="K852" s="2"/>
    </row>
    <row r="853">
      <c r="A853" s="2"/>
      <c r="B853" s="2"/>
      <c r="C853" s="34"/>
      <c r="D853" s="22" t="s">
        <v>592</v>
      </c>
      <c r="E853" s="32" t="s">
        <v>50</v>
      </c>
      <c r="F853" s="32">
        <v>450.0</v>
      </c>
      <c r="G853" s="35">
        <v>1650.0</v>
      </c>
      <c r="H853" s="36">
        <f t="shared" si="91"/>
        <v>742500</v>
      </c>
      <c r="I853" s="27"/>
      <c r="J853" s="2"/>
      <c r="K853" s="2"/>
    </row>
    <row r="854">
      <c r="A854" s="2"/>
      <c r="B854" s="2"/>
      <c r="C854" s="34"/>
      <c r="D854" s="22" t="s">
        <v>593</v>
      </c>
      <c r="E854" s="32" t="s">
        <v>16</v>
      </c>
      <c r="F854" s="32">
        <v>104.0</v>
      </c>
      <c r="G854" s="35">
        <v>37000.0</v>
      </c>
      <c r="H854" s="36">
        <f t="shared" si="91"/>
        <v>3848000</v>
      </c>
      <c r="I854" s="27"/>
      <c r="J854" s="2"/>
      <c r="K854" s="2"/>
    </row>
    <row r="855">
      <c r="A855" s="2"/>
      <c r="B855" s="2"/>
      <c r="C855" s="34"/>
      <c r="D855" s="22" t="s">
        <v>578</v>
      </c>
      <c r="E855" s="32" t="s">
        <v>50</v>
      </c>
      <c r="F855" s="32">
        <v>1115.0</v>
      </c>
      <c r="G855" s="35">
        <v>1650.0</v>
      </c>
      <c r="H855" s="36">
        <f t="shared" si="91"/>
        <v>1839750</v>
      </c>
      <c r="I855" s="27"/>
      <c r="J855" s="2"/>
      <c r="K855" s="2"/>
    </row>
    <row r="856">
      <c r="A856" s="2"/>
      <c r="B856" s="2"/>
      <c r="C856" s="34"/>
      <c r="D856" s="22" t="s">
        <v>594</v>
      </c>
      <c r="E856" s="32" t="s">
        <v>16</v>
      </c>
      <c r="F856" s="32">
        <v>65.1</v>
      </c>
      <c r="G856" s="35">
        <v>12000.0</v>
      </c>
      <c r="H856" s="36">
        <f t="shared" si="91"/>
        <v>781200</v>
      </c>
      <c r="I856" s="41">
        <f>SUM(H852:H856)</f>
        <v>10974450</v>
      </c>
      <c r="J856" s="2"/>
      <c r="K856" s="22" t="s">
        <v>17</v>
      </c>
    </row>
    <row r="857">
      <c r="A857" s="2"/>
      <c r="B857" s="2"/>
      <c r="C857" s="31" t="s">
        <v>106</v>
      </c>
      <c r="D857" s="22" t="s">
        <v>595</v>
      </c>
      <c r="E857" s="32" t="s">
        <v>133</v>
      </c>
      <c r="F857" s="32">
        <v>110.0</v>
      </c>
      <c r="G857" s="35">
        <v>12000.0</v>
      </c>
      <c r="H857" s="36">
        <f t="shared" si="91"/>
        <v>1320000</v>
      </c>
      <c r="I857" s="41">
        <f>H857</f>
        <v>1320000</v>
      </c>
      <c r="J857" s="2"/>
      <c r="K857" s="22" t="s">
        <v>17</v>
      </c>
    </row>
    <row r="858">
      <c r="A858" s="2"/>
      <c r="B858" s="2"/>
      <c r="C858" s="31" t="s">
        <v>122</v>
      </c>
      <c r="D858" s="22" t="s">
        <v>596</v>
      </c>
      <c r="E858" s="32" t="s">
        <v>16</v>
      </c>
      <c r="F858" s="32">
        <v>63.0</v>
      </c>
      <c r="G858" s="35">
        <v>25000.0</v>
      </c>
      <c r="H858" s="36">
        <f t="shared" si="91"/>
        <v>1575000</v>
      </c>
      <c r="I858" s="27"/>
      <c r="J858" s="2"/>
      <c r="K858" s="2"/>
    </row>
    <row r="859">
      <c r="A859" s="2"/>
      <c r="B859" s="2"/>
      <c r="C859" s="34"/>
      <c r="D859" s="22" t="s">
        <v>597</v>
      </c>
      <c r="E859" s="32" t="s">
        <v>16</v>
      </c>
      <c r="F859" s="32">
        <v>28.0</v>
      </c>
      <c r="G859" s="35">
        <v>19000.0</v>
      </c>
      <c r="H859" s="36">
        <f t="shared" si="91"/>
        <v>532000</v>
      </c>
      <c r="I859" s="41">
        <f>SUM(H858:H859)</f>
        <v>2107000</v>
      </c>
      <c r="J859" s="2"/>
      <c r="K859" s="22" t="s">
        <v>17</v>
      </c>
    </row>
    <row r="860">
      <c r="A860" s="2"/>
      <c r="B860" s="2"/>
      <c r="C860" s="34"/>
      <c r="D860" s="22" t="s">
        <v>12</v>
      </c>
      <c r="E860" s="12"/>
      <c r="F860" s="32">
        <v>8.0</v>
      </c>
      <c r="G860" s="35">
        <v>2500.0</v>
      </c>
      <c r="H860" s="36">
        <f t="shared" si="91"/>
        <v>20000</v>
      </c>
      <c r="I860" s="27"/>
      <c r="J860" s="27">
        <f>H860</f>
        <v>20000</v>
      </c>
      <c r="K860" s="2"/>
    </row>
    <row r="861">
      <c r="A861" s="63" t="s">
        <v>598</v>
      </c>
      <c r="B861" s="64"/>
      <c r="C861" s="64"/>
      <c r="D861" s="64"/>
      <c r="E861" s="65"/>
      <c r="F861" s="65"/>
      <c r="G861" s="66"/>
      <c r="H861" s="50" t="s">
        <v>11</v>
      </c>
      <c r="I861" s="67">
        <f t="shared" ref="I861:J861" si="92">SUM(I862:I900)</f>
        <v>12010000</v>
      </c>
      <c r="J861" s="67">
        <f t="shared" si="92"/>
        <v>10000</v>
      </c>
      <c r="K861" s="2"/>
      <c r="L861" s="39">
        <v>14.0</v>
      </c>
      <c r="M861" s="39" t="s">
        <v>165</v>
      </c>
      <c r="N861" s="40">
        <f>I861</f>
        <v>12010000</v>
      </c>
    </row>
    <row r="862">
      <c r="A862" s="2"/>
      <c r="B862" s="2"/>
      <c r="C862" s="31" t="s">
        <v>18</v>
      </c>
      <c r="D862" s="22" t="s">
        <v>19</v>
      </c>
      <c r="E862" s="32" t="s">
        <v>16</v>
      </c>
      <c r="F862" s="32">
        <v>9.0</v>
      </c>
      <c r="G862" s="35">
        <v>35000.0</v>
      </c>
      <c r="H862" s="36">
        <f t="shared" ref="H862:H877" si="93">F862*G862</f>
        <v>315000</v>
      </c>
      <c r="I862" s="27"/>
      <c r="J862" s="2"/>
      <c r="K862" s="2"/>
      <c r="M862" s="39" t="s">
        <v>168</v>
      </c>
      <c r="N862" s="39" t="s">
        <v>197</v>
      </c>
    </row>
    <row r="863">
      <c r="A863" s="2"/>
      <c r="B863" s="2"/>
      <c r="D863" s="22" t="s">
        <v>20</v>
      </c>
      <c r="E863" s="32" t="s">
        <v>16</v>
      </c>
      <c r="F863" s="32">
        <v>3.0</v>
      </c>
      <c r="G863" s="35">
        <v>45000.0</v>
      </c>
      <c r="H863" s="36">
        <f t="shared" si="93"/>
        <v>135000</v>
      </c>
      <c r="I863" s="27"/>
      <c r="J863" s="2"/>
      <c r="K863" s="2"/>
      <c r="M863" s="39" t="s">
        <v>242</v>
      </c>
      <c r="N863" s="39" t="s">
        <v>197</v>
      </c>
    </row>
    <row r="864">
      <c r="A864" s="2"/>
      <c r="B864" s="2"/>
      <c r="C864" s="34"/>
      <c r="D864" s="22" t="s">
        <v>21</v>
      </c>
      <c r="E864" s="32" t="s">
        <v>16</v>
      </c>
      <c r="F864" s="32">
        <v>7.0</v>
      </c>
      <c r="G864" s="35">
        <v>40000.0</v>
      </c>
      <c r="H864" s="36">
        <f t="shared" si="93"/>
        <v>280000</v>
      </c>
      <c r="I864" s="41">
        <f>SUM(H862:H864)</f>
        <v>730000</v>
      </c>
      <c r="J864" s="2"/>
      <c r="K864" s="2"/>
      <c r="M864" s="39" t="s">
        <v>345</v>
      </c>
      <c r="N864" s="39" t="s">
        <v>197</v>
      </c>
    </row>
    <row r="865">
      <c r="A865" s="2"/>
      <c r="B865" s="2"/>
      <c r="C865" s="31" t="s">
        <v>25</v>
      </c>
      <c r="D865" s="22" t="s">
        <v>26</v>
      </c>
      <c r="E865" s="32" t="s">
        <v>16</v>
      </c>
      <c r="F865" s="32">
        <v>93.0</v>
      </c>
      <c r="G865" s="35">
        <v>6500.0</v>
      </c>
      <c r="H865" s="36">
        <f t="shared" si="93"/>
        <v>604500</v>
      </c>
      <c r="I865" s="41">
        <f>H865</f>
        <v>604500</v>
      </c>
      <c r="J865" s="2"/>
      <c r="K865" s="2"/>
      <c r="M865" s="39" t="s">
        <v>12</v>
      </c>
      <c r="N865" s="40">
        <f>J861</f>
        <v>10000</v>
      </c>
    </row>
    <row r="866">
      <c r="A866" s="2"/>
      <c r="B866" s="2"/>
      <c r="C866" s="34"/>
      <c r="D866" s="22" t="s">
        <v>599</v>
      </c>
      <c r="E866" s="32" t="s">
        <v>16</v>
      </c>
      <c r="F866" s="32">
        <v>4.0</v>
      </c>
      <c r="G866" s="35">
        <v>62000.0</v>
      </c>
      <c r="H866" s="36">
        <f t="shared" si="93"/>
        <v>248000</v>
      </c>
      <c r="I866" s="27"/>
      <c r="J866" s="2"/>
      <c r="K866" s="2"/>
      <c r="M866" s="42" t="s">
        <v>11</v>
      </c>
      <c r="N866" s="40">
        <f>SUM(N861:N865)</f>
        <v>12020000</v>
      </c>
    </row>
    <row r="867">
      <c r="A867" s="2"/>
      <c r="B867" s="2"/>
      <c r="C867" s="34"/>
      <c r="D867" s="22" t="s">
        <v>29</v>
      </c>
      <c r="E867" s="32" t="s">
        <v>16</v>
      </c>
      <c r="F867" s="32">
        <v>1.0</v>
      </c>
      <c r="G867" s="35">
        <v>37000.0</v>
      </c>
      <c r="H867" s="36">
        <f t="shared" si="93"/>
        <v>37000</v>
      </c>
      <c r="I867" s="27"/>
      <c r="J867" s="2"/>
      <c r="K867" s="2"/>
    </row>
    <row r="868">
      <c r="A868" s="2"/>
      <c r="B868" s="2"/>
      <c r="C868" s="34"/>
      <c r="D868" s="22" t="s">
        <v>31</v>
      </c>
      <c r="E868" s="32" t="s">
        <v>16</v>
      </c>
      <c r="F868" s="32">
        <v>3.5</v>
      </c>
      <c r="G868" s="35">
        <v>18000.0</v>
      </c>
      <c r="H868" s="36">
        <f t="shared" si="93"/>
        <v>63000</v>
      </c>
      <c r="I868" s="27"/>
      <c r="J868" s="2"/>
      <c r="K868" s="2"/>
    </row>
    <row r="869">
      <c r="A869" s="2"/>
      <c r="B869" s="2"/>
      <c r="C869" s="34"/>
      <c r="D869" s="22" t="s">
        <v>32</v>
      </c>
      <c r="E869" s="32" t="s">
        <v>16</v>
      </c>
      <c r="F869" s="32">
        <v>0.5</v>
      </c>
      <c r="G869" s="35">
        <v>20000.0</v>
      </c>
      <c r="H869" s="36">
        <f t="shared" si="93"/>
        <v>10000</v>
      </c>
      <c r="I869" s="27"/>
      <c r="J869" s="2"/>
      <c r="K869" s="2"/>
    </row>
    <row r="870">
      <c r="A870" s="2"/>
      <c r="B870" s="2"/>
      <c r="C870" s="34"/>
      <c r="D870" s="22" t="s">
        <v>85</v>
      </c>
      <c r="E870" s="32" t="s">
        <v>16</v>
      </c>
      <c r="F870" s="32">
        <v>1.0</v>
      </c>
      <c r="G870" s="35">
        <v>18000.0</v>
      </c>
      <c r="H870" s="36">
        <f t="shared" si="93"/>
        <v>18000</v>
      </c>
      <c r="I870" s="27"/>
      <c r="J870" s="2"/>
      <c r="K870" s="2"/>
    </row>
    <row r="871">
      <c r="A871" s="2"/>
      <c r="B871" s="2"/>
      <c r="C871" s="34"/>
      <c r="D871" s="22" t="s">
        <v>87</v>
      </c>
      <c r="E871" s="32" t="s">
        <v>16</v>
      </c>
      <c r="F871" s="32">
        <v>40.0</v>
      </c>
      <c r="G871" s="35">
        <v>7000.0</v>
      </c>
      <c r="H871" s="36">
        <f t="shared" si="93"/>
        <v>280000</v>
      </c>
      <c r="I871" s="27"/>
      <c r="J871" s="2"/>
      <c r="K871" s="2"/>
    </row>
    <row r="872">
      <c r="A872" s="2"/>
      <c r="B872" s="2"/>
      <c r="C872" s="34"/>
      <c r="D872" s="22" t="s">
        <v>84</v>
      </c>
      <c r="E872" s="32" t="s">
        <v>16</v>
      </c>
      <c r="F872" s="32">
        <v>141.0</v>
      </c>
      <c r="G872" s="35">
        <v>9000.0</v>
      </c>
      <c r="H872" s="36">
        <f t="shared" si="93"/>
        <v>1269000</v>
      </c>
      <c r="I872" s="27"/>
      <c r="J872" s="2"/>
      <c r="K872" s="2"/>
    </row>
    <row r="873">
      <c r="A873" s="2"/>
      <c r="B873" s="2"/>
      <c r="C873" s="34"/>
      <c r="D873" s="22" t="s">
        <v>34</v>
      </c>
      <c r="E873" s="32" t="s">
        <v>16</v>
      </c>
      <c r="F873" s="32">
        <v>30.0</v>
      </c>
      <c r="G873" s="35">
        <v>8000.0</v>
      </c>
      <c r="H873" s="36">
        <f t="shared" si="93"/>
        <v>240000</v>
      </c>
      <c r="I873" s="27"/>
      <c r="J873" s="2"/>
      <c r="K873" s="2"/>
    </row>
    <row r="874">
      <c r="A874" s="2"/>
      <c r="B874" s="2"/>
      <c r="C874" s="34"/>
      <c r="D874" s="22" t="s">
        <v>35</v>
      </c>
      <c r="E874" s="32" t="s">
        <v>16</v>
      </c>
      <c r="F874" s="32">
        <v>183.0</v>
      </c>
      <c r="G874" s="35">
        <v>15500.0</v>
      </c>
      <c r="H874" s="36">
        <f t="shared" si="93"/>
        <v>2836500</v>
      </c>
      <c r="I874" s="27"/>
      <c r="J874" s="2"/>
      <c r="K874" s="2"/>
    </row>
    <row r="875">
      <c r="A875" s="2"/>
      <c r="B875" s="2"/>
      <c r="C875" s="34"/>
      <c r="D875" s="22" t="s">
        <v>28</v>
      </c>
      <c r="E875" s="32" t="s">
        <v>16</v>
      </c>
      <c r="F875" s="32">
        <v>80.0</v>
      </c>
      <c r="G875" s="35">
        <v>12000.0</v>
      </c>
      <c r="H875" s="36">
        <f t="shared" si="93"/>
        <v>960000</v>
      </c>
      <c r="I875" s="27"/>
      <c r="J875" s="2"/>
      <c r="K875" s="2"/>
    </row>
    <row r="876">
      <c r="A876" s="2"/>
      <c r="B876" s="2"/>
      <c r="C876" s="34"/>
      <c r="D876" s="22" t="s">
        <v>43</v>
      </c>
      <c r="E876" s="32" t="s">
        <v>16</v>
      </c>
      <c r="F876" s="32">
        <v>2.0</v>
      </c>
      <c r="G876" s="35">
        <v>12000.0</v>
      </c>
      <c r="H876" s="36">
        <f t="shared" si="93"/>
        <v>24000</v>
      </c>
      <c r="I876" s="27"/>
      <c r="J876" s="2"/>
      <c r="K876" s="2"/>
    </row>
    <row r="877">
      <c r="A877" s="2"/>
      <c r="B877" s="2"/>
      <c r="C877" s="34"/>
      <c r="D877" s="22" t="s">
        <v>88</v>
      </c>
      <c r="E877" s="32" t="s">
        <v>16</v>
      </c>
      <c r="F877" s="32">
        <v>4.0</v>
      </c>
      <c r="G877" s="35">
        <v>30000.0</v>
      </c>
      <c r="H877" s="36">
        <f t="shared" si="93"/>
        <v>120000</v>
      </c>
      <c r="I877" s="27"/>
      <c r="J877" s="2"/>
      <c r="K877" s="2"/>
    </row>
    <row r="878">
      <c r="A878" s="2"/>
      <c r="B878" s="2"/>
      <c r="C878" s="34"/>
      <c r="D878" s="22" t="s">
        <v>41</v>
      </c>
      <c r="E878" s="32" t="s">
        <v>16</v>
      </c>
      <c r="F878" s="32">
        <v>1.5</v>
      </c>
      <c r="G878" s="35">
        <f>H878/F878</f>
        <v>14666.66667</v>
      </c>
      <c r="H878" s="35">
        <v>22000.0</v>
      </c>
      <c r="I878" s="27"/>
      <c r="J878" s="2"/>
      <c r="K878" s="2"/>
    </row>
    <row r="879">
      <c r="A879" s="2"/>
      <c r="B879" s="2"/>
      <c r="C879" s="34"/>
      <c r="D879" s="22" t="s">
        <v>150</v>
      </c>
      <c r="E879" s="32" t="s">
        <v>16</v>
      </c>
      <c r="F879" s="32">
        <v>4.0</v>
      </c>
      <c r="G879" s="35">
        <v>8000.0</v>
      </c>
      <c r="H879" s="36">
        <f t="shared" ref="H879:H880" si="94">F879*G879</f>
        <v>32000</v>
      </c>
      <c r="I879" s="27"/>
      <c r="J879" s="2"/>
      <c r="K879" s="2"/>
    </row>
    <row r="880">
      <c r="A880" s="2"/>
      <c r="B880" s="2"/>
      <c r="C880" s="34"/>
      <c r="D880" s="22" t="s">
        <v>39</v>
      </c>
      <c r="E880" s="32" t="s">
        <v>16</v>
      </c>
      <c r="F880" s="32">
        <v>2.0</v>
      </c>
      <c r="G880" s="35">
        <v>9000.0</v>
      </c>
      <c r="H880" s="36">
        <f t="shared" si="94"/>
        <v>18000</v>
      </c>
      <c r="I880" s="27"/>
      <c r="J880" s="2"/>
      <c r="K880" s="2"/>
    </row>
    <row r="881">
      <c r="A881" s="2"/>
      <c r="B881" s="2"/>
      <c r="C881" s="34"/>
      <c r="D881" s="22" t="s">
        <v>289</v>
      </c>
      <c r="E881" s="32" t="s">
        <v>16</v>
      </c>
      <c r="F881" s="32"/>
      <c r="G881" s="35">
        <v>5000.0</v>
      </c>
      <c r="H881" s="35">
        <v>5000.0</v>
      </c>
      <c r="I881" s="41">
        <f>SUM(H866:H881)</f>
        <v>6182500</v>
      </c>
      <c r="J881" s="2"/>
      <c r="K881" s="2"/>
    </row>
    <row r="882">
      <c r="A882" s="2"/>
      <c r="B882" s="2"/>
      <c r="C882" s="31" t="s">
        <v>162</v>
      </c>
      <c r="D882" s="22" t="s">
        <v>152</v>
      </c>
      <c r="E882" s="32" t="s">
        <v>16</v>
      </c>
      <c r="F882" s="32">
        <v>10.0</v>
      </c>
      <c r="G882" s="35">
        <v>18500.0</v>
      </c>
      <c r="H882" s="36">
        <f t="shared" ref="H882:H900" si="95">F882*G882</f>
        <v>185000</v>
      </c>
      <c r="I882" s="27"/>
      <c r="J882" s="2"/>
      <c r="K882" s="2"/>
    </row>
    <row r="883">
      <c r="A883" s="2"/>
      <c r="B883" s="2"/>
      <c r="C883" s="34"/>
      <c r="D883" s="22" t="s">
        <v>259</v>
      </c>
      <c r="E883" s="32" t="s">
        <v>54</v>
      </c>
      <c r="F883" s="32">
        <v>4.0</v>
      </c>
      <c r="G883" s="35">
        <v>190000.0</v>
      </c>
      <c r="H883" s="36">
        <f t="shared" si="95"/>
        <v>760000</v>
      </c>
      <c r="I883" s="27"/>
      <c r="J883" s="2"/>
      <c r="K883" s="2"/>
    </row>
    <row r="884">
      <c r="A884" s="2"/>
      <c r="B884" s="2"/>
      <c r="C884" s="34"/>
      <c r="D884" s="22" t="s">
        <v>47</v>
      </c>
      <c r="E884" s="32" t="s">
        <v>50</v>
      </c>
      <c r="F884" s="32">
        <v>2.0</v>
      </c>
      <c r="G884" s="35">
        <v>48000.0</v>
      </c>
      <c r="H884" s="36">
        <f t="shared" si="95"/>
        <v>96000</v>
      </c>
      <c r="I884" s="27"/>
      <c r="J884" s="2"/>
      <c r="K884" s="2"/>
    </row>
    <row r="885">
      <c r="A885" s="2"/>
      <c r="B885" s="2"/>
      <c r="C885" s="34"/>
      <c r="D885" s="22" t="s">
        <v>46</v>
      </c>
      <c r="E885" s="32" t="s">
        <v>48</v>
      </c>
      <c r="F885" s="32">
        <v>2.0</v>
      </c>
      <c r="G885" s="35">
        <v>47000.0</v>
      </c>
      <c r="H885" s="36">
        <f t="shared" si="95"/>
        <v>94000</v>
      </c>
      <c r="I885" s="27"/>
      <c r="J885" s="2"/>
      <c r="K885" s="2"/>
    </row>
    <row r="886">
      <c r="A886" s="2"/>
      <c r="B886" s="2"/>
      <c r="C886" s="34"/>
      <c r="D886" s="22" t="s">
        <v>600</v>
      </c>
      <c r="E886" s="32" t="s">
        <v>16</v>
      </c>
      <c r="F886" s="32">
        <v>2.0</v>
      </c>
      <c r="G886" s="35">
        <v>42000.0</v>
      </c>
      <c r="H886" s="36">
        <f t="shared" si="95"/>
        <v>84000</v>
      </c>
      <c r="I886" s="27"/>
      <c r="J886" s="2"/>
      <c r="K886" s="2"/>
    </row>
    <row r="887">
      <c r="A887" s="2"/>
      <c r="B887" s="2"/>
      <c r="C887" s="34"/>
      <c r="D887" s="22" t="s">
        <v>601</v>
      </c>
      <c r="E887" s="32" t="s">
        <v>16</v>
      </c>
      <c r="F887" s="32">
        <v>17.0</v>
      </c>
      <c r="G887" s="35">
        <v>26000.0</v>
      </c>
      <c r="H887" s="36">
        <f t="shared" si="95"/>
        <v>442000</v>
      </c>
      <c r="I887" s="27"/>
      <c r="J887" s="2"/>
      <c r="K887" s="2"/>
    </row>
    <row r="888">
      <c r="A888" s="2"/>
      <c r="B888" s="2"/>
      <c r="C888" s="34"/>
      <c r="D888" s="22" t="s">
        <v>262</v>
      </c>
      <c r="E888" s="32" t="s">
        <v>287</v>
      </c>
      <c r="F888" s="32">
        <v>1.0</v>
      </c>
      <c r="G888" s="35">
        <v>140000.0</v>
      </c>
      <c r="H888" s="36">
        <f t="shared" si="95"/>
        <v>140000</v>
      </c>
      <c r="I888" s="27"/>
      <c r="J888" s="2"/>
      <c r="K888" s="2"/>
    </row>
    <row r="889">
      <c r="A889" s="2"/>
      <c r="B889" s="2"/>
      <c r="C889" s="34"/>
      <c r="D889" s="22" t="s">
        <v>530</v>
      </c>
      <c r="E889" s="32" t="s">
        <v>287</v>
      </c>
      <c r="F889" s="32">
        <v>2.0</v>
      </c>
      <c r="G889" s="35">
        <v>225000.0</v>
      </c>
      <c r="H889" s="36">
        <f t="shared" si="95"/>
        <v>450000</v>
      </c>
      <c r="I889" s="27"/>
      <c r="J889" s="2"/>
      <c r="K889" s="2"/>
    </row>
    <row r="890">
      <c r="A890" s="2"/>
      <c r="B890" s="2"/>
      <c r="C890" s="34"/>
      <c r="D890" s="22" t="s">
        <v>530</v>
      </c>
      <c r="E890" s="32" t="s">
        <v>16</v>
      </c>
      <c r="F890" s="32">
        <v>10.0</v>
      </c>
      <c r="G890" s="35">
        <v>11500.0</v>
      </c>
      <c r="H890" s="36">
        <f t="shared" si="95"/>
        <v>115000</v>
      </c>
      <c r="I890" s="27"/>
      <c r="J890" s="2"/>
      <c r="K890" s="2"/>
    </row>
    <row r="891">
      <c r="A891" s="2"/>
      <c r="B891" s="2"/>
      <c r="C891" s="34"/>
      <c r="D891" s="22" t="s">
        <v>158</v>
      </c>
      <c r="E891" s="32" t="s">
        <v>257</v>
      </c>
      <c r="F891" s="32">
        <v>1.0</v>
      </c>
      <c r="G891" s="35">
        <v>80000.0</v>
      </c>
      <c r="H891" s="36">
        <f t="shared" si="95"/>
        <v>80000</v>
      </c>
      <c r="I891" s="27"/>
      <c r="J891" s="2"/>
      <c r="K891" s="2"/>
    </row>
    <row r="892">
      <c r="A892" s="2"/>
      <c r="B892" s="2"/>
      <c r="C892" s="34"/>
      <c r="D892" s="22" t="s">
        <v>262</v>
      </c>
      <c r="E892" s="32" t="s">
        <v>287</v>
      </c>
      <c r="F892" s="32">
        <v>2.0</v>
      </c>
      <c r="G892" s="35">
        <v>140000.0</v>
      </c>
      <c r="H892" s="36">
        <f t="shared" si="95"/>
        <v>280000</v>
      </c>
      <c r="I892" s="27"/>
      <c r="J892" s="2"/>
      <c r="K892" s="2"/>
    </row>
    <row r="893">
      <c r="A893" s="2"/>
      <c r="B893" s="2"/>
      <c r="C893" s="34"/>
      <c r="D893" s="22" t="s">
        <v>63</v>
      </c>
      <c r="E893" s="32" t="s">
        <v>54</v>
      </c>
      <c r="F893" s="32">
        <v>1.0</v>
      </c>
      <c r="G893" s="35">
        <v>190000.0</v>
      </c>
      <c r="H893" s="36">
        <f t="shared" si="95"/>
        <v>190000</v>
      </c>
      <c r="I893" s="27"/>
      <c r="J893" s="2"/>
      <c r="K893" s="2"/>
    </row>
    <row r="894">
      <c r="A894" s="2"/>
      <c r="B894" s="2"/>
      <c r="C894" s="34"/>
      <c r="D894" s="22" t="s">
        <v>154</v>
      </c>
      <c r="E894" s="32" t="s">
        <v>16</v>
      </c>
      <c r="F894" s="32">
        <v>2.0</v>
      </c>
      <c r="G894" s="35">
        <v>95000.0</v>
      </c>
      <c r="H894" s="36">
        <f t="shared" si="95"/>
        <v>190000</v>
      </c>
      <c r="I894" s="27"/>
      <c r="J894" s="2"/>
      <c r="K894" s="2"/>
    </row>
    <row r="895">
      <c r="A895" s="2"/>
      <c r="B895" s="2"/>
      <c r="C895" s="34"/>
      <c r="D895" s="22" t="s">
        <v>60</v>
      </c>
      <c r="E895" s="32" t="s">
        <v>16</v>
      </c>
      <c r="F895" s="32">
        <v>5.0</v>
      </c>
      <c r="G895" s="35">
        <v>26000.0</v>
      </c>
      <c r="H895" s="36">
        <f t="shared" si="95"/>
        <v>130000</v>
      </c>
      <c r="I895" s="27"/>
      <c r="J895" s="2"/>
      <c r="K895" s="2"/>
    </row>
    <row r="896">
      <c r="A896" s="2"/>
      <c r="B896" s="2"/>
      <c r="C896" s="34"/>
      <c r="D896" s="22" t="s">
        <v>602</v>
      </c>
      <c r="E896" s="32" t="s">
        <v>16</v>
      </c>
      <c r="F896" s="32">
        <v>2.0</v>
      </c>
      <c r="G896" s="35">
        <v>17000.0</v>
      </c>
      <c r="H896" s="36">
        <f t="shared" si="95"/>
        <v>34000</v>
      </c>
      <c r="I896" s="27"/>
      <c r="J896" s="2"/>
      <c r="K896" s="2"/>
    </row>
    <row r="897">
      <c r="A897" s="2"/>
      <c r="B897" s="2"/>
      <c r="C897" s="34"/>
      <c r="D897" s="22" t="s">
        <v>174</v>
      </c>
      <c r="E897" s="32" t="s">
        <v>16</v>
      </c>
      <c r="F897" s="32">
        <v>6.0</v>
      </c>
      <c r="G897" s="35">
        <v>38000.0</v>
      </c>
      <c r="H897" s="36">
        <f t="shared" si="95"/>
        <v>228000</v>
      </c>
      <c r="I897" s="27"/>
      <c r="J897" s="2"/>
      <c r="K897" s="2"/>
    </row>
    <row r="898">
      <c r="A898" s="2"/>
      <c r="B898" s="2"/>
      <c r="C898" s="34"/>
      <c r="D898" s="22" t="s">
        <v>603</v>
      </c>
      <c r="E898" s="32" t="s">
        <v>16</v>
      </c>
      <c r="F898" s="32">
        <v>5.0</v>
      </c>
      <c r="G898" s="35">
        <v>28000.0</v>
      </c>
      <c r="H898" s="36">
        <f t="shared" si="95"/>
        <v>140000</v>
      </c>
      <c r="I898" s="27"/>
      <c r="J898" s="2"/>
      <c r="K898" s="2"/>
    </row>
    <row r="899">
      <c r="A899" s="2"/>
      <c r="B899" s="2"/>
      <c r="C899" s="34"/>
      <c r="D899" s="22" t="s">
        <v>604</v>
      </c>
      <c r="E899" s="32" t="s">
        <v>16</v>
      </c>
      <c r="F899" s="32">
        <v>9.0</v>
      </c>
      <c r="G899" s="35">
        <v>95000.0</v>
      </c>
      <c r="H899" s="36">
        <f t="shared" si="95"/>
        <v>855000</v>
      </c>
      <c r="I899" s="41">
        <f>SUM(H882:H899)</f>
        <v>4493000</v>
      </c>
      <c r="J899" s="2"/>
      <c r="K899" s="2"/>
    </row>
    <row r="900">
      <c r="A900" s="2"/>
      <c r="B900" s="2"/>
      <c r="C900" s="34"/>
      <c r="D900" s="22" t="s">
        <v>12</v>
      </c>
      <c r="E900" s="32"/>
      <c r="F900" s="32">
        <v>4.0</v>
      </c>
      <c r="G900" s="35">
        <v>2500.0</v>
      </c>
      <c r="H900" s="36">
        <f t="shared" si="95"/>
        <v>10000</v>
      </c>
      <c r="I900" s="41"/>
      <c r="J900" s="27">
        <f>H900</f>
        <v>10000</v>
      </c>
      <c r="K900" s="2"/>
    </row>
    <row r="901">
      <c r="A901" s="63" t="s">
        <v>605</v>
      </c>
      <c r="B901" s="64"/>
      <c r="C901" s="64"/>
      <c r="D901" s="64"/>
      <c r="E901" s="65"/>
      <c r="F901" s="65"/>
      <c r="G901" s="66"/>
      <c r="H901" s="50" t="s">
        <v>11</v>
      </c>
      <c r="I901" s="67">
        <f t="shared" ref="I901:J901" si="96">SUM(I902:I905)</f>
        <v>7535500</v>
      </c>
      <c r="J901" s="67">
        <f t="shared" si="96"/>
        <v>5000</v>
      </c>
      <c r="K901" s="2"/>
      <c r="L901" s="39">
        <v>15.0</v>
      </c>
      <c r="M901" s="39" t="s">
        <v>165</v>
      </c>
      <c r="N901" s="40">
        <f>I901</f>
        <v>7535500</v>
      </c>
    </row>
    <row r="902">
      <c r="A902" s="2"/>
      <c r="B902" s="2"/>
      <c r="C902" s="31" t="s">
        <v>113</v>
      </c>
      <c r="D902" s="22" t="s">
        <v>606</v>
      </c>
      <c r="E902" s="32" t="s">
        <v>16</v>
      </c>
      <c r="F902" s="32">
        <v>25.0</v>
      </c>
      <c r="G902" s="35">
        <v>31000.0</v>
      </c>
      <c r="H902" s="36">
        <f t="shared" ref="H902:H905" si="97">F902*G902</f>
        <v>775000</v>
      </c>
      <c r="I902" s="27"/>
      <c r="J902" s="2"/>
      <c r="K902" s="2"/>
      <c r="M902" s="39" t="s">
        <v>242</v>
      </c>
      <c r="N902" s="40">
        <f>'list Reimburse'!I83</f>
        <v>157000</v>
      </c>
      <c r="O902" s="39" t="s">
        <v>607</v>
      </c>
    </row>
    <row r="903">
      <c r="A903" s="2"/>
      <c r="B903" s="2"/>
      <c r="C903" s="34"/>
      <c r="D903" s="22" t="s">
        <v>608</v>
      </c>
      <c r="E903" s="32" t="s">
        <v>16</v>
      </c>
      <c r="F903" s="32">
        <v>233.0</v>
      </c>
      <c r="G903" s="35">
        <v>28500.0</v>
      </c>
      <c r="H903" s="36">
        <f t="shared" si="97"/>
        <v>6640500</v>
      </c>
      <c r="I903" s="27">
        <f>SUM(H902:H903)</f>
        <v>7415500</v>
      </c>
      <c r="J903" s="2"/>
      <c r="K903" s="2"/>
      <c r="M903" s="39" t="s">
        <v>12</v>
      </c>
      <c r="N903" s="39">
        <v>7500.0</v>
      </c>
    </row>
    <row r="904">
      <c r="A904" s="2"/>
      <c r="B904" s="2"/>
      <c r="C904" s="31" t="s">
        <v>214</v>
      </c>
      <c r="D904" s="22" t="s">
        <v>609</v>
      </c>
      <c r="E904" s="32" t="s">
        <v>50</v>
      </c>
      <c r="F904" s="32">
        <v>250.0</v>
      </c>
      <c r="G904" s="35">
        <v>480.0</v>
      </c>
      <c r="H904" s="36">
        <f t="shared" si="97"/>
        <v>120000</v>
      </c>
      <c r="I904" s="27">
        <f>H904</f>
        <v>120000</v>
      </c>
      <c r="J904" s="2"/>
      <c r="K904" s="2"/>
      <c r="M904" s="42" t="s">
        <v>11</v>
      </c>
      <c r="N904" s="40">
        <f>sum(N901:N903)</f>
        <v>7700000</v>
      </c>
    </row>
    <row r="905">
      <c r="A905" s="2"/>
      <c r="B905" s="2"/>
      <c r="C905" s="34"/>
      <c r="D905" s="2"/>
      <c r="E905" s="12"/>
      <c r="F905" s="32">
        <v>2.0</v>
      </c>
      <c r="G905" s="35">
        <v>2500.0</v>
      </c>
      <c r="H905" s="35">
        <f t="shared" si="97"/>
        <v>5000</v>
      </c>
      <c r="I905" s="27"/>
      <c r="J905" s="27">
        <f>H905</f>
        <v>5000</v>
      </c>
      <c r="K905" s="2"/>
    </row>
    <row r="906">
      <c r="A906" s="63" t="s">
        <v>610</v>
      </c>
      <c r="B906" s="64"/>
      <c r="C906" s="64"/>
      <c r="D906" s="64"/>
      <c r="E906" s="65"/>
      <c r="F906" s="65"/>
      <c r="G906" s="66"/>
      <c r="H906" s="50" t="s">
        <v>11</v>
      </c>
      <c r="I906" s="67">
        <f t="shared" ref="I906:J906" si="98">SUM(I907:I957)</f>
        <v>79123250</v>
      </c>
      <c r="J906" s="67">
        <f t="shared" si="98"/>
        <v>37500</v>
      </c>
      <c r="K906" s="2"/>
      <c r="L906" s="39">
        <v>16.0</v>
      </c>
      <c r="M906" s="39" t="s">
        <v>165</v>
      </c>
      <c r="N906" s="40">
        <f>I906</f>
        <v>79123250</v>
      </c>
    </row>
    <row r="907">
      <c r="A907" s="2"/>
      <c r="B907" s="2"/>
      <c r="C907" s="31" t="s">
        <v>113</v>
      </c>
      <c r="D907" s="22" t="s">
        <v>611</v>
      </c>
      <c r="E907" s="32" t="s">
        <v>16</v>
      </c>
      <c r="F907" s="32">
        <v>260.0</v>
      </c>
      <c r="G907" s="35">
        <v>31000.0</v>
      </c>
      <c r="H907" s="36">
        <f t="shared" ref="H907:H923" si="99">F907*G907</f>
        <v>8060000</v>
      </c>
      <c r="I907" s="27"/>
      <c r="J907" s="22"/>
      <c r="K907" s="2"/>
      <c r="M907" s="39" t="s">
        <v>168</v>
      </c>
      <c r="N907" s="40">
        <f>'Kas Fisik Oprasional'!I263</f>
        <v>3573000</v>
      </c>
    </row>
    <row r="908">
      <c r="A908" s="2"/>
      <c r="B908" s="2"/>
      <c r="C908" s="34"/>
      <c r="D908" s="22" t="s">
        <v>612</v>
      </c>
      <c r="E908" s="32" t="s">
        <v>16</v>
      </c>
      <c r="F908" s="32">
        <v>110.0</v>
      </c>
      <c r="G908" s="35">
        <v>31000.0</v>
      </c>
      <c r="H908" s="36">
        <f t="shared" si="99"/>
        <v>3410000</v>
      </c>
      <c r="I908" s="27"/>
      <c r="J908" s="31"/>
      <c r="K908" s="2"/>
      <c r="M908" s="39" t="s">
        <v>242</v>
      </c>
      <c r="N908" s="40">
        <f>'list Reimburse'!I86</f>
        <v>279000</v>
      </c>
    </row>
    <row r="909">
      <c r="A909" s="2"/>
      <c r="B909" s="2"/>
      <c r="C909" s="34"/>
      <c r="D909" s="22" t="s">
        <v>613</v>
      </c>
      <c r="E909" s="32" t="s">
        <v>16</v>
      </c>
      <c r="F909" s="32">
        <v>170.0</v>
      </c>
      <c r="G909" s="35">
        <v>31000.0</v>
      </c>
      <c r="H909" s="36">
        <f t="shared" si="99"/>
        <v>5270000</v>
      </c>
      <c r="I909" s="33"/>
      <c r="J909" s="22"/>
      <c r="K909" s="2"/>
      <c r="M909" s="39" t="s">
        <v>345</v>
      </c>
      <c r="N909" s="40">
        <f>'Kas Besar'!H17</f>
        <v>67500000</v>
      </c>
    </row>
    <row r="910">
      <c r="A910" s="2"/>
      <c r="B910" s="2"/>
      <c r="C910" s="34"/>
      <c r="D910" s="22" t="s">
        <v>614</v>
      </c>
      <c r="E910" s="32" t="s">
        <v>16</v>
      </c>
      <c r="F910" s="32">
        <v>109.0</v>
      </c>
      <c r="G910" s="35">
        <v>43500.0</v>
      </c>
      <c r="H910" s="36">
        <f t="shared" si="99"/>
        <v>4741500</v>
      </c>
      <c r="I910" s="27">
        <f>SUM(H907:H910)</f>
        <v>21481500</v>
      </c>
      <c r="J910" s="22"/>
      <c r="K910" s="2"/>
      <c r="M910" s="39" t="s">
        <v>12</v>
      </c>
      <c r="N910" s="40">
        <f>J906+'Kas Fisik Oprasional'!J263</f>
        <v>45000</v>
      </c>
    </row>
    <row r="911">
      <c r="A911" s="2"/>
      <c r="B911" s="2"/>
      <c r="C911" s="31" t="s">
        <v>203</v>
      </c>
      <c r="D911" s="22" t="s">
        <v>615</v>
      </c>
      <c r="E911" s="32" t="s">
        <v>16</v>
      </c>
      <c r="F911" s="32">
        <v>163.0</v>
      </c>
      <c r="G911" s="35">
        <v>31500.0</v>
      </c>
      <c r="H911" s="36">
        <f t="shared" si="99"/>
        <v>5134500</v>
      </c>
      <c r="I911" s="41">
        <f>H911</f>
        <v>5134500</v>
      </c>
      <c r="J911" s="22"/>
      <c r="K911" s="2"/>
      <c r="M911" s="42" t="s">
        <v>11</v>
      </c>
      <c r="N911" s="40">
        <f>SUM(N906:N910)</f>
        <v>150520250</v>
      </c>
    </row>
    <row r="912">
      <c r="A912" s="2"/>
      <c r="B912" s="2"/>
      <c r="C912" s="31" t="s">
        <v>106</v>
      </c>
      <c r="D912" s="22" t="s">
        <v>616</v>
      </c>
      <c r="E912" s="32" t="s">
        <v>16</v>
      </c>
      <c r="F912" s="32">
        <v>2.0</v>
      </c>
      <c r="G912" s="35">
        <v>60000.0</v>
      </c>
      <c r="H912" s="36">
        <f t="shared" si="99"/>
        <v>120000</v>
      </c>
      <c r="I912" s="27"/>
      <c r="J912" s="2"/>
      <c r="K912" s="2"/>
    </row>
    <row r="913">
      <c r="A913" s="2"/>
      <c r="B913" s="2"/>
      <c r="C913" s="34"/>
      <c r="D913" s="22" t="s">
        <v>617</v>
      </c>
      <c r="E913" s="32" t="s">
        <v>133</v>
      </c>
      <c r="F913" s="32">
        <v>68.0</v>
      </c>
      <c r="G913" s="35">
        <v>12000.0</v>
      </c>
      <c r="H913" s="36">
        <f t="shared" si="99"/>
        <v>816000</v>
      </c>
      <c r="I913" s="41">
        <f>SUM(H912:H913)</f>
        <v>936000</v>
      </c>
      <c r="J913" s="22"/>
      <c r="K913" s="2"/>
    </row>
    <row r="914">
      <c r="A914" s="2"/>
      <c r="B914" s="2"/>
      <c r="C914" s="31" t="s">
        <v>122</v>
      </c>
      <c r="D914" s="22" t="s">
        <v>618</v>
      </c>
      <c r="E914" s="32" t="s">
        <v>50</v>
      </c>
      <c r="F914" s="32">
        <v>2550.0</v>
      </c>
      <c r="G914" s="35">
        <v>1800.0</v>
      </c>
      <c r="H914" s="36">
        <f t="shared" si="99"/>
        <v>4590000</v>
      </c>
      <c r="I914" s="27"/>
      <c r="J914" s="22"/>
      <c r="K914" s="2"/>
    </row>
    <row r="915">
      <c r="A915" s="2"/>
      <c r="B915" s="2"/>
      <c r="C915" s="34"/>
      <c r="D915" s="22" t="s">
        <v>619</v>
      </c>
      <c r="E915" s="32" t="s">
        <v>16</v>
      </c>
      <c r="F915" s="32">
        <v>150.0</v>
      </c>
      <c r="G915" s="35">
        <v>18000.0</v>
      </c>
      <c r="H915" s="36">
        <f t="shared" si="99"/>
        <v>2700000</v>
      </c>
      <c r="I915" s="27"/>
      <c r="J915" s="22"/>
      <c r="K915" s="2"/>
    </row>
    <row r="916">
      <c r="A916" s="2"/>
      <c r="B916" s="2"/>
      <c r="C916" s="34"/>
      <c r="D916" s="22" t="s">
        <v>620</v>
      </c>
      <c r="E916" s="32" t="s">
        <v>50</v>
      </c>
      <c r="F916" s="32">
        <v>2110.0</v>
      </c>
      <c r="G916" s="35">
        <v>1800.0</v>
      </c>
      <c r="H916" s="36">
        <f t="shared" si="99"/>
        <v>3798000</v>
      </c>
      <c r="I916" s="27"/>
      <c r="J916" s="22"/>
      <c r="K916" s="2"/>
    </row>
    <row r="917">
      <c r="A917" s="2"/>
      <c r="B917" s="2"/>
      <c r="C917" s="34"/>
      <c r="D917" s="22" t="s">
        <v>621</v>
      </c>
      <c r="E917" s="32" t="s">
        <v>16</v>
      </c>
      <c r="F917" s="32">
        <v>185.0</v>
      </c>
      <c r="G917" s="35">
        <v>18000.0</v>
      </c>
      <c r="H917" s="36">
        <f t="shared" si="99"/>
        <v>3330000</v>
      </c>
      <c r="I917" s="41">
        <f>SUM(H914:H917)</f>
        <v>14418000</v>
      </c>
      <c r="J917" s="22"/>
      <c r="K917" s="2"/>
    </row>
    <row r="918">
      <c r="A918" s="2"/>
      <c r="B918" s="2"/>
      <c r="C918" s="31" t="s">
        <v>420</v>
      </c>
      <c r="D918" s="22" t="s">
        <v>622</v>
      </c>
      <c r="E918" s="32" t="s">
        <v>50</v>
      </c>
      <c r="F918" s="32">
        <v>1630.0</v>
      </c>
      <c r="G918" s="35">
        <v>500.0</v>
      </c>
      <c r="H918" s="36">
        <f t="shared" si="99"/>
        <v>815000</v>
      </c>
      <c r="I918" s="41">
        <f t="shared" ref="I918:I919" si="100">H918</f>
        <v>815000</v>
      </c>
      <c r="J918" s="22"/>
      <c r="K918" s="2"/>
    </row>
    <row r="919">
      <c r="A919" s="2"/>
      <c r="B919" s="2"/>
      <c r="C919" s="31" t="s">
        <v>623</v>
      </c>
      <c r="D919" s="22" t="s">
        <v>624</v>
      </c>
      <c r="E919" s="32" t="s">
        <v>16</v>
      </c>
      <c r="F919" s="32">
        <v>1300.0</v>
      </c>
      <c r="G919" s="35">
        <v>14500.0</v>
      </c>
      <c r="H919" s="36">
        <f t="shared" si="99"/>
        <v>18850000</v>
      </c>
      <c r="I919" s="41">
        <f t="shared" si="100"/>
        <v>18850000</v>
      </c>
      <c r="J919" s="2"/>
      <c r="K919" s="2"/>
    </row>
    <row r="920">
      <c r="A920" s="2"/>
      <c r="B920" s="2"/>
      <c r="C920" s="31" t="s">
        <v>336</v>
      </c>
      <c r="D920" s="22" t="s">
        <v>625</v>
      </c>
      <c r="E920" s="32" t="s">
        <v>16</v>
      </c>
      <c r="F920" s="32">
        <v>35.0</v>
      </c>
      <c r="G920" s="35">
        <v>25000.0</v>
      </c>
      <c r="H920" s="36">
        <f t="shared" si="99"/>
        <v>875000</v>
      </c>
      <c r="I920" s="27"/>
      <c r="J920" s="2"/>
      <c r="K920" s="2"/>
    </row>
    <row r="921">
      <c r="A921" s="2"/>
      <c r="B921" s="2"/>
      <c r="C921" s="34"/>
      <c r="D921" s="22" t="s">
        <v>626</v>
      </c>
      <c r="E921" s="32" t="s">
        <v>16</v>
      </c>
      <c r="F921" s="32">
        <v>1.0</v>
      </c>
      <c r="G921" s="35">
        <v>32000.0</v>
      </c>
      <c r="H921" s="36">
        <f t="shared" si="99"/>
        <v>32000</v>
      </c>
      <c r="I921" s="41">
        <f>SUM(H920:H921)</f>
        <v>907000</v>
      </c>
      <c r="J921" s="2"/>
      <c r="K921" s="2"/>
    </row>
    <row r="922">
      <c r="A922" s="2"/>
      <c r="B922" s="2"/>
      <c r="C922" s="31" t="s">
        <v>14</v>
      </c>
      <c r="D922" s="22" t="s">
        <v>627</v>
      </c>
      <c r="E922" s="32" t="s">
        <v>48</v>
      </c>
      <c r="F922" s="32">
        <v>1.0</v>
      </c>
      <c r="G922" s="35">
        <v>69000.0</v>
      </c>
      <c r="H922" s="36">
        <f t="shared" si="99"/>
        <v>69000</v>
      </c>
      <c r="I922" s="41">
        <f>H922</f>
        <v>69000</v>
      </c>
      <c r="J922" s="2"/>
      <c r="K922" s="2"/>
    </row>
    <row r="923">
      <c r="A923" s="2"/>
      <c r="B923" s="2"/>
      <c r="C923" s="31" t="s">
        <v>628</v>
      </c>
      <c r="D923" s="22" t="s">
        <v>26</v>
      </c>
      <c r="E923" s="32" t="s">
        <v>16</v>
      </c>
      <c r="F923" s="32">
        <v>113.0</v>
      </c>
      <c r="G923" s="35">
        <v>7500.0</v>
      </c>
      <c r="H923" s="36">
        <f t="shared" si="99"/>
        <v>847500</v>
      </c>
      <c r="I923" s="41"/>
      <c r="J923" s="2"/>
      <c r="K923" s="2"/>
    </row>
    <row r="924">
      <c r="A924" s="2"/>
      <c r="B924" s="2"/>
      <c r="C924" s="31"/>
      <c r="D924" s="59" t="s">
        <v>629</v>
      </c>
      <c r="E924" s="68"/>
      <c r="F924" s="68">
        <v>1.0</v>
      </c>
      <c r="G924" s="58">
        <v>-500.0</v>
      </c>
      <c r="H924" s="61">
        <f>G924</f>
        <v>-500</v>
      </c>
      <c r="I924" s="41">
        <f>SUM(H923:H924)</f>
        <v>847000</v>
      </c>
      <c r="J924" s="2"/>
      <c r="K924" s="2"/>
    </row>
    <row r="925">
      <c r="A925" s="2"/>
      <c r="B925" s="2"/>
      <c r="C925" s="31" t="s">
        <v>79</v>
      </c>
      <c r="D925" s="22" t="s">
        <v>19</v>
      </c>
      <c r="E925" s="32" t="s">
        <v>16</v>
      </c>
      <c r="F925" s="32">
        <v>8.0</v>
      </c>
      <c r="G925" s="35">
        <v>32000.0</v>
      </c>
      <c r="H925" s="36">
        <f t="shared" ref="H925:H937" si="101">F925*G925</f>
        <v>256000</v>
      </c>
      <c r="I925" s="27"/>
      <c r="J925" s="2"/>
      <c r="K925" s="2"/>
    </row>
    <row r="926">
      <c r="A926" s="2"/>
      <c r="B926" s="2"/>
      <c r="C926" s="34"/>
      <c r="D926" s="22" t="s">
        <v>20</v>
      </c>
      <c r="E926" s="32" t="s">
        <v>16</v>
      </c>
      <c r="F926" s="32">
        <v>11.0</v>
      </c>
      <c r="G926" s="35">
        <v>45000.0</v>
      </c>
      <c r="H926" s="36">
        <f t="shared" si="101"/>
        <v>495000</v>
      </c>
      <c r="I926" s="27"/>
      <c r="J926" s="2"/>
      <c r="K926" s="2"/>
    </row>
    <row r="927">
      <c r="A927" s="2"/>
      <c r="B927" s="2"/>
      <c r="C927" s="34"/>
      <c r="D927" s="22" t="s">
        <v>21</v>
      </c>
      <c r="E927" s="32" t="s">
        <v>16</v>
      </c>
      <c r="F927" s="32">
        <v>10.0</v>
      </c>
      <c r="G927" s="35">
        <v>40000.0</v>
      </c>
      <c r="H927" s="36">
        <f t="shared" si="101"/>
        <v>400000</v>
      </c>
      <c r="I927" s="41">
        <f>SUM(H925:H927)</f>
        <v>1151000</v>
      </c>
      <c r="J927" s="2"/>
      <c r="K927" s="2"/>
    </row>
    <row r="928">
      <c r="A928" s="2"/>
      <c r="B928" s="2"/>
      <c r="C928" s="31" t="s">
        <v>44</v>
      </c>
      <c r="D928" s="22" t="s">
        <v>293</v>
      </c>
      <c r="E928" s="32" t="s">
        <v>16</v>
      </c>
      <c r="F928" s="32">
        <v>1.0</v>
      </c>
      <c r="G928" s="35">
        <v>70000.0</v>
      </c>
      <c r="H928" s="36">
        <f t="shared" si="101"/>
        <v>70000</v>
      </c>
      <c r="I928" s="27"/>
      <c r="J928" s="2"/>
      <c r="K928" s="2"/>
    </row>
    <row r="929">
      <c r="A929" s="2"/>
      <c r="B929" s="2"/>
      <c r="C929" s="34"/>
      <c r="D929" s="22" t="s">
        <v>63</v>
      </c>
      <c r="E929" s="32" t="s">
        <v>54</v>
      </c>
      <c r="F929" s="32">
        <v>7.0</v>
      </c>
      <c r="G929" s="35">
        <v>190000.0</v>
      </c>
      <c r="H929" s="36">
        <f t="shared" si="101"/>
        <v>1330000</v>
      </c>
      <c r="I929" s="27"/>
      <c r="J929" s="2"/>
      <c r="K929" s="2"/>
    </row>
    <row r="930">
      <c r="A930" s="2"/>
      <c r="B930" s="2"/>
      <c r="C930" s="34"/>
      <c r="D930" s="22" t="s">
        <v>49</v>
      </c>
      <c r="E930" s="32" t="s">
        <v>16</v>
      </c>
      <c r="F930" s="32">
        <v>4.5</v>
      </c>
      <c r="G930" s="35">
        <v>46000.0</v>
      </c>
      <c r="H930" s="36">
        <f t="shared" si="101"/>
        <v>207000</v>
      </c>
      <c r="I930" s="27"/>
      <c r="J930" s="2"/>
      <c r="K930" s="2"/>
    </row>
    <row r="931">
      <c r="A931" s="2"/>
      <c r="B931" s="2"/>
      <c r="C931" s="34"/>
      <c r="D931" s="22" t="s">
        <v>630</v>
      </c>
      <c r="E931" s="32" t="s">
        <v>16</v>
      </c>
      <c r="F931" s="32">
        <v>5.0</v>
      </c>
      <c r="G931" s="35">
        <v>26000.0</v>
      </c>
      <c r="H931" s="36">
        <f t="shared" si="101"/>
        <v>130000</v>
      </c>
      <c r="I931" s="27"/>
      <c r="J931" s="2"/>
      <c r="K931" s="2"/>
    </row>
    <row r="932">
      <c r="A932" s="2"/>
      <c r="B932" s="2"/>
      <c r="C932" s="34"/>
      <c r="D932" s="22" t="s">
        <v>159</v>
      </c>
      <c r="E932" s="32" t="s">
        <v>48</v>
      </c>
      <c r="F932" s="32">
        <v>3.0</v>
      </c>
      <c r="G932" s="35">
        <v>52000.0</v>
      </c>
      <c r="H932" s="36">
        <f t="shared" si="101"/>
        <v>156000</v>
      </c>
      <c r="I932" s="27"/>
      <c r="J932" s="2"/>
      <c r="K932" s="2"/>
    </row>
    <row r="933">
      <c r="A933" s="2"/>
      <c r="B933" s="2"/>
      <c r="C933" s="34"/>
      <c r="D933" s="22" t="s">
        <v>277</v>
      </c>
      <c r="E933" s="32" t="s">
        <v>16</v>
      </c>
      <c r="F933" s="32">
        <v>20.0</v>
      </c>
      <c r="G933" s="35">
        <v>14000.0</v>
      </c>
      <c r="H933" s="36">
        <f t="shared" si="101"/>
        <v>280000</v>
      </c>
      <c r="I933" s="27"/>
      <c r="J933" s="2"/>
      <c r="K933" s="2"/>
    </row>
    <row r="934">
      <c r="A934" s="2"/>
      <c r="B934" s="2"/>
      <c r="C934" s="34"/>
      <c r="D934" s="22" t="s">
        <v>58</v>
      </c>
      <c r="E934" s="32" t="s">
        <v>16</v>
      </c>
      <c r="F934" s="32">
        <v>17.0</v>
      </c>
      <c r="G934" s="35">
        <v>11250.0</v>
      </c>
      <c r="H934" s="36">
        <f t="shared" si="101"/>
        <v>191250</v>
      </c>
      <c r="I934" s="27"/>
      <c r="J934" s="2"/>
      <c r="K934" s="2"/>
    </row>
    <row r="935">
      <c r="A935" s="2"/>
      <c r="B935" s="2"/>
      <c r="C935" s="34"/>
      <c r="D935" s="22" t="s">
        <v>154</v>
      </c>
      <c r="E935" s="32" t="s">
        <v>54</v>
      </c>
      <c r="F935" s="32">
        <v>2.0</v>
      </c>
      <c r="G935" s="35">
        <v>95000.0</v>
      </c>
      <c r="H935" s="36">
        <f t="shared" si="101"/>
        <v>190000</v>
      </c>
      <c r="I935" s="27"/>
      <c r="J935" s="2"/>
      <c r="K935" s="2"/>
    </row>
    <row r="936">
      <c r="A936" s="2"/>
      <c r="B936" s="2"/>
      <c r="C936" s="34"/>
      <c r="D936" s="22" t="s">
        <v>327</v>
      </c>
      <c r="E936" s="32" t="s">
        <v>48</v>
      </c>
      <c r="F936" s="32">
        <v>2.0</v>
      </c>
      <c r="G936" s="35">
        <v>6000.0</v>
      </c>
      <c r="H936" s="36">
        <f t="shared" si="101"/>
        <v>12000</v>
      </c>
      <c r="I936" s="27"/>
      <c r="J936" s="2"/>
      <c r="K936" s="2"/>
    </row>
    <row r="937">
      <c r="A937" s="2"/>
      <c r="B937" s="2"/>
      <c r="C937" s="34"/>
      <c r="D937" s="22" t="s">
        <v>152</v>
      </c>
      <c r="E937" s="32" t="s">
        <v>16</v>
      </c>
      <c r="F937" s="32">
        <v>10.0</v>
      </c>
      <c r="G937" s="35">
        <v>18500.0</v>
      </c>
      <c r="H937" s="36">
        <f t="shared" si="101"/>
        <v>185000</v>
      </c>
      <c r="I937" s="27"/>
      <c r="J937" s="2"/>
      <c r="K937" s="2"/>
    </row>
    <row r="938">
      <c r="A938" s="2"/>
      <c r="B938" s="2"/>
      <c r="C938" s="34"/>
      <c r="D938" s="22" t="s">
        <v>604</v>
      </c>
      <c r="E938" s="32" t="s">
        <v>16</v>
      </c>
      <c r="F938" s="32">
        <v>12.0</v>
      </c>
      <c r="G938" s="36">
        <f>H938/F938</f>
        <v>95000</v>
      </c>
      <c r="H938" s="35">
        <v>1140000.0</v>
      </c>
      <c r="I938" s="27"/>
      <c r="J938" s="2"/>
      <c r="K938" s="2"/>
    </row>
    <row r="939">
      <c r="A939" s="2"/>
      <c r="B939" s="2"/>
      <c r="C939" s="34"/>
      <c r="D939" s="22" t="s">
        <v>94</v>
      </c>
      <c r="E939" s="32" t="s">
        <v>16</v>
      </c>
      <c r="F939" s="32">
        <v>1.0</v>
      </c>
      <c r="G939" s="35">
        <v>160000.0</v>
      </c>
      <c r="H939" s="36">
        <f>F939*G939</f>
        <v>160000</v>
      </c>
      <c r="I939" s="27"/>
      <c r="J939" s="2"/>
      <c r="K939" s="2"/>
    </row>
    <row r="940">
      <c r="A940" s="2"/>
      <c r="B940" s="2"/>
      <c r="C940" s="34"/>
      <c r="D940" s="22" t="s">
        <v>631</v>
      </c>
      <c r="E940" s="32" t="s">
        <v>16</v>
      </c>
      <c r="F940" s="32">
        <v>20.0</v>
      </c>
      <c r="G940" s="36">
        <f>H940/F940</f>
        <v>35000</v>
      </c>
      <c r="H940" s="35">
        <v>700000.0</v>
      </c>
      <c r="I940" s="27"/>
      <c r="J940" s="2"/>
      <c r="K940" s="2"/>
    </row>
    <row r="941">
      <c r="A941" s="2"/>
      <c r="B941" s="2"/>
      <c r="C941" s="34"/>
      <c r="D941" s="22" t="s">
        <v>632</v>
      </c>
      <c r="E941" s="32" t="s">
        <v>633</v>
      </c>
      <c r="F941" s="12">
        <f>6*12</f>
        <v>72</v>
      </c>
      <c r="G941" s="35">
        <v>21750.0</v>
      </c>
      <c r="H941" s="36">
        <f t="shared" ref="H941:H954" si="102">F941*G941</f>
        <v>1566000</v>
      </c>
      <c r="I941" s="27"/>
      <c r="J941" s="2"/>
      <c r="K941" s="2"/>
    </row>
    <row r="942">
      <c r="A942" s="2"/>
      <c r="B942" s="2"/>
      <c r="C942" s="34"/>
      <c r="D942" s="22" t="s">
        <v>603</v>
      </c>
      <c r="E942" s="32" t="s">
        <v>16</v>
      </c>
      <c r="F942" s="32">
        <v>3.0</v>
      </c>
      <c r="G942" s="35">
        <v>28000.0</v>
      </c>
      <c r="H942" s="36">
        <f t="shared" si="102"/>
        <v>84000</v>
      </c>
      <c r="I942" s="27"/>
      <c r="J942" s="2"/>
      <c r="K942" s="2"/>
    </row>
    <row r="943">
      <c r="A943" s="2"/>
      <c r="B943" s="2"/>
      <c r="C943" s="34"/>
      <c r="D943" s="22" t="s">
        <v>174</v>
      </c>
      <c r="E943" s="32" t="s">
        <v>16</v>
      </c>
      <c r="F943" s="32">
        <v>6.0</v>
      </c>
      <c r="G943" s="35">
        <v>40000.0</v>
      </c>
      <c r="H943" s="36">
        <f t="shared" si="102"/>
        <v>240000</v>
      </c>
      <c r="I943" s="41">
        <f>SUM(H928:H943)</f>
        <v>6641250</v>
      </c>
      <c r="J943" s="2"/>
      <c r="K943" s="2"/>
    </row>
    <row r="944">
      <c r="A944" s="2"/>
      <c r="B944" s="2"/>
      <c r="C944" s="31" t="s">
        <v>336</v>
      </c>
      <c r="D944" s="22" t="s">
        <v>170</v>
      </c>
      <c r="E944" s="32" t="s">
        <v>16</v>
      </c>
      <c r="F944" s="32">
        <v>30.0</v>
      </c>
      <c r="G944" s="35">
        <v>26000.0</v>
      </c>
      <c r="H944" s="36">
        <f t="shared" si="102"/>
        <v>780000</v>
      </c>
      <c r="I944" s="41">
        <f>H944</f>
        <v>780000</v>
      </c>
      <c r="J944" s="2"/>
      <c r="K944" s="2"/>
    </row>
    <row r="945">
      <c r="A945" s="2"/>
      <c r="B945" s="2"/>
      <c r="C945" s="31" t="s">
        <v>178</v>
      </c>
      <c r="D945" s="22" t="s">
        <v>28</v>
      </c>
      <c r="E945" s="32" t="s">
        <v>16</v>
      </c>
      <c r="F945" s="32">
        <v>68.0</v>
      </c>
      <c r="G945" s="35">
        <v>10000.0</v>
      </c>
      <c r="H945" s="36">
        <f t="shared" si="102"/>
        <v>680000</v>
      </c>
      <c r="I945" s="27"/>
      <c r="J945" s="2"/>
      <c r="K945" s="2"/>
    </row>
    <row r="946">
      <c r="A946" s="2"/>
      <c r="B946" s="2"/>
      <c r="C946" s="34"/>
      <c r="D946" s="22" t="s">
        <v>441</v>
      </c>
      <c r="E946" s="32" t="s">
        <v>16</v>
      </c>
      <c r="F946" s="32">
        <v>3.0</v>
      </c>
      <c r="G946" s="35">
        <v>25000.0</v>
      </c>
      <c r="H946" s="36">
        <f t="shared" si="102"/>
        <v>75000</v>
      </c>
      <c r="I946" s="27"/>
      <c r="J946" s="2"/>
      <c r="K946" s="2"/>
    </row>
    <row r="947">
      <c r="A947" s="2"/>
      <c r="B947" s="2"/>
      <c r="C947" s="34"/>
      <c r="D947" s="22" t="s">
        <v>29</v>
      </c>
      <c r="E947" s="32" t="s">
        <v>16</v>
      </c>
      <c r="F947" s="32">
        <v>2.0</v>
      </c>
      <c r="G947" s="35">
        <v>32000.0</v>
      </c>
      <c r="H947" s="36">
        <f t="shared" si="102"/>
        <v>64000</v>
      </c>
      <c r="I947" s="27"/>
      <c r="J947" s="2"/>
      <c r="K947" s="2"/>
    </row>
    <row r="948">
      <c r="A948" s="2"/>
      <c r="B948" s="2"/>
      <c r="C948" s="34"/>
      <c r="D948" s="22" t="s">
        <v>36</v>
      </c>
      <c r="E948" s="32" t="s">
        <v>16</v>
      </c>
      <c r="F948" s="32">
        <v>30.0</v>
      </c>
      <c r="G948" s="35">
        <v>9000.0</v>
      </c>
      <c r="H948" s="36">
        <f t="shared" si="102"/>
        <v>270000</v>
      </c>
      <c r="I948" s="27"/>
      <c r="J948" s="2"/>
      <c r="K948" s="2"/>
    </row>
    <row r="949">
      <c r="A949" s="2"/>
      <c r="B949" s="2"/>
      <c r="C949" s="34"/>
      <c r="D949" s="22" t="s">
        <v>43</v>
      </c>
      <c r="E949" s="32" t="s">
        <v>16</v>
      </c>
      <c r="F949" s="32">
        <v>2.0</v>
      </c>
      <c r="G949" s="35">
        <v>15000.0</v>
      </c>
      <c r="H949" s="36">
        <f t="shared" si="102"/>
        <v>30000</v>
      </c>
      <c r="I949" s="27"/>
      <c r="J949" s="2"/>
      <c r="K949" s="2"/>
    </row>
    <row r="950">
      <c r="A950" s="2"/>
      <c r="B950" s="2"/>
      <c r="C950" s="34"/>
      <c r="D950" s="22" t="s">
        <v>34</v>
      </c>
      <c r="E950" s="32" t="s">
        <v>16</v>
      </c>
      <c r="F950" s="32">
        <v>30.0</v>
      </c>
      <c r="G950" s="35">
        <v>8000.0</v>
      </c>
      <c r="H950" s="36">
        <f t="shared" si="102"/>
        <v>240000</v>
      </c>
      <c r="I950" s="27"/>
      <c r="J950" s="2"/>
      <c r="K950" s="2"/>
    </row>
    <row r="951">
      <c r="A951" s="2"/>
      <c r="B951" s="2"/>
      <c r="C951" s="34"/>
      <c r="D951" s="22" t="s">
        <v>35</v>
      </c>
      <c r="E951" s="32" t="s">
        <v>16</v>
      </c>
      <c r="F951" s="32">
        <v>148.0</v>
      </c>
      <c r="G951" s="35">
        <v>15000.0</v>
      </c>
      <c r="H951" s="36">
        <f t="shared" si="102"/>
        <v>2220000</v>
      </c>
      <c r="I951" s="27"/>
      <c r="J951" s="2"/>
      <c r="K951" s="2"/>
    </row>
    <row r="952">
      <c r="A952" s="2"/>
      <c r="B952" s="2"/>
      <c r="C952" s="34"/>
      <c r="D952" s="22" t="s">
        <v>41</v>
      </c>
      <c r="E952" s="32" t="s">
        <v>16</v>
      </c>
      <c r="F952" s="32">
        <v>0.25</v>
      </c>
      <c r="G952" s="35">
        <v>40000.0</v>
      </c>
      <c r="H952" s="36">
        <f t="shared" si="102"/>
        <v>10000</v>
      </c>
      <c r="I952" s="27"/>
      <c r="J952" s="2"/>
      <c r="K952" s="2"/>
    </row>
    <row r="953">
      <c r="A953" s="2"/>
      <c r="B953" s="2"/>
      <c r="C953" s="34"/>
      <c r="D953" s="22" t="s">
        <v>39</v>
      </c>
      <c r="E953" s="32" t="s">
        <v>16</v>
      </c>
      <c r="F953" s="32">
        <v>2.0</v>
      </c>
      <c r="G953" s="35">
        <v>12500.0</v>
      </c>
      <c r="H953" s="36">
        <f t="shared" si="102"/>
        <v>25000</v>
      </c>
      <c r="I953" s="27"/>
      <c r="J953" s="2"/>
      <c r="K953" s="2"/>
    </row>
    <row r="954">
      <c r="A954" s="2"/>
      <c r="B954" s="2"/>
      <c r="C954" s="34"/>
      <c r="D954" s="22" t="s">
        <v>289</v>
      </c>
      <c r="E954" s="32" t="s">
        <v>16</v>
      </c>
      <c r="F954" s="32">
        <v>0.25</v>
      </c>
      <c r="G954" s="35">
        <v>40000.0</v>
      </c>
      <c r="H954" s="36">
        <f t="shared" si="102"/>
        <v>10000</v>
      </c>
      <c r="I954" s="41"/>
      <c r="J954" s="2"/>
      <c r="K954" s="2"/>
    </row>
    <row r="955">
      <c r="A955" s="2"/>
      <c r="B955" s="2"/>
      <c r="C955" s="31"/>
      <c r="D955" s="59" t="s">
        <v>634</v>
      </c>
      <c r="E955" s="68"/>
      <c r="F955" s="68">
        <v>1.0</v>
      </c>
      <c r="G955" s="58">
        <v>18000.0</v>
      </c>
      <c r="H955" s="61">
        <f>G955</f>
        <v>18000</v>
      </c>
      <c r="I955" s="41">
        <f>SUM(H945:H955)</f>
        <v>3642000</v>
      </c>
      <c r="J955" s="2"/>
      <c r="K955" s="2"/>
    </row>
    <row r="956">
      <c r="A956" s="2"/>
      <c r="B956" s="2"/>
      <c r="C956" s="31" t="s">
        <v>248</v>
      </c>
      <c r="D956" s="22" t="s">
        <v>635</v>
      </c>
      <c r="E956" s="32" t="s">
        <v>16</v>
      </c>
      <c r="F956" s="32">
        <v>145.0</v>
      </c>
      <c r="G956" s="35">
        <v>23800.0</v>
      </c>
      <c r="H956" s="36">
        <f t="shared" ref="H956:H957" si="103">F956*G956</f>
        <v>3451000</v>
      </c>
      <c r="I956" s="41">
        <f>H956</f>
        <v>3451000</v>
      </c>
      <c r="J956" s="2"/>
      <c r="K956" s="2"/>
    </row>
    <row r="957">
      <c r="A957" s="2"/>
      <c r="B957" s="2"/>
      <c r="C957" s="34"/>
      <c r="D957" s="22" t="s">
        <v>12</v>
      </c>
      <c r="E957" s="12"/>
      <c r="F957" s="32">
        <v>15.0</v>
      </c>
      <c r="G957" s="35">
        <v>2500.0</v>
      </c>
      <c r="H957" s="36">
        <f t="shared" si="103"/>
        <v>37500</v>
      </c>
      <c r="I957" s="27"/>
      <c r="J957" s="27">
        <f>H957</f>
        <v>37500</v>
      </c>
      <c r="K957" s="2"/>
    </row>
    <row r="958">
      <c r="A958" s="63" t="s">
        <v>636</v>
      </c>
      <c r="B958" s="64"/>
      <c r="C958" s="64"/>
      <c r="D958" s="64"/>
      <c r="E958" s="64"/>
      <c r="F958" s="64"/>
      <c r="G958" s="66"/>
      <c r="H958" s="50" t="s">
        <v>11</v>
      </c>
      <c r="I958" s="67">
        <f t="shared" ref="I958:J958" si="104">SUM(I959:I1022)</f>
        <v>71352750</v>
      </c>
      <c r="J958" s="67">
        <f t="shared" si="104"/>
        <v>49000</v>
      </c>
      <c r="K958" s="2"/>
      <c r="L958" s="39">
        <v>17.0</v>
      </c>
      <c r="M958" s="39" t="s">
        <v>165</v>
      </c>
      <c r="N958" s="40">
        <f>I958</f>
        <v>71352750</v>
      </c>
    </row>
    <row r="959">
      <c r="A959" s="2"/>
      <c r="B959" s="2"/>
      <c r="C959" s="39" t="s">
        <v>637</v>
      </c>
      <c r="D959" s="39" t="s">
        <v>638</v>
      </c>
      <c r="E959" s="39" t="s">
        <v>16</v>
      </c>
      <c r="F959" s="39">
        <v>109.45</v>
      </c>
      <c r="G959" s="38">
        <v>70000.0</v>
      </c>
      <c r="H959" s="36">
        <f t="shared" ref="H959:H1020" si="105">F959*G959</f>
        <v>7661500</v>
      </c>
      <c r="I959" s="27"/>
      <c r="J959" s="2"/>
      <c r="K959" s="2"/>
      <c r="M959" s="39" t="s">
        <v>168</v>
      </c>
      <c r="N959" s="40">
        <f>'Kas Fisik Oprasional'!I278</f>
        <v>6975000</v>
      </c>
    </row>
    <row r="960">
      <c r="A960" s="2"/>
      <c r="B960" s="2"/>
      <c r="D960" s="39" t="s">
        <v>639</v>
      </c>
      <c r="E960" s="39" t="s">
        <v>16</v>
      </c>
      <c r="F960" s="39">
        <v>39.0</v>
      </c>
      <c r="G960" s="38">
        <v>70000.0</v>
      </c>
      <c r="H960" s="36">
        <f t="shared" si="105"/>
        <v>2730000</v>
      </c>
      <c r="I960" s="27"/>
      <c r="J960" s="2"/>
      <c r="K960" s="2"/>
      <c r="M960" s="39" t="s">
        <v>242</v>
      </c>
      <c r="N960" s="40">
        <f>'list Reimburse'!I89</f>
        <v>71000</v>
      </c>
      <c r="O960" s="39" t="s">
        <v>640</v>
      </c>
    </row>
    <row r="961">
      <c r="A961" s="2"/>
      <c r="B961" s="2"/>
      <c r="D961" s="39" t="s">
        <v>641</v>
      </c>
      <c r="E961" s="39" t="s">
        <v>16</v>
      </c>
      <c r="F961" s="39">
        <v>144.0</v>
      </c>
      <c r="G961" s="38">
        <v>26500.0</v>
      </c>
      <c r="H961" s="36">
        <f t="shared" si="105"/>
        <v>3816000</v>
      </c>
      <c r="I961" s="41">
        <f>SUM(H959:H961)</f>
        <v>14207500</v>
      </c>
      <c r="J961" s="2"/>
      <c r="K961" s="2"/>
      <c r="M961" s="39" t="s">
        <v>345</v>
      </c>
      <c r="N961" s="39" t="s">
        <v>197</v>
      </c>
    </row>
    <row r="962">
      <c r="A962" s="2"/>
      <c r="B962" s="2"/>
      <c r="C962" s="39" t="s">
        <v>122</v>
      </c>
      <c r="D962" s="39" t="s">
        <v>642</v>
      </c>
      <c r="E962" s="39" t="s">
        <v>16</v>
      </c>
      <c r="F962" s="39">
        <v>270.0</v>
      </c>
      <c r="G962" s="38">
        <v>25000.0</v>
      </c>
      <c r="H962" s="36">
        <f t="shared" si="105"/>
        <v>6750000</v>
      </c>
      <c r="I962" s="27"/>
      <c r="J962" s="2"/>
      <c r="K962" s="2"/>
      <c r="M962" s="39" t="s">
        <v>12</v>
      </c>
      <c r="N962" s="40">
        <f>J958+'Kas Fisik Oprasional'!J278</f>
        <v>51500</v>
      </c>
    </row>
    <row r="963">
      <c r="A963" s="2"/>
      <c r="B963" s="2"/>
      <c r="D963" s="39" t="s">
        <v>643</v>
      </c>
      <c r="E963" s="39" t="s">
        <v>16</v>
      </c>
      <c r="F963" s="39">
        <v>150.0</v>
      </c>
      <c r="G963" s="38">
        <v>18000.0</v>
      </c>
      <c r="H963" s="36">
        <f t="shared" si="105"/>
        <v>2700000</v>
      </c>
      <c r="I963" s="27"/>
      <c r="J963" s="2"/>
      <c r="K963" s="2"/>
      <c r="M963" s="42" t="s">
        <v>11</v>
      </c>
      <c r="N963" s="40">
        <f>SUM(N958:N962)</f>
        <v>78450250</v>
      </c>
    </row>
    <row r="964">
      <c r="A964" s="2"/>
      <c r="B964" s="2"/>
      <c r="D964" s="39" t="s">
        <v>644</v>
      </c>
      <c r="E964" s="39" t="s">
        <v>16</v>
      </c>
      <c r="F964" s="39">
        <v>208.0</v>
      </c>
      <c r="G964" s="38">
        <v>18000.0</v>
      </c>
      <c r="H964" s="36">
        <f t="shared" si="105"/>
        <v>3744000</v>
      </c>
      <c r="I964" s="27"/>
      <c r="J964" s="2"/>
      <c r="K964" s="2"/>
    </row>
    <row r="965">
      <c r="A965" s="2"/>
      <c r="B965" s="2"/>
      <c r="D965" s="39" t="s">
        <v>645</v>
      </c>
      <c r="E965" s="39" t="s">
        <v>16</v>
      </c>
      <c r="F965" s="39">
        <v>160.0</v>
      </c>
      <c r="G965" s="38">
        <v>18000.0</v>
      </c>
      <c r="H965" s="36">
        <f t="shared" si="105"/>
        <v>2880000</v>
      </c>
      <c r="I965" s="41">
        <f>SUM(H962:H965)</f>
        <v>16074000</v>
      </c>
      <c r="J965" s="2"/>
      <c r="K965" s="2"/>
    </row>
    <row r="966">
      <c r="A966" s="2"/>
      <c r="B966" s="2"/>
      <c r="C966" s="39" t="s">
        <v>106</v>
      </c>
      <c r="D966" s="39" t="s">
        <v>646</v>
      </c>
      <c r="E966" s="39" t="s">
        <v>133</v>
      </c>
      <c r="F966" s="39">
        <v>130.0</v>
      </c>
      <c r="G966" s="38">
        <v>12000.0</v>
      </c>
      <c r="H966" s="36">
        <f t="shared" si="105"/>
        <v>1560000</v>
      </c>
      <c r="I966" s="27"/>
      <c r="J966" s="2"/>
      <c r="K966" s="2"/>
    </row>
    <row r="967">
      <c r="A967" s="2"/>
      <c r="B967" s="2"/>
      <c r="D967" s="39" t="s">
        <v>646</v>
      </c>
      <c r="E967" s="39" t="s">
        <v>133</v>
      </c>
      <c r="F967" s="39">
        <v>35.0</v>
      </c>
      <c r="G967" s="38">
        <v>12000.0</v>
      </c>
      <c r="H967" s="36">
        <f t="shared" si="105"/>
        <v>420000</v>
      </c>
      <c r="I967" s="27"/>
      <c r="J967" s="2"/>
      <c r="K967" s="2"/>
    </row>
    <row r="968">
      <c r="A968" s="2"/>
      <c r="B968" s="2"/>
      <c r="D968" s="39" t="s">
        <v>647</v>
      </c>
      <c r="E968" s="39" t="s">
        <v>133</v>
      </c>
      <c r="F968" s="39">
        <v>64.0</v>
      </c>
      <c r="G968" s="38">
        <v>12000.0</v>
      </c>
      <c r="H968" s="36">
        <f t="shared" si="105"/>
        <v>768000</v>
      </c>
      <c r="I968" s="27"/>
      <c r="J968" s="2"/>
      <c r="K968" s="2"/>
    </row>
    <row r="969">
      <c r="A969" s="2"/>
      <c r="B969" s="2"/>
      <c r="D969" s="39" t="s">
        <v>648</v>
      </c>
      <c r="E969" s="39" t="s">
        <v>133</v>
      </c>
      <c r="F969" s="39">
        <v>75.0</v>
      </c>
      <c r="G969" s="38">
        <v>12000.0</v>
      </c>
      <c r="H969" s="36">
        <f t="shared" si="105"/>
        <v>900000</v>
      </c>
      <c r="I969" s="27"/>
      <c r="J969" s="2"/>
      <c r="K969" s="2"/>
    </row>
    <row r="970">
      <c r="A970" s="2"/>
      <c r="B970" s="2"/>
      <c r="D970" s="39" t="s">
        <v>649</v>
      </c>
      <c r="E970" s="39" t="s">
        <v>133</v>
      </c>
      <c r="F970" s="39">
        <v>85.0</v>
      </c>
      <c r="G970" s="38">
        <v>12000.0</v>
      </c>
      <c r="H970" s="36">
        <f t="shared" si="105"/>
        <v>1020000</v>
      </c>
      <c r="I970" s="41">
        <f>SUM(H966:H970)</f>
        <v>4668000</v>
      </c>
      <c r="J970" s="2"/>
      <c r="K970" s="2"/>
    </row>
    <row r="971">
      <c r="A971" s="2"/>
      <c r="B971" s="2"/>
      <c r="C971" s="39" t="s">
        <v>420</v>
      </c>
      <c r="D971" s="39" t="s">
        <v>650</v>
      </c>
      <c r="E971" s="39" t="s">
        <v>133</v>
      </c>
      <c r="F971" s="39">
        <v>60.0</v>
      </c>
      <c r="G971" s="38">
        <v>12000.0</v>
      </c>
      <c r="H971" s="36">
        <f t="shared" si="105"/>
        <v>720000</v>
      </c>
      <c r="I971" s="41">
        <f t="shared" ref="I971:I972" si="106">H971</f>
        <v>720000</v>
      </c>
      <c r="J971" s="2"/>
      <c r="K971" s="2"/>
    </row>
    <row r="972">
      <c r="A972" s="2"/>
      <c r="B972" s="2"/>
      <c r="C972" s="31" t="s">
        <v>147</v>
      </c>
      <c r="D972" s="22" t="s">
        <v>651</v>
      </c>
      <c r="E972" s="32" t="s">
        <v>16</v>
      </c>
      <c r="F972" s="32">
        <v>550.0</v>
      </c>
      <c r="G972" s="35">
        <v>14500.0</v>
      </c>
      <c r="H972" s="36">
        <f t="shared" si="105"/>
        <v>7975000</v>
      </c>
      <c r="I972" s="41">
        <f t="shared" si="106"/>
        <v>7975000</v>
      </c>
      <c r="J972" s="2"/>
      <c r="K972" s="2"/>
    </row>
    <row r="973">
      <c r="A973" s="2"/>
      <c r="B973" s="2"/>
      <c r="C973" s="31" t="s">
        <v>18</v>
      </c>
      <c r="D973" s="22" t="s">
        <v>19</v>
      </c>
      <c r="E973" s="32" t="s">
        <v>16</v>
      </c>
      <c r="F973" s="32">
        <v>5.5</v>
      </c>
      <c r="G973" s="35">
        <v>32000.0</v>
      </c>
      <c r="H973" s="36">
        <f t="shared" si="105"/>
        <v>176000</v>
      </c>
      <c r="I973" s="27"/>
      <c r="J973" s="2"/>
      <c r="K973" s="2"/>
    </row>
    <row r="974">
      <c r="A974" s="2"/>
      <c r="B974" s="2"/>
      <c r="C974" s="34"/>
      <c r="D974" s="22" t="s">
        <v>20</v>
      </c>
      <c r="E974" s="32" t="s">
        <v>16</v>
      </c>
      <c r="F974" s="32">
        <v>3.0</v>
      </c>
      <c r="G974" s="35">
        <v>45000.0</v>
      </c>
      <c r="H974" s="36">
        <f t="shared" si="105"/>
        <v>135000</v>
      </c>
      <c r="I974" s="27"/>
      <c r="J974" s="2"/>
      <c r="K974" s="2"/>
    </row>
    <row r="975">
      <c r="A975" s="2"/>
      <c r="B975" s="2"/>
      <c r="C975" s="34"/>
      <c r="D975" s="22" t="s">
        <v>21</v>
      </c>
      <c r="E975" s="32" t="s">
        <v>16</v>
      </c>
      <c r="F975" s="32">
        <v>6.0</v>
      </c>
      <c r="G975" s="35">
        <v>40000.0</v>
      </c>
      <c r="H975" s="36">
        <f t="shared" si="105"/>
        <v>240000</v>
      </c>
      <c r="I975" s="41">
        <f>SUM(H973:H975)</f>
        <v>551000</v>
      </c>
      <c r="J975" s="2"/>
      <c r="K975" s="2"/>
    </row>
    <row r="976">
      <c r="A976" s="2"/>
      <c r="B976" s="2"/>
      <c r="C976" s="31" t="s">
        <v>455</v>
      </c>
      <c r="D976" s="22" t="s">
        <v>652</v>
      </c>
      <c r="E976" s="32" t="s">
        <v>16</v>
      </c>
      <c r="F976" s="32">
        <v>24.0</v>
      </c>
      <c r="G976" s="35">
        <v>19000.0</v>
      </c>
      <c r="H976" s="36">
        <f t="shared" si="105"/>
        <v>456000</v>
      </c>
      <c r="I976" s="41">
        <f t="shared" ref="I976:I981" si="107">H976</f>
        <v>456000</v>
      </c>
      <c r="J976" s="2"/>
      <c r="K976" s="2"/>
    </row>
    <row r="977">
      <c r="A977" s="2"/>
      <c r="B977" s="2"/>
      <c r="C977" s="34"/>
      <c r="D977" s="22" t="s">
        <v>511</v>
      </c>
      <c r="E977" s="32" t="s">
        <v>633</v>
      </c>
      <c r="F977" s="32">
        <v>30.0</v>
      </c>
      <c r="G977" s="35">
        <v>258000.0</v>
      </c>
      <c r="H977" s="36">
        <f t="shared" si="105"/>
        <v>7740000</v>
      </c>
      <c r="I977" s="41">
        <f t="shared" si="107"/>
        <v>7740000</v>
      </c>
      <c r="J977" s="2"/>
      <c r="K977" s="2"/>
    </row>
    <row r="978">
      <c r="A978" s="2"/>
      <c r="B978" s="2"/>
      <c r="C978" s="31" t="s">
        <v>75</v>
      </c>
      <c r="D978" s="22" t="s">
        <v>653</v>
      </c>
      <c r="E978" s="32" t="s">
        <v>16</v>
      </c>
      <c r="F978" s="32">
        <v>0.5</v>
      </c>
      <c r="G978" s="35">
        <v>290000.0</v>
      </c>
      <c r="H978" s="36">
        <f t="shared" si="105"/>
        <v>145000</v>
      </c>
      <c r="I978" s="41">
        <f t="shared" si="107"/>
        <v>145000</v>
      </c>
      <c r="J978" s="2"/>
      <c r="K978" s="2"/>
    </row>
    <row r="979">
      <c r="A979" s="2"/>
      <c r="B979" s="2"/>
      <c r="C979" s="31" t="s">
        <v>654</v>
      </c>
      <c r="D979" s="22" t="s">
        <v>655</v>
      </c>
      <c r="E979" s="32" t="s">
        <v>16</v>
      </c>
      <c r="F979" s="32">
        <v>20.0</v>
      </c>
      <c r="G979" s="35">
        <v>35000.0</v>
      </c>
      <c r="H979" s="35">
        <f t="shared" si="105"/>
        <v>700000</v>
      </c>
      <c r="I979" s="41">
        <f t="shared" si="107"/>
        <v>700000</v>
      </c>
      <c r="J979" s="2"/>
      <c r="K979" s="2"/>
    </row>
    <row r="980">
      <c r="A980" s="2"/>
      <c r="B980" s="2"/>
      <c r="C980" s="31" t="s">
        <v>180</v>
      </c>
      <c r="D980" s="22" t="s">
        <v>181</v>
      </c>
      <c r="E980" s="32" t="s">
        <v>16</v>
      </c>
      <c r="F980" s="32">
        <v>70.0</v>
      </c>
      <c r="G980" s="35">
        <v>50000.0</v>
      </c>
      <c r="H980" s="36">
        <f t="shared" si="105"/>
        <v>3500000</v>
      </c>
      <c r="I980" s="41">
        <f t="shared" si="107"/>
        <v>3500000</v>
      </c>
      <c r="J980" s="2"/>
      <c r="K980" s="2"/>
    </row>
    <row r="981">
      <c r="A981" s="2"/>
      <c r="B981" s="2"/>
      <c r="C981" s="31" t="s">
        <v>506</v>
      </c>
      <c r="D981" s="22" t="s">
        <v>85</v>
      </c>
      <c r="E981" s="32" t="s">
        <v>16</v>
      </c>
      <c r="F981" s="32">
        <v>94.0</v>
      </c>
      <c r="G981" s="35">
        <v>13000.0</v>
      </c>
      <c r="H981" s="36">
        <f t="shared" si="105"/>
        <v>1222000</v>
      </c>
      <c r="I981" s="41">
        <f t="shared" si="107"/>
        <v>1222000</v>
      </c>
      <c r="J981" s="2"/>
      <c r="K981" s="2"/>
    </row>
    <row r="982">
      <c r="A982" s="2"/>
      <c r="B982" s="2"/>
      <c r="C982" s="31" t="s">
        <v>27</v>
      </c>
      <c r="D982" s="22" t="s">
        <v>28</v>
      </c>
      <c r="E982" s="32" t="s">
        <v>16</v>
      </c>
      <c r="F982" s="32">
        <v>172.0</v>
      </c>
      <c r="G982" s="35">
        <v>10000.0</v>
      </c>
      <c r="H982" s="36">
        <f t="shared" si="105"/>
        <v>1720000</v>
      </c>
      <c r="I982" s="27"/>
      <c r="J982" s="2"/>
      <c r="K982" s="2"/>
    </row>
    <row r="983">
      <c r="A983" s="2"/>
      <c r="B983" s="2"/>
      <c r="C983" s="34"/>
      <c r="D983" s="22" t="s">
        <v>29</v>
      </c>
      <c r="E983" s="32" t="s">
        <v>16</v>
      </c>
      <c r="F983" s="32">
        <v>5.0</v>
      </c>
      <c r="G983" s="35">
        <v>35000.0</v>
      </c>
      <c r="H983" s="36">
        <f t="shared" si="105"/>
        <v>175000</v>
      </c>
      <c r="I983" s="27"/>
      <c r="J983" s="2"/>
      <c r="K983" s="2"/>
    </row>
    <row r="984">
      <c r="A984" s="2"/>
      <c r="B984" s="2"/>
      <c r="C984" s="34"/>
      <c r="D984" s="22" t="s">
        <v>31</v>
      </c>
      <c r="E984" s="32" t="s">
        <v>16</v>
      </c>
      <c r="F984" s="32">
        <v>1.0</v>
      </c>
      <c r="G984" s="35">
        <v>16000.0</v>
      </c>
      <c r="H984" s="36">
        <f t="shared" si="105"/>
        <v>16000</v>
      </c>
      <c r="I984" s="27"/>
      <c r="J984" s="2"/>
      <c r="K984" s="2"/>
    </row>
    <row r="985">
      <c r="A985" s="2"/>
      <c r="B985" s="2"/>
      <c r="C985" s="34"/>
      <c r="D985" s="22" t="s">
        <v>30</v>
      </c>
      <c r="E985" s="32" t="s">
        <v>16</v>
      </c>
      <c r="F985" s="32">
        <v>2.0</v>
      </c>
      <c r="G985" s="35">
        <v>70000.0</v>
      </c>
      <c r="H985" s="36">
        <f t="shared" si="105"/>
        <v>140000</v>
      </c>
      <c r="I985" s="27"/>
      <c r="J985" s="2"/>
      <c r="K985" s="2"/>
    </row>
    <row r="986">
      <c r="A986" s="2"/>
      <c r="B986" s="2"/>
      <c r="C986" s="34"/>
      <c r="D986" s="22" t="s">
        <v>33</v>
      </c>
      <c r="E986" s="32" t="s">
        <v>16</v>
      </c>
      <c r="F986" s="32">
        <v>50.0</v>
      </c>
      <c r="G986" s="35">
        <v>6000.0</v>
      </c>
      <c r="H986" s="36">
        <f t="shared" si="105"/>
        <v>300000</v>
      </c>
      <c r="I986" s="27"/>
      <c r="J986" s="2"/>
      <c r="K986" s="2"/>
    </row>
    <row r="987">
      <c r="A987" s="2"/>
      <c r="B987" s="2"/>
      <c r="C987" s="34"/>
      <c r="D987" s="22" t="s">
        <v>507</v>
      </c>
      <c r="E987" s="32" t="s">
        <v>16</v>
      </c>
      <c r="F987" s="32">
        <v>1.0</v>
      </c>
      <c r="G987" s="35">
        <v>25000.0</v>
      </c>
      <c r="H987" s="36">
        <f t="shared" si="105"/>
        <v>25000</v>
      </c>
      <c r="I987" s="27"/>
      <c r="J987" s="2"/>
      <c r="K987" s="2"/>
    </row>
    <row r="988">
      <c r="A988" s="2"/>
      <c r="B988" s="2"/>
      <c r="C988" s="34"/>
      <c r="D988" s="22" t="s">
        <v>34</v>
      </c>
      <c r="E988" s="32" t="s">
        <v>16</v>
      </c>
      <c r="F988" s="32">
        <v>80.0</v>
      </c>
      <c r="G988" s="35">
        <v>8000.0</v>
      </c>
      <c r="H988" s="36">
        <f t="shared" si="105"/>
        <v>640000</v>
      </c>
      <c r="I988" s="27"/>
      <c r="J988" s="2"/>
      <c r="K988" s="2"/>
    </row>
    <row r="989">
      <c r="A989" s="2"/>
      <c r="B989" s="2"/>
      <c r="C989" s="34"/>
      <c r="D989" s="22" t="s">
        <v>35</v>
      </c>
      <c r="E989" s="32" t="s">
        <v>16</v>
      </c>
      <c r="F989" s="32">
        <v>100.0</v>
      </c>
      <c r="G989" s="35">
        <v>16000.0</v>
      </c>
      <c r="H989" s="36">
        <f t="shared" si="105"/>
        <v>1600000</v>
      </c>
      <c r="I989" s="27"/>
      <c r="J989" s="2"/>
      <c r="K989" s="2"/>
    </row>
    <row r="990">
      <c r="A990" s="2"/>
      <c r="B990" s="2"/>
      <c r="C990" s="34"/>
      <c r="D990" s="22" t="s">
        <v>85</v>
      </c>
      <c r="E990" s="32" t="s">
        <v>16</v>
      </c>
      <c r="F990" s="32">
        <v>3.0</v>
      </c>
      <c r="G990" s="35">
        <v>45000.0</v>
      </c>
      <c r="H990" s="36">
        <f t="shared" si="105"/>
        <v>135000</v>
      </c>
      <c r="I990" s="41">
        <f>SUM(H982:H990)</f>
        <v>4751000</v>
      </c>
      <c r="J990" s="2"/>
      <c r="K990" s="2"/>
    </row>
    <row r="991">
      <c r="A991" s="2"/>
      <c r="B991" s="2"/>
      <c r="C991" s="31" t="s">
        <v>44</v>
      </c>
      <c r="D991" s="22" t="s">
        <v>102</v>
      </c>
      <c r="E991" s="32" t="s">
        <v>16</v>
      </c>
      <c r="F991" s="32">
        <v>25.0</v>
      </c>
      <c r="G991" s="35">
        <v>11250.0</v>
      </c>
      <c r="H991" s="36">
        <f t="shared" si="105"/>
        <v>281250</v>
      </c>
      <c r="I991" s="27"/>
      <c r="J991" s="2"/>
      <c r="K991" s="2"/>
    </row>
    <row r="992">
      <c r="A992" s="2"/>
      <c r="B992" s="2"/>
      <c r="C992" s="34"/>
      <c r="D992" s="22" t="s">
        <v>483</v>
      </c>
      <c r="E992" s="32" t="s">
        <v>16</v>
      </c>
      <c r="F992" s="32">
        <v>0.5</v>
      </c>
      <c r="G992" s="35">
        <v>46000.0</v>
      </c>
      <c r="H992" s="36">
        <f t="shared" si="105"/>
        <v>23000</v>
      </c>
      <c r="I992" s="27"/>
      <c r="J992" s="2"/>
      <c r="K992" s="2"/>
    </row>
    <row r="993">
      <c r="A993" s="2"/>
      <c r="B993" s="2"/>
      <c r="C993" s="34"/>
      <c r="D993" s="39" t="s">
        <v>174</v>
      </c>
      <c r="E993" s="32" t="s">
        <v>16</v>
      </c>
      <c r="F993" s="32">
        <v>2.0</v>
      </c>
      <c r="G993" s="35">
        <v>38000.0</v>
      </c>
      <c r="H993" s="36">
        <f t="shared" si="105"/>
        <v>76000</v>
      </c>
      <c r="I993" s="27"/>
      <c r="J993" s="2"/>
      <c r="K993" s="2"/>
    </row>
    <row r="994">
      <c r="A994" s="2"/>
      <c r="B994" s="2"/>
      <c r="C994" s="34"/>
      <c r="D994" s="39" t="s">
        <v>93</v>
      </c>
      <c r="E994" s="32" t="s">
        <v>48</v>
      </c>
      <c r="F994" s="32">
        <v>1.0</v>
      </c>
      <c r="G994" s="35">
        <v>47000.0</v>
      </c>
      <c r="H994" s="36">
        <f t="shared" si="105"/>
        <v>47000</v>
      </c>
      <c r="I994" s="27"/>
      <c r="J994" s="2"/>
      <c r="K994" s="2"/>
    </row>
    <row r="995">
      <c r="A995" s="2"/>
      <c r="B995" s="2"/>
      <c r="C995" s="34"/>
      <c r="D995" s="39" t="s">
        <v>46</v>
      </c>
      <c r="E995" s="32" t="s">
        <v>48</v>
      </c>
      <c r="F995" s="32">
        <v>1.0</v>
      </c>
      <c r="G995" s="35">
        <v>47000.0</v>
      </c>
      <c r="H995" s="36">
        <f t="shared" si="105"/>
        <v>47000</v>
      </c>
      <c r="I995" s="27"/>
      <c r="J995" s="2"/>
      <c r="K995" s="2"/>
    </row>
    <row r="996">
      <c r="A996" s="2"/>
      <c r="B996" s="2"/>
      <c r="C996" s="34"/>
      <c r="D996" s="39" t="s">
        <v>656</v>
      </c>
      <c r="E996" s="32" t="s">
        <v>48</v>
      </c>
      <c r="F996" s="32">
        <v>1.0</v>
      </c>
      <c r="G996" s="35">
        <v>6000.0</v>
      </c>
      <c r="H996" s="36">
        <f t="shared" si="105"/>
        <v>6000</v>
      </c>
      <c r="I996" s="27"/>
      <c r="J996" s="2"/>
      <c r="K996" s="2"/>
    </row>
    <row r="997">
      <c r="A997" s="2"/>
      <c r="B997" s="2"/>
      <c r="C997" s="34"/>
      <c r="D997" s="39" t="s">
        <v>104</v>
      </c>
      <c r="E997" s="32" t="s">
        <v>16</v>
      </c>
      <c r="F997" s="32">
        <v>0.5</v>
      </c>
      <c r="G997" s="35">
        <v>86000.0</v>
      </c>
      <c r="H997" s="36">
        <f t="shared" si="105"/>
        <v>43000</v>
      </c>
      <c r="I997" s="27"/>
      <c r="J997" s="2"/>
      <c r="K997" s="2"/>
    </row>
    <row r="998">
      <c r="A998" s="2"/>
      <c r="B998" s="2"/>
      <c r="C998" s="34"/>
      <c r="D998" s="39" t="s">
        <v>276</v>
      </c>
      <c r="E998" s="32" t="s">
        <v>16</v>
      </c>
      <c r="F998" s="32">
        <v>1.0</v>
      </c>
      <c r="G998" s="35">
        <v>52000.0</v>
      </c>
      <c r="H998" s="36">
        <f t="shared" si="105"/>
        <v>52000</v>
      </c>
      <c r="I998" s="27"/>
      <c r="J998" s="2"/>
      <c r="K998" s="2"/>
    </row>
    <row r="999">
      <c r="A999" s="2"/>
      <c r="B999" s="2"/>
      <c r="C999" s="34"/>
      <c r="D999" s="39" t="s">
        <v>657</v>
      </c>
      <c r="E999" s="32" t="s">
        <v>50</v>
      </c>
      <c r="F999" s="32">
        <v>7.0</v>
      </c>
      <c r="G999" s="35">
        <v>4000.0</v>
      </c>
      <c r="H999" s="36">
        <f t="shared" si="105"/>
        <v>28000</v>
      </c>
      <c r="I999" s="27"/>
      <c r="J999" s="2"/>
      <c r="K999" s="2"/>
    </row>
    <row r="1000">
      <c r="A1000" s="2"/>
      <c r="B1000" s="2"/>
      <c r="C1000" s="34"/>
      <c r="D1000" s="39" t="s">
        <v>47</v>
      </c>
      <c r="E1000" s="32" t="s">
        <v>50</v>
      </c>
      <c r="F1000" s="32">
        <v>2.0</v>
      </c>
      <c r="G1000" s="35">
        <v>48000.0</v>
      </c>
      <c r="H1000" s="36">
        <f t="shared" si="105"/>
        <v>96000</v>
      </c>
      <c r="I1000" s="27"/>
      <c r="J1000" s="2"/>
      <c r="K1000" s="2"/>
    </row>
    <row r="1001">
      <c r="A1001" s="2"/>
      <c r="B1001" s="2"/>
      <c r="C1001" s="34"/>
      <c r="D1001" s="39" t="s">
        <v>326</v>
      </c>
      <c r="E1001" s="32" t="s">
        <v>54</v>
      </c>
      <c r="F1001" s="32">
        <v>1.0</v>
      </c>
      <c r="G1001" s="35">
        <v>190000.0</v>
      </c>
      <c r="H1001" s="36">
        <f t="shared" si="105"/>
        <v>190000</v>
      </c>
      <c r="I1001" s="27"/>
      <c r="J1001" s="2"/>
      <c r="K1001" s="2"/>
    </row>
    <row r="1002">
      <c r="A1002" s="2"/>
      <c r="B1002" s="2"/>
      <c r="C1002" s="34"/>
      <c r="D1002" s="39" t="s">
        <v>658</v>
      </c>
      <c r="E1002" s="32" t="s">
        <v>50</v>
      </c>
      <c r="F1002" s="32">
        <v>13.0</v>
      </c>
      <c r="G1002" s="35">
        <v>80000.0</v>
      </c>
      <c r="H1002" s="36">
        <f t="shared" si="105"/>
        <v>1040000</v>
      </c>
      <c r="I1002" s="27"/>
      <c r="J1002" s="2"/>
      <c r="K1002" s="2"/>
    </row>
    <row r="1003">
      <c r="A1003" s="2"/>
      <c r="B1003" s="2"/>
      <c r="C1003" s="34"/>
      <c r="D1003" s="39" t="s">
        <v>658</v>
      </c>
      <c r="E1003" s="32" t="s">
        <v>659</v>
      </c>
      <c r="F1003" s="32">
        <v>5.0</v>
      </c>
      <c r="G1003" s="35">
        <v>5000.0</v>
      </c>
      <c r="H1003" s="36">
        <f t="shared" si="105"/>
        <v>25000</v>
      </c>
      <c r="I1003" s="27"/>
      <c r="J1003" s="2"/>
      <c r="K1003" s="2"/>
    </row>
    <row r="1004">
      <c r="A1004" s="2"/>
      <c r="B1004" s="2"/>
      <c r="C1004" s="34"/>
      <c r="D1004" s="39" t="s">
        <v>297</v>
      </c>
      <c r="E1004" s="32" t="s">
        <v>16</v>
      </c>
      <c r="F1004" s="32">
        <v>4.0</v>
      </c>
      <c r="G1004" s="35">
        <v>23500.0</v>
      </c>
      <c r="H1004" s="36">
        <f t="shared" si="105"/>
        <v>94000</v>
      </c>
      <c r="I1004" s="27"/>
      <c r="J1004" s="2"/>
      <c r="K1004" s="2"/>
    </row>
    <row r="1005">
      <c r="A1005" s="2"/>
      <c r="B1005" s="2"/>
      <c r="C1005" s="34"/>
      <c r="D1005" s="39" t="s">
        <v>660</v>
      </c>
      <c r="E1005" s="32" t="s">
        <v>16</v>
      </c>
      <c r="F1005" s="32">
        <v>10.0</v>
      </c>
      <c r="G1005" s="35">
        <v>2500.0</v>
      </c>
      <c r="H1005" s="36">
        <f t="shared" si="105"/>
        <v>25000</v>
      </c>
      <c r="I1005" s="27"/>
      <c r="J1005" s="2"/>
      <c r="K1005" s="2"/>
    </row>
    <row r="1006">
      <c r="A1006" s="2"/>
      <c r="B1006" s="2"/>
      <c r="C1006" s="34"/>
      <c r="D1006" s="39" t="s">
        <v>661</v>
      </c>
      <c r="E1006" s="32" t="s">
        <v>16</v>
      </c>
      <c r="F1006" s="32">
        <v>2.0</v>
      </c>
      <c r="G1006" s="35">
        <v>42000.0</v>
      </c>
      <c r="H1006" s="36">
        <f t="shared" si="105"/>
        <v>84000</v>
      </c>
      <c r="I1006" s="27"/>
      <c r="J1006" s="2"/>
      <c r="K1006" s="2"/>
    </row>
    <row r="1007">
      <c r="A1007" s="2"/>
      <c r="B1007" s="2"/>
      <c r="C1007" s="34"/>
      <c r="D1007" s="39" t="s">
        <v>600</v>
      </c>
      <c r="E1007" s="32" t="s">
        <v>16</v>
      </c>
      <c r="F1007" s="32">
        <v>2.0</v>
      </c>
      <c r="G1007" s="35">
        <v>42000.0</v>
      </c>
      <c r="H1007" s="36">
        <f t="shared" si="105"/>
        <v>84000</v>
      </c>
      <c r="I1007" s="27"/>
      <c r="J1007" s="2"/>
      <c r="K1007" s="2"/>
    </row>
    <row r="1008">
      <c r="A1008" s="2"/>
      <c r="B1008" s="2"/>
      <c r="C1008" s="34"/>
      <c r="D1008" s="39" t="s">
        <v>443</v>
      </c>
      <c r="E1008" s="32" t="s">
        <v>16</v>
      </c>
      <c r="F1008" s="32">
        <v>2.0</v>
      </c>
      <c r="G1008" s="35">
        <v>24000.0</v>
      </c>
      <c r="H1008" s="36">
        <f t="shared" si="105"/>
        <v>48000</v>
      </c>
      <c r="I1008" s="27"/>
      <c r="J1008" s="2"/>
      <c r="K1008" s="2"/>
    </row>
    <row r="1009">
      <c r="A1009" s="2"/>
      <c r="B1009" s="2"/>
      <c r="C1009" s="34"/>
      <c r="D1009" s="39" t="s">
        <v>159</v>
      </c>
      <c r="E1009" s="32" t="s">
        <v>48</v>
      </c>
      <c r="F1009" s="32">
        <v>5.0</v>
      </c>
      <c r="G1009" s="35">
        <v>52000.0</v>
      </c>
      <c r="H1009" s="36">
        <f t="shared" si="105"/>
        <v>260000</v>
      </c>
      <c r="I1009" s="27"/>
      <c r="J1009" s="2"/>
      <c r="K1009" s="2"/>
    </row>
    <row r="1010">
      <c r="A1010" s="2"/>
      <c r="B1010" s="2"/>
      <c r="C1010" s="34"/>
      <c r="D1010" s="39" t="s">
        <v>662</v>
      </c>
      <c r="E1010" s="32" t="s">
        <v>257</v>
      </c>
      <c r="F1010" s="32">
        <v>4.0</v>
      </c>
      <c r="G1010" s="35">
        <v>75000.0</v>
      </c>
      <c r="H1010" s="36">
        <f t="shared" si="105"/>
        <v>300000</v>
      </c>
      <c r="I1010" s="27"/>
      <c r="J1010" s="2"/>
      <c r="K1010" s="2"/>
    </row>
    <row r="1011">
      <c r="A1011" s="2"/>
      <c r="B1011" s="2"/>
      <c r="C1011" s="34"/>
      <c r="D1011" s="39" t="s">
        <v>447</v>
      </c>
      <c r="E1011" s="32" t="s">
        <v>16</v>
      </c>
      <c r="F1011" s="32">
        <v>5.0</v>
      </c>
      <c r="G1011" s="35">
        <v>24000.0</v>
      </c>
      <c r="H1011" s="36">
        <f t="shared" si="105"/>
        <v>120000</v>
      </c>
      <c r="I1011" s="27"/>
      <c r="J1011" s="2"/>
      <c r="K1011" s="2"/>
    </row>
    <row r="1012">
      <c r="A1012" s="2"/>
      <c r="B1012" s="2"/>
      <c r="C1012" s="34"/>
      <c r="D1012" s="39" t="s">
        <v>102</v>
      </c>
      <c r="E1012" s="32" t="s">
        <v>59</v>
      </c>
      <c r="F1012" s="32">
        <v>1.0</v>
      </c>
      <c r="G1012" s="35">
        <v>225000.0</v>
      </c>
      <c r="H1012" s="36">
        <f t="shared" si="105"/>
        <v>225000</v>
      </c>
      <c r="I1012" s="27"/>
      <c r="J1012" s="2"/>
      <c r="K1012" s="2"/>
    </row>
    <row r="1013">
      <c r="A1013" s="2"/>
      <c r="B1013" s="2"/>
      <c r="C1013" s="34"/>
      <c r="D1013" s="39" t="s">
        <v>102</v>
      </c>
      <c r="E1013" s="32" t="s">
        <v>16</v>
      </c>
      <c r="F1013" s="32">
        <v>8.0</v>
      </c>
      <c r="G1013" s="35">
        <v>11250.0</v>
      </c>
      <c r="H1013" s="36">
        <f t="shared" si="105"/>
        <v>90000</v>
      </c>
      <c r="I1013" s="27"/>
      <c r="J1013" s="2"/>
      <c r="K1013" s="2"/>
    </row>
    <row r="1014">
      <c r="A1014" s="2"/>
      <c r="B1014" s="2"/>
      <c r="C1014" s="34"/>
      <c r="D1014" s="39" t="s">
        <v>603</v>
      </c>
      <c r="E1014" s="32" t="s">
        <v>16</v>
      </c>
      <c r="F1014" s="32">
        <v>2.0</v>
      </c>
      <c r="G1014" s="35">
        <v>28000.0</v>
      </c>
      <c r="H1014" s="36">
        <f t="shared" si="105"/>
        <v>56000</v>
      </c>
      <c r="I1014" s="27"/>
      <c r="J1014" s="2"/>
      <c r="K1014" s="2"/>
    </row>
    <row r="1015">
      <c r="A1015" s="2"/>
      <c r="B1015" s="2"/>
      <c r="C1015" s="34"/>
      <c r="D1015" s="39" t="s">
        <v>94</v>
      </c>
      <c r="E1015" s="32" t="s">
        <v>16</v>
      </c>
      <c r="F1015" s="32">
        <v>1.0</v>
      </c>
      <c r="G1015" s="35">
        <v>160000.0</v>
      </c>
      <c r="H1015" s="36">
        <f t="shared" si="105"/>
        <v>160000</v>
      </c>
      <c r="I1015" s="27"/>
      <c r="J1015" s="2"/>
      <c r="K1015" s="2"/>
    </row>
    <row r="1016">
      <c r="A1016" s="2"/>
      <c r="B1016" s="2"/>
      <c r="C1016" s="34"/>
      <c r="D1016" s="39" t="s">
        <v>93</v>
      </c>
      <c r="E1016" s="32" t="s">
        <v>48</v>
      </c>
      <c r="F1016" s="32">
        <v>1.0</v>
      </c>
      <c r="G1016" s="35">
        <v>47000.0</v>
      </c>
      <c r="H1016" s="36">
        <f t="shared" si="105"/>
        <v>47000</v>
      </c>
      <c r="I1016" s="27"/>
      <c r="J1016" s="2"/>
      <c r="K1016" s="2"/>
    </row>
    <row r="1017">
      <c r="A1017" s="2"/>
      <c r="B1017" s="2"/>
      <c r="C1017" s="34"/>
      <c r="D1017" s="39" t="s">
        <v>49</v>
      </c>
      <c r="E1017" s="32" t="s">
        <v>16</v>
      </c>
      <c r="F1017" s="32">
        <v>1.0</v>
      </c>
      <c r="G1017" s="35">
        <v>46000.0</v>
      </c>
      <c r="H1017" s="36">
        <f t="shared" si="105"/>
        <v>46000</v>
      </c>
      <c r="I1017" s="27"/>
      <c r="J1017" s="2"/>
      <c r="K1017" s="2"/>
    </row>
    <row r="1018">
      <c r="A1018" s="2"/>
      <c r="B1018" s="2"/>
      <c r="C1018" s="34"/>
      <c r="D1018" s="39" t="s">
        <v>53</v>
      </c>
      <c r="E1018" s="32" t="s">
        <v>54</v>
      </c>
      <c r="F1018" s="32">
        <v>1.0</v>
      </c>
      <c r="G1018" s="35">
        <v>95000.0</v>
      </c>
      <c r="H1018" s="36">
        <f t="shared" si="105"/>
        <v>95000</v>
      </c>
      <c r="I1018" s="27"/>
      <c r="J1018" s="2"/>
      <c r="K1018" s="2"/>
    </row>
    <row r="1019">
      <c r="A1019" s="2"/>
      <c r="B1019" s="2"/>
      <c r="C1019" s="34"/>
      <c r="D1019" s="39" t="s">
        <v>517</v>
      </c>
      <c r="E1019" s="32" t="s">
        <v>186</v>
      </c>
      <c r="F1019" s="32">
        <v>1.0</v>
      </c>
      <c r="G1019" s="35">
        <v>570000.0</v>
      </c>
      <c r="H1019" s="36">
        <f t="shared" si="105"/>
        <v>570000</v>
      </c>
      <c r="I1019" s="41">
        <f>SUM(H991:H1019)</f>
        <v>4258250</v>
      </c>
      <c r="J1019" s="2"/>
      <c r="K1019" s="2"/>
    </row>
    <row r="1020">
      <c r="A1020" s="2"/>
      <c r="B1020" s="2"/>
      <c r="C1020" s="31" t="s">
        <v>113</v>
      </c>
      <c r="D1020" s="39" t="s">
        <v>663</v>
      </c>
      <c r="E1020" s="32" t="s">
        <v>16</v>
      </c>
      <c r="F1020" s="32">
        <v>100.0</v>
      </c>
      <c r="G1020" s="35">
        <v>43000.0</v>
      </c>
      <c r="H1020" s="36">
        <f t="shared" si="105"/>
        <v>4300000</v>
      </c>
      <c r="I1020" s="41">
        <f t="shared" ref="I1020:I1021" si="108">H1020</f>
        <v>4300000</v>
      </c>
      <c r="J1020" s="2"/>
      <c r="K1020" s="2"/>
    </row>
    <row r="1021">
      <c r="A1021" s="2"/>
      <c r="B1021" s="2"/>
      <c r="C1021" s="31" t="s">
        <v>415</v>
      </c>
      <c r="D1021" s="39" t="s">
        <v>664</v>
      </c>
      <c r="E1021" s="32" t="s">
        <v>16</v>
      </c>
      <c r="F1021" s="32">
        <v>1.5</v>
      </c>
      <c r="G1021" s="36">
        <f>H1021/F1021</f>
        <v>56666.66667</v>
      </c>
      <c r="H1021" s="35">
        <v>85000.0</v>
      </c>
      <c r="I1021" s="41">
        <f t="shared" si="108"/>
        <v>85000</v>
      </c>
      <c r="J1021" s="2"/>
      <c r="K1021" s="2"/>
    </row>
    <row r="1022">
      <c r="A1022" s="2"/>
      <c r="B1022" s="2"/>
      <c r="C1022" s="34"/>
      <c r="D1022" s="39" t="s">
        <v>12</v>
      </c>
      <c r="E1022" s="12"/>
      <c r="F1022" s="32">
        <v>17.0</v>
      </c>
      <c r="G1022" s="35">
        <v>2500.0</v>
      </c>
      <c r="H1022" s="36">
        <f>F1022*G1022</f>
        <v>42500</v>
      </c>
      <c r="I1022" s="27"/>
      <c r="J1022" s="27">
        <f>H1022+6500</f>
        <v>49000</v>
      </c>
      <c r="K1022" s="2"/>
    </row>
    <row r="1023">
      <c r="A1023" s="63" t="s">
        <v>665</v>
      </c>
      <c r="B1023" s="64"/>
      <c r="C1023" s="64"/>
      <c r="D1023" s="64"/>
      <c r="E1023" s="64"/>
      <c r="F1023" s="64"/>
      <c r="G1023" s="66"/>
      <c r="H1023" s="50" t="s">
        <v>11</v>
      </c>
      <c r="I1023" s="67">
        <f t="shared" ref="I1023:J1023" si="109">SUM(I1024:I1104)</f>
        <v>102594550</v>
      </c>
      <c r="J1023" s="67">
        <f t="shared" si="109"/>
        <v>52500</v>
      </c>
      <c r="K1023" s="2"/>
      <c r="L1023" s="39">
        <v>18.0</v>
      </c>
      <c r="M1023" s="39" t="s">
        <v>165</v>
      </c>
      <c r="N1023" s="40">
        <f>I1023</f>
        <v>102594550</v>
      </c>
    </row>
    <row r="1024">
      <c r="A1024" s="2"/>
      <c r="B1024" s="2"/>
      <c r="C1024" s="31" t="s">
        <v>79</v>
      </c>
      <c r="D1024" s="39" t="s">
        <v>19</v>
      </c>
      <c r="E1024" s="32" t="s">
        <v>16</v>
      </c>
      <c r="F1024" s="32">
        <v>14.0</v>
      </c>
      <c r="G1024" s="35">
        <v>32000.0</v>
      </c>
      <c r="H1024" s="36">
        <f t="shared" ref="H1024:H1033" si="110">F1024*G1024</f>
        <v>448000</v>
      </c>
      <c r="I1024" s="27"/>
      <c r="J1024" s="2"/>
      <c r="K1024" s="2"/>
      <c r="M1024" s="39" t="s">
        <v>168</v>
      </c>
      <c r="N1024" s="40">
        <f>'Kas Fisik Oprasional'!I285</f>
        <v>3562100</v>
      </c>
    </row>
    <row r="1025">
      <c r="A1025" s="2"/>
      <c r="B1025" s="2"/>
      <c r="C1025" s="34"/>
      <c r="D1025" s="39" t="s">
        <v>666</v>
      </c>
      <c r="E1025" s="32" t="s">
        <v>16</v>
      </c>
      <c r="F1025" s="32">
        <v>2.0</v>
      </c>
      <c r="G1025" s="35">
        <v>40000.0</v>
      </c>
      <c r="H1025" s="36">
        <f t="shared" si="110"/>
        <v>80000</v>
      </c>
      <c r="I1025" s="41">
        <f>SUM(H1024:H1025)</f>
        <v>528000</v>
      </c>
      <c r="J1025" s="22"/>
      <c r="K1025" s="2"/>
      <c r="M1025" s="39" t="s">
        <v>242</v>
      </c>
      <c r="N1025" s="40">
        <f>'list Reimburse'!I94</f>
        <v>156900</v>
      </c>
      <c r="O1025" s="39" t="s">
        <v>667</v>
      </c>
    </row>
    <row r="1026">
      <c r="A1026" s="2"/>
      <c r="B1026" s="2"/>
      <c r="C1026" s="31" t="s">
        <v>668</v>
      </c>
      <c r="D1026" s="39" t="s">
        <v>669</v>
      </c>
      <c r="E1026" s="32" t="s">
        <v>186</v>
      </c>
      <c r="F1026" s="32">
        <v>110.0</v>
      </c>
      <c r="G1026" s="35">
        <v>116000.0</v>
      </c>
      <c r="H1026" s="36">
        <f t="shared" si="110"/>
        <v>12760000</v>
      </c>
      <c r="I1026" s="41">
        <f t="shared" ref="I1026:I1027" si="111">H1026</f>
        <v>12760000</v>
      </c>
      <c r="J1026" s="22"/>
      <c r="K1026" s="2"/>
      <c r="M1026" s="39" t="s">
        <v>345</v>
      </c>
      <c r="N1026" s="39" t="s">
        <v>197</v>
      </c>
    </row>
    <row r="1027">
      <c r="A1027" s="2"/>
      <c r="B1027" s="2"/>
      <c r="C1027" s="31" t="s">
        <v>506</v>
      </c>
      <c r="D1027" s="39" t="s">
        <v>85</v>
      </c>
      <c r="E1027" s="32" t="s">
        <v>16</v>
      </c>
      <c r="F1027" s="32">
        <v>59.0</v>
      </c>
      <c r="G1027" s="35">
        <v>13000.0</v>
      </c>
      <c r="H1027" s="36">
        <f t="shared" si="110"/>
        <v>767000</v>
      </c>
      <c r="I1027" s="41">
        <f t="shared" si="111"/>
        <v>767000</v>
      </c>
      <c r="J1027" s="22"/>
      <c r="K1027" s="2"/>
      <c r="M1027" s="39" t="s">
        <v>12</v>
      </c>
      <c r="N1027" s="40">
        <f>J1023+'Kas Fisik Oprasional'!J285</f>
        <v>55000</v>
      </c>
    </row>
    <row r="1028">
      <c r="A1028" s="2"/>
      <c r="B1028" s="2"/>
      <c r="C1028" s="39" t="s">
        <v>552</v>
      </c>
      <c r="D1028" s="39" t="s">
        <v>670</v>
      </c>
      <c r="E1028" s="39" t="s">
        <v>50</v>
      </c>
      <c r="F1028" s="39">
        <v>2600.0</v>
      </c>
      <c r="G1028" s="38">
        <v>570.0</v>
      </c>
      <c r="H1028" s="36">
        <f t="shared" si="110"/>
        <v>1482000</v>
      </c>
      <c r="I1028" s="27"/>
      <c r="J1028" s="2"/>
      <c r="K1028" s="2"/>
      <c r="M1028" s="42" t="s">
        <v>11</v>
      </c>
      <c r="N1028" s="40">
        <f>SUM(N1023:N1027)</f>
        <v>106368550</v>
      </c>
    </row>
    <row r="1029">
      <c r="A1029" s="2"/>
      <c r="B1029" s="2"/>
      <c r="D1029" s="39" t="s">
        <v>671</v>
      </c>
      <c r="E1029" s="39" t="s">
        <v>50</v>
      </c>
      <c r="F1029" s="39">
        <v>1300.0</v>
      </c>
      <c r="G1029" s="38">
        <v>480.0</v>
      </c>
      <c r="H1029" s="36">
        <f t="shared" si="110"/>
        <v>624000</v>
      </c>
      <c r="I1029" s="27"/>
      <c r="J1029" s="2"/>
      <c r="K1029" s="2"/>
    </row>
    <row r="1030">
      <c r="A1030" s="2"/>
      <c r="B1030" s="2"/>
      <c r="D1030" s="39" t="s">
        <v>672</v>
      </c>
      <c r="E1030" s="39" t="s">
        <v>50</v>
      </c>
      <c r="F1030" s="39">
        <v>2110.0</v>
      </c>
      <c r="G1030" s="38">
        <v>560.0</v>
      </c>
      <c r="H1030" s="36">
        <f t="shared" si="110"/>
        <v>1181600</v>
      </c>
      <c r="I1030" s="27"/>
      <c r="J1030" s="2"/>
      <c r="K1030" s="2"/>
    </row>
    <row r="1031">
      <c r="A1031" s="2"/>
      <c r="B1031" s="2"/>
      <c r="C1031" s="39" t="s">
        <v>552</v>
      </c>
      <c r="D1031" s="39" t="s">
        <v>673</v>
      </c>
      <c r="E1031" s="39" t="s">
        <v>50</v>
      </c>
      <c r="F1031" s="39">
        <v>325.0</v>
      </c>
      <c r="G1031" s="38">
        <v>3000.0</v>
      </c>
      <c r="H1031" s="36">
        <f t="shared" si="110"/>
        <v>975000</v>
      </c>
      <c r="I1031" s="27"/>
      <c r="J1031" s="2"/>
      <c r="K1031" s="2"/>
    </row>
    <row r="1032">
      <c r="A1032" s="2"/>
      <c r="B1032" s="2"/>
      <c r="D1032" s="39" t="s">
        <v>674</v>
      </c>
      <c r="E1032" s="39" t="s">
        <v>50</v>
      </c>
      <c r="F1032" s="39">
        <v>1300.0</v>
      </c>
      <c r="G1032" s="38">
        <v>480.0</v>
      </c>
      <c r="H1032" s="36">
        <f t="shared" si="110"/>
        <v>624000</v>
      </c>
      <c r="I1032" s="41">
        <f>SUM(H1028:H1032)</f>
        <v>4886600</v>
      </c>
      <c r="J1032" s="22"/>
      <c r="K1032" s="2"/>
    </row>
    <row r="1033">
      <c r="A1033" s="2"/>
      <c r="B1033" s="2"/>
      <c r="C1033" s="31" t="s">
        <v>25</v>
      </c>
      <c r="D1033" s="39" t="s">
        <v>26</v>
      </c>
      <c r="E1033" s="32" t="s">
        <v>16</v>
      </c>
      <c r="F1033" s="32">
        <v>30.0</v>
      </c>
      <c r="G1033" s="35">
        <v>7200.0</v>
      </c>
      <c r="H1033" s="36">
        <f t="shared" si="110"/>
        <v>216000</v>
      </c>
      <c r="I1033" s="41">
        <f t="shared" ref="I1033:I1034" si="112">H1033</f>
        <v>216000</v>
      </c>
      <c r="J1033" s="22"/>
      <c r="K1033" s="2"/>
    </row>
    <row r="1034">
      <c r="A1034" s="2"/>
      <c r="B1034" s="2"/>
      <c r="C1034" s="31" t="s">
        <v>675</v>
      </c>
      <c r="D1034" s="39" t="s">
        <v>676</v>
      </c>
      <c r="E1034" s="32" t="s">
        <v>16</v>
      </c>
      <c r="F1034" s="32">
        <v>5600.0</v>
      </c>
      <c r="G1034" s="36">
        <f>H1034/F1034</f>
        <v>700</v>
      </c>
      <c r="H1034" s="35">
        <v>3920000.0</v>
      </c>
      <c r="I1034" s="41">
        <f t="shared" si="112"/>
        <v>3920000</v>
      </c>
      <c r="J1034" s="22"/>
      <c r="K1034" s="2"/>
    </row>
    <row r="1035">
      <c r="A1035" s="2"/>
      <c r="B1035" s="2"/>
      <c r="C1035" s="31" t="s">
        <v>44</v>
      </c>
      <c r="D1035" s="39" t="s">
        <v>89</v>
      </c>
      <c r="E1035" s="32" t="s">
        <v>90</v>
      </c>
      <c r="F1035" s="32">
        <v>1.0</v>
      </c>
      <c r="G1035" s="35">
        <v>20000.0</v>
      </c>
      <c r="H1035" s="36">
        <f t="shared" ref="H1035:H1104" si="113">F1035*G1035</f>
        <v>20000</v>
      </c>
      <c r="I1035" s="27"/>
      <c r="J1035" s="2"/>
      <c r="K1035" s="2"/>
    </row>
    <row r="1036">
      <c r="A1036" s="2"/>
      <c r="B1036" s="2"/>
      <c r="C1036" s="31"/>
      <c r="D1036" s="39" t="s">
        <v>603</v>
      </c>
      <c r="E1036" s="32" t="s">
        <v>16</v>
      </c>
      <c r="F1036" s="32">
        <v>2.0</v>
      </c>
      <c r="G1036" s="35">
        <v>28000.0</v>
      </c>
      <c r="H1036" s="36">
        <f t="shared" si="113"/>
        <v>56000</v>
      </c>
      <c r="I1036" s="27"/>
      <c r="J1036" s="2"/>
      <c r="K1036" s="2"/>
    </row>
    <row r="1037">
      <c r="A1037" s="2"/>
      <c r="B1037" s="2"/>
      <c r="C1037" s="34"/>
      <c r="D1037" s="39" t="s">
        <v>174</v>
      </c>
      <c r="E1037" s="32" t="s">
        <v>16</v>
      </c>
      <c r="F1037" s="32">
        <v>4.0</v>
      </c>
      <c r="G1037" s="35">
        <v>40000.0</v>
      </c>
      <c r="H1037" s="36">
        <f t="shared" si="113"/>
        <v>160000</v>
      </c>
      <c r="I1037" s="27"/>
      <c r="J1037" s="2"/>
      <c r="K1037" s="2"/>
    </row>
    <row r="1038">
      <c r="A1038" s="2"/>
      <c r="B1038" s="2"/>
      <c r="C1038" s="34"/>
      <c r="D1038" s="39" t="s">
        <v>293</v>
      </c>
      <c r="E1038" s="32" t="s">
        <v>16</v>
      </c>
      <c r="F1038" s="32">
        <v>1.0</v>
      </c>
      <c r="G1038" s="35">
        <v>70000.0</v>
      </c>
      <c r="H1038" s="36">
        <f t="shared" si="113"/>
        <v>70000</v>
      </c>
      <c r="I1038" s="27"/>
      <c r="J1038" s="2"/>
      <c r="K1038" s="2"/>
    </row>
    <row r="1039">
      <c r="A1039" s="2"/>
      <c r="B1039" s="2"/>
      <c r="C1039" s="34"/>
      <c r="D1039" s="39" t="s">
        <v>63</v>
      </c>
      <c r="E1039" s="32" t="s">
        <v>54</v>
      </c>
      <c r="F1039" s="32">
        <v>2.0</v>
      </c>
      <c r="G1039" s="35">
        <v>190000.0</v>
      </c>
      <c r="H1039" s="36">
        <f t="shared" si="113"/>
        <v>380000</v>
      </c>
      <c r="I1039" s="27"/>
      <c r="J1039" s="2"/>
      <c r="K1039" s="2"/>
    </row>
    <row r="1040">
      <c r="A1040" s="2"/>
      <c r="B1040" s="2"/>
      <c r="C1040" s="34"/>
      <c r="D1040" s="39" t="s">
        <v>483</v>
      </c>
      <c r="E1040" s="32" t="s">
        <v>501</v>
      </c>
      <c r="F1040" s="32">
        <v>1.0</v>
      </c>
      <c r="G1040" s="35">
        <v>5000.0</v>
      </c>
      <c r="H1040" s="36">
        <f t="shared" si="113"/>
        <v>5000</v>
      </c>
      <c r="I1040" s="27"/>
      <c r="J1040" s="2"/>
      <c r="K1040" s="2"/>
    </row>
    <row r="1041">
      <c r="A1041" s="2"/>
      <c r="B1041" s="2"/>
      <c r="C1041" s="34"/>
      <c r="D1041" s="39" t="s">
        <v>677</v>
      </c>
      <c r="E1041" s="32" t="s">
        <v>16</v>
      </c>
      <c r="F1041" s="32">
        <v>0.5</v>
      </c>
      <c r="G1041" s="35">
        <v>70000.0</v>
      </c>
      <c r="H1041" s="36">
        <f t="shared" si="113"/>
        <v>35000</v>
      </c>
      <c r="I1041" s="27"/>
      <c r="J1041" s="2"/>
      <c r="K1041" s="2"/>
    </row>
    <row r="1042">
      <c r="A1042" s="2"/>
      <c r="B1042" s="2"/>
      <c r="C1042" s="34"/>
      <c r="D1042" s="39" t="s">
        <v>678</v>
      </c>
      <c r="E1042" s="32" t="s">
        <v>16</v>
      </c>
      <c r="F1042" s="32">
        <v>13.0</v>
      </c>
      <c r="G1042" s="35">
        <v>23500.0</v>
      </c>
      <c r="H1042" s="36">
        <f t="shared" si="113"/>
        <v>305500</v>
      </c>
      <c r="I1042" s="27"/>
      <c r="J1042" s="2"/>
      <c r="K1042" s="2"/>
    </row>
    <row r="1043">
      <c r="A1043" s="2"/>
      <c r="B1043" s="2"/>
      <c r="C1043" s="34"/>
      <c r="D1043" s="39" t="s">
        <v>52</v>
      </c>
      <c r="E1043" s="32" t="s">
        <v>16</v>
      </c>
      <c r="F1043" s="32">
        <v>1.0</v>
      </c>
      <c r="G1043" s="35">
        <v>42000.0</v>
      </c>
      <c r="H1043" s="36">
        <f t="shared" si="113"/>
        <v>42000</v>
      </c>
      <c r="I1043" s="27"/>
      <c r="J1043" s="2"/>
      <c r="K1043" s="2"/>
    </row>
    <row r="1044">
      <c r="A1044" s="2"/>
      <c r="B1044" s="2"/>
      <c r="C1044" s="34"/>
      <c r="D1044" s="39" t="s">
        <v>154</v>
      </c>
      <c r="E1044" s="32" t="s">
        <v>186</v>
      </c>
      <c r="F1044" s="32">
        <v>9.0</v>
      </c>
      <c r="G1044" s="35">
        <v>118000.0</v>
      </c>
      <c r="H1044" s="36">
        <f t="shared" si="113"/>
        <v>1062000</v>
      </c>
      <c r="I1044" s="27"/>
      <c r="J1044" s="2"/>
      <c r="K1044" s="2"/>
    </row>
    <row r="1045">
      <c r="A1045" s="2"/>
      <c r="B1045" s="2"/>
      <c r="C1045" s="34"/>
      <c r="D1045" s="39" t="s">
        <v>679</v>
      </c>
      <c r="E1045" s="32" t="s">
        <v>186</v>
      </c>
      <c r="F1045" s="32">
        <v>2.0</v>
      </c>
      <c r="G1045" s="35">
        <v>145000.0</v>
      </c>
      <c r="H1045" s="36">
        <f t="shared" si="113"/>
        <v>290000</v>
      </c>
      <c r="I1045" s="27"/>
      <c r="J1045" s="2"/>
      <c r="K1045" s="2"/>
    </row>
    <row r="1046">
      <c r="A1046" s="2"/>
      <c r="B1046" s="2"/>
      <c r="C1046" s="34"/>
      <c r="D1046" s="39" t="s">
        <v>159</v>
      </c>
      <c r="E1046" s="32" t="s">
        <v>48</v>
      </c>
      <c r="F1046" s="32">
        <v>3.0</v>
      </c>
      <c r="G1046" s="35">
        <v>52000.0</v>
      </c>
      <c r="H1046" s="36">
        <f t="shared" si="113"/>
        <v>156000</v>
      </c>
      <c r="I1046" s="27"/>
      <c r="J1046" s="2"/>
      <c r="K1046" s="2"/>
    </row>
    <row r="1047">
      <c r="A1047" s="2"/>
      <c r="B1047" s="2"/>
      <c r="C1047" s="34"/>
      <c r="D1047" s="39" t="s">
        <v>92</v>
      </c>
      <c r="E1047" s="32" t="s">
        <v>16</v>
      </c>
      <c r="F1047" s="32">
        <v>2.0</v>
      </c>
      <c r="G1047" s="35">
        <v>18000.0</v>
      </c>
      <c r="H1047" s="36">
        <f t="shared" si="113"/>
        <v>36000</v>
      </c>
      <c r="I1047" s="27"/>
      <c r="J1047" s="2"/>
      <c r="K1047" s="2"/>
    </row>
    <row r="1048">
      <c r="A1048" s="2"/>
      <c r="B1048" s="2"/>
      <c r="C1048" s="34"/>
      <c r="D1048" s="39" t="s">
        <v>630</v>
      </c>
      <c r="E1048" s="32" t="s">
        <v>16</v>
      </c>
      <c r="F1048" s="32">
        <v>5.0</v>
      </c>
      <c r="G1048" s="35">
        <v>26000.0</v>
      </c>
      <c r="H1048" s="36">
        <f t="shared" si="113"/>
        <v>130000</v>
      </c>
      <c r="I1048" s="27"/>
      <c r="J1048" s="2"/>
      <c r="K1048" s="2"/>
    </row>
    <row r="1049">
      <c r="A1049" s="2"/>
      <c r="B1049" s="2"/>
      <c r="C1049" s="34"/>
      <c r="D1049" s="39" t="s">
        <v>680</v>
      </c>
      <c r="E1049" s="32" t="s">
        <v>16</v>
      </c>
      <c r="F1049" s="32">
        <v>10.0</v>
      </c>
      <c r="G1049" s="35">
        <v>210000.0</v>
      </c>
      <c r="H1049" s="36">
        <f t="shared" si="113"/>
        <v>2100000</v>
      </c>
      <c r="I1049" s="27"/>
      <c r="J1049" s="2"/>
      <c r="K1049" s="2"/>
    </row>
    <row r="1050">
      <c r="A1050" s="2"/>
      <c r="B1050" s="2"/>
      <c r="C1050" s="34"/>
      <c r="D1050" s="39" t="s">
        <v>58</v>
      </c>
      <c r="E1050" s="32" t="s">
        <v>16</v>
      </c>
      <c r="F1050" s="32">
        <v>7.0</v>
      </c>
      <c r="G1050" s="35">
        <v>11500.0</v>
      </c>
      <c r="H1050" s="36">
        <f t="shared" si="113"/>
        <v>80500</v>
      </c>
      <c r="I1050" s="27"/>
      <c r="J1050" s="2"/>
      <c r="K1050" s="2"/>
    </row>
    <row r="1051">
      <c r="A1051" s="2"/>
      <c r="B1051" s="2"/>
      <c r="C1051" s="34"/>
      <c r="D1051" s="39" t="s">
        <v>53</v>
      </c>
      <c r="E1051" s="32" t="s">
        <v>16</v>
      </c>
      <c r="F1051" s="32">
        <v>1.0</v>
      </c>
      <c r="G1051" s="35">
        <v>18500.0</v>
      </c>
      <c r="H1051" s="36">
        <f t="shared" si="113"/>
        <v>18500</v>
      </c>
      <c r="I1051" s="27"/>
      <c r="J1051" s="2"/>
      <c r="K1051" s="2"/>
    </row>
    <row r="1052">
      <c r="A1052" s="2"/>
      <c r="B1052" s="2"/>
      <c r="C1052" s="34"/>
      <c r="D1052" s="39" t="s">
        <v>152</v>
      </c>
      <c r="E1052" s="32" t="s">
        <v>16</v>
      </c>
      <c r="F1052" s="32">
        <v>1.0</v>
      </c>
      <c r="G1052" s="35">
        <v>185000.0</v>
      </c>
      <c r="H1052" s="36">
        <f t="shared" si="113"/>
        <v>185000</v>
      </c>
      <c r="I1052" s="27"/>
      <c r="J1052" s="2"/>
      <c r="K1052" s="2"/>
    </row>
    <row r="1053">
      <c r="A1053" s="2"/>
      <c r="B1053" s="2"/>
      <c r="C1053" s="34"/>
      <c r="D1053" s="39" t="s">
        <v>49</v>
      </c>
      <c r="E1053" s="32" t="s">
        <v>16</v>
      </c>
      <c r="F1053" s="32">
        <v>1.0</v>
      </c>
      <c r="G1053" s="35">
        <v>46000.0</v>
      </c>
      <c r="H1053" s="36">
        <f t="shared" si="113"/>
        <v>46000</v>
      </c>
      <c r="I1053" s="27"/>
      <c r="J1053" s="2"/>
      <c r="K1053" s="2"/>
    </row>
    <row r="1054">
      <c r="A1054" s="2"/>
      <c r="B1054" s="2"/>
      <c r="C1054" s="34"/>
      <c r="D1054" s="39" t="s">
        <v>174</v>
      </c>
      <c r="E1054" s="32" t="s">
        <v>16</v>
      </c>
      <c r="F1054" s="32">
        <v>5.0</v>
      </c>
      <c r="G1054" s="35">
        <v>40000.0</v>
      </c>
      <c r="H1054" s="36">
        <f t="shared" si="113"/>
        <v>200000</v>
      </c>
      <c r="I1054" s="27"/>
      <c r="J1054" s="2"/>
      <c r="K1054" s="2"/>
    </row>
    <row r="1055">
      <c r="A1055" s="2"/>
      <c r="B1055" s="2"/>
      <c r="C1055" s="34"/>
      <c r="D1055" s="39" t="s">
        <v>160</v>
      </c>
      <c r="E1055" s="32" t="s">
        <v>16</v>
      </c>
      <c r="F1055" s="32">
        <v>0.5</v>
      </c>
      <c r="G1055" s="35">
        <v>100000.0</v>
      </c>
      <c r="H1055" s="36">
        <f t="shared" si="113"/>
        <v>50000</v>
      </c>
      <c r="I1055" s="27"/>
      <c r="J1055" s="2"/>
      <c r="K1055" s="2"/>
    </row>
    <row r="1056">
      <c r="A1056" s="2"/>
      <c r="B1056" s="2"/>
      <c r="C1056" s="34"/>
      <c r="D1056" s="39" t="s">
        <v>660</v>
      </c>
      <c r="E1056" s="32" t="s">
        <v>16</v>
      </c>
      <c r="F1056" s="32">
        <v>0.5</v>
      </c>
      <c r="G1056" s="35">
        <v>180000.0</v>
      </c>
      <c r="H1056" s="36">
        <f t="shared" si="113"/>
        <v>90000</v>
      </c>
      <c r="I1056" s="27"/>
      <c r="J1056" s="2"/>
      <c r="K1056" s="2"/>
    </row>
    <row r="1057">
      <c r="A1057" s="2"/>
      <c r="B1057" s="2"/>
      <c r="C1057" s="34"/>
      <c r="D1057" s="39" t="s">
        <v>259</v>
      </c>
      <c r="E1057" s="32" t="s">
        <v>16</v>
      </c>
      <c r="F1057" s="32">
        <v>1.0</v>
      </c>
      <c r="G1057" s="35">
        <v>190000.0</v>
      </c>
      <c r="H1057" s="36">
        <f t="shared" si="113"/>
        <v>190000</v>
      </c>
      <c r="I1057" s="27"/>
      <c r="J1057" s="2"/>
      <c r="K1057" s="2"/>
    </row>
    <row r="1058">
      <c r="A1058" s="2"/>
      <c r="B1058" s="2"/>
      <c r="C1058" s="34"/>
      <c r="D1058" s="39" t="s">
        <v>603</v>
      </c>
      <c r="E1058" s="32" t="s">
        <v>16</v>
      </c>
      <c r="F1058" s="32">
        <v>2.0</v>
      </c>
      <c r="G1058" s="35">
        <v>28000.0</v>
      </c>
      <c r="H1058" s="36">
        <f t="shared" si="113"/>
        <v>56000</v>
      </c>
      <c r="I1058" s="27"/>
      <c r="J1058" s="2"/>
      <c r="K1058" s="2"/>
    </row>
    <row r="1059">
      <c r="A1059" s="2"/>
      <c r="B1059" s="2"/>
      <c r="C1059" s="34"/>
      <c r="D1059" s="39" t="s">
        <v>630</v>
      </c>
      <c r="E1059" s="32" t="s">
        <v>16</v>
      </c>
      <c r="F1059" s="32">
        <v>5.0</v>
      </c>
      <c r="G1059" s="35">
        <v>26000.0</v>
      </c>
      <c r="H1059" s="36">
        <f t="shared" si="113"/>
        <v>130000</v>
      </c>
      <c r="I1059" s="27"/>
      <c r="J1059" s="2"/>
      <c r="K1059" s="2"/>
    </row>
    <row r="1060">
      <c r="A1060" s="2"/>
      <c r="B1060" s="2"/>
      <c r="C1060" s="34"/>
      <c r="D1060" s="39" t="s">
        <v>681</v>
      </c>
      <c r="E1060" s="32" t="s">
        <v>16</v>
      </c>
      <c r="F1060" s="32">
        <v>2.0</v>
      </c>
      <c r="G1060" s="35">
        <v>8000.0</v>
      </c>
      <c r="H1060" s="36">
        <f t="shared" si="113"/>
        <v>16000</v>
      </c>
      <c r="I1060" s="27"/>
      <c r="J1060" s="2"/>
      <c r="K1060" s="2"/>
    </row>
    <row r="1061">
      <c r="A1061" s="2"/>
      <c r="B1061" s="2"/>
      <c r="C1061" s="34"/>
      <c r="D1061" s="39" t="s">
        <v>682</v>
      </c>
      <c r="E1061" s="32" t="s">
        <v>16</v>
      </c>
      <c r="F1061" s="32">
        <v>1.0</v>
      </c>
      <c r="G1061" s="35">
        <v>95000.0</v>
      </c>
      <c r="H1061" s="36">
        <f t="shared" si="113"/>
        <v>95000</v>
      </c>
      <c r="I1061" s="27"/>
      <c r="J1061" s="2"/>
      <c r="K1061" s="2"/>
    </row>
    <row r="1062">
      <c r="A1062" s="2"/>
      <c r="B1062" s="2"/>
      <c r="C1062" s="34"/>
      <c r="D1062" s="39" t="s">
        <v>683</v>
      </c>
      <c r="E1062" s="32" t="s">
        <v>16</v>
      </c>
      <c r="F1062" s="32">
        <v>3.0</v>
      </c>
      <c r="G1062" s="35">
        <v>23500.0</v>
      </c>
      <c r="H1062" s="36">
        <f t="shared" si="113"/>
        <v>70500</v>
      </c>
      <c r="I1062" s="27"/>
      <c r="J1062" s="2"/>
      <c r="K1062" s="2"/>
    </row>
    <row r="1063">
      <c r="A1063" s="2"/>
      <c r="B1063" s="2"/>
      <c r="C1063" s="34"/>
      <c r="D1063" s="39" t="s">
        <v>93</v>
      </c>
      <c r="E1063" s="32" t="s">
        <v>48</v>
      </c>
      <c r="F1063" s="32">
        <v>1.0</v>
      </c>
      <c r="G1063" s="35">
        <v>47000.0</v>
      </c>
      <c r="H1063" s="36">
        <f t="shared" si="113"/>
        <v>47000</v>
      </c>
      <c r="I1063" s="27"/>
      <c r="J1063" s="2"/>
      <c r="K1063" s="2"/>
    </row>
    <row r="1064">
      <c r="A1064" s="2"/>
      <c r="B1064" s="2"/>
      <c r="C1064" s="34"/>
      <c r="D1064" s="39" t="s">
        <v>53</v>
      </c>
      <c r="E1064" s="32" t="s">
        <v>16</v>
      </c>
      <c r="F1064" s="32">
        <v>2.0</v>
      </c>
      <c r="G1064" s="35">
        <v>18500.0</v>
      </c>
      <c r="H1064" s="36">
        <f t="shared" si="113"/>
        <v>37000</v>
      </c>
      <c r="I1064" s="41">
        <f>SUM(H1035:H1064)</f>
        <v>6159000</v>
      </c>
      <c r="J1064" s="22"/>
      <c r="K1064" s="2"/>
    </row>
    <row r="1065">
      <c r="A1065" s="2"/>
      <c r="B1065" s="2"/>
      <c r="C1065" s="31" t="s">
        <v>27</v>
      </c>
      <c r="D1065" s="39" t="s">
        <v>28</v>
      </c>
      <c r="E1065" s="32" t="s">
        <v>16</v>
      </c>
      <c r="F1065" s="32">
        <v>33.0</v>
      </c>
      <c r="G1065" s="35">
        <v>9000.0</v>
      </c>
      <c r="H1065" s="36">
        <f t="shared" si="113"/>
        <v>297000</v>
      </c>
      <c r="I1065" s="27"/>
      <c r="J1065" s="2"/>
      <c r="K1065" s="2"/>
    </row>
    <row r="1066">
      <c r="A1066" s="2"/>
      <c r="B1066" s="2"/>
      <c r="C1066" s="34"/>
      <c r="D1066" s="39" t="s">
        <v>29</v>
      </c>
      <c r="E1066" s="32" t="s">
        <v>16</v>
      </c>
      <c r="F1066" s="32">
        <v>6.0</v>
      </c>
      <c r="G1066" s="35">
        <v>32000.0</v>
      </c>
      <c r="H1066" s="36">
        <f t="shared" si="113"/>
        <v>192000</v>
      </c>
      <c r="I1066" s="27"/>
      <c r="J1066" s="2"/>
      <c r="K1066" s="2"/>
    </row>
    <row r="1067">
      <c r="A1067" s="2"/>
      <c r="B1067" s="2"/>
      <c r="C1067" s="34"/>
      <c r="D1067" s="39" t="s">
        <v>441</v>
      </c>
      <c r="E1067" s="32" t="s">
        <v>16</v>
      </c>
      <c r="F1067" s="32">
        <v>1.0</v>
      </c>
      <c r="G1067" s="35">
        <v>22000.0</v>
      </c>
      <c r="H1067" s="36">
        <f t="shared" si="113"/>
        <v>22000</v>
      </c>
      <c r="I1067" s="27"/>
      <c r="J1067" s="2"/>
      <c r="K1067" s="2"/>
    </row>
    <row r="1068">
      <c r="A1068" s="2"/>
      <c r="B1068" s="2"/>
      <c r="C1068" s="34"/>
      <c r="D1068" s="39" t="s">
        <v>38</v>
      </c>
      <c r="E1068" s="32" t="s">
        <v>16</v>
      </c>
      <c r="F1068" s="32">
        <v>6.5</v>
      </c>
      <c r="G1068" s="35">
        <v>12000.0</v>
      </c>
      <c r="H1068" s="36">
        <f t="shared" si="113"/>
        <v>78000</v>
      </c>
      <c r="I1068" s="27"/>
      <c r="J1068" s="2"/>
      <c r="K1068" s="2"/>
    </row>
    <row r="1069">
      <c r="A1069" s="2"/>
      <c r="B1069" s="2"/>
      <c r="C1069" s="34"/>
      <c r="D1069" s="39" t="s">
        <v>36</v>
      </c>
      <c r="E1069" s="32" t="s">
        <v>16</v>
      </c>
      <c r="F1069" s="32">
        <v>38.0</v>
      </c>
      <c r="G1069" s="35">
        <v>8000.0</v>
      </c>
      <c r="H1069" s="36">
        <f t="shared" si="113"/>
        <v>304000</v>
      </c>
      <c r="I1069" s="27"/>
      <c r="J1069" s="2"/>
      <c r="K1069" s="2"/>
    </row>
    <row r="1070">
      <c r="A1070" s="2"/>
      <c r="B1070" s="2"/>
      <c r="C1070" s="34"/>
      <c r="D1070" s="39" t="s">
        <v>41</v>
      </c>
      <c r="E1070" s="32" t="s">
        <v>16</v>
      </c>
      <c r="F1070" s="32">
        <v>1.5</v>
      </c>
      <c r="G1070" s="35">
        <v>10000.0</v>
      </c>
      <c r="H1070" s="36">
        <f t="shared" si="113"/>
        <v>15000</v>
      </c>
      <c r="I1070" s="27"/>
      <c r="J1070" s="2"/>
      <c r="K1070" s="2"/>
    </row>
    <row r="1071">
      <c r="A1071" s="2"/>
      <c r="B1071" s="2"/>
      <c r="C1071" s="34"/>
      <c r="D1071" s="39" t="s">
        <v>34</v>
      </c>
      <c r="E1071" s="32" t="s">
        <v>16</v>
      </c>
      <c r="F1071" s="32">
        <v>123.0</v>
      </c>
      <c r="G1071" s="35">
        <v>8000.0</v>
      </c>
      <c r="H1071" s="36">
        <f t="shared" si="113"/>
        <v>984000</v>
      </c>
      <c r="I1071" s="27"/>
      <c r="J1071" s="2"/>
      <c r="K1071" s="2"/>
    </row>
    <row r="1072">
      <c r="A1072" s="2"/>
      <c r="B1072" s="2"/>
      <c r="C1072" s="34"/>
      <c r="D1072" s="39" t="s">
        <v>35</v>
      </c>
      <c r="E1072" s="32" t="s">
        <v>16</v>
      </c>
      <c r="F1072" s="32">
        <v>87.0</v>
      </c>
      <c r="G1072" s="35">
        <v>16000.0</v>
      </c>
      <c r="H1072" s="36">
        <f t="shared" si="113"/>
        <v>1392000</v>
      </c>
      <c r="I1072" s="27"/>
      <c r="J1072" s="2"/>
      <c r="K1072" s="2"/>
    </row>
    <row r="1073">
      <c r="A1073" s="2"/>
      <c r="B1073" s="2"/>
      <c r="C1073" s="34"/>
      <c r="D1073" s="39" t="s">
        <v>84</v>
      </c>
      <c r="E1073" s="32" t="s">
        <v>16</v>
      </c>
      <c r="F1073" s="32">
        <v>50.0</v>
      </c>
      <c r="G1073" s="35">
        <v>10000.0</v>
      </c>
      <c r="H1073" s="36">
        <f t="shared" si="113"/>
        <v>500000</v>
      </c>
      <c r="I1073" s="27"/>
      <c r="J1073" s="2"/>
      <c r="K1073" s="2"/>
    </row>
    <row r="1074">
      <c r="A1074" s="2"/>
      <c r="B1074" s="2"/>
      <c r="C1074" s="34"/>
      <c r="D1074" s="39" t="s">
        <v>684</v>
      </c>
      <c r="E1074" s="32" t="s">
        <v>16</v>
      </c>
      <c r="F1074" s="32">
        <v>0.5</v>
      </c>
      <c r="G1074" s="35">
        <v>12000.0</v>
      </c>
      <c r="H1074" s="36">
        <f t="shared" si="113"/>
        <v>6000</v>
      </c>
      <c r="I1074" s="27"/>
      <c r="J1074" s="2"/>
      <c r="K1074" s="2"/>
    </row>
    <row r="1075">
      <c r="A1075" s="2"/>
      <c r="B1075" s="2"/>
      <c r="C1075" s="34"/>
      <c r="D1075" s="39" t="s">
        <v>685</v>
      </c>
      <c r="E1075" s="32" t="s">
        <v>16</v>
      </c>
      <c r="F1075" s="32">
        <v>1.0</v>
      </c>
      <c r="G1075" s="35">
        <v>12000.0</v>
      </c>
      <c r="H1075" s="36">
        <f t="shared" si="113"/>
        <v>12000</v>
      </c>
      <c r="I1075" s="27"/>
      <c r="J1075" s="2"/>
      <c r="K1075" s="2"/>
    </row>
    <row r="1076">
      <c r="A1076" s="2"/>
      <c r="B1076" s="2"/>
      <c r="C1076" s="34"/>
      <c r="D1076" s="39" t="s">
        <v>80</v>
      </c>
      <c r="E1076" s="32" t="s">
        <v>16</v>
      </c>
      <c r="F1076" s="32">
        <v>0.5</v>
      </c>
      <c r="G1076" s="35">
        <v>40000.0</v>
      </c>
      <c r="H1076" s="36">
        <f t="shared" si="113"/>
        <v>20000</v>
      </c>
      <c r="I1076" s="41"/>
      <c r="J1076" s="22"/>
      <c r="K1076" s="2"/>
    </row>
    <row r="1077">
      <c r="A1077" s="2"/>
      <c r="B1077" s="2"/>
      <c r="C1077" s="34"/>
      <c r="D1077" s="55" t="s">
        <v>686</v>
      </c>
      <c r="E1077" s="68"/>
      <c r="F1077" s="68">
        <v>1.0</v>
      </c>
      <c r="G1077" s="58">
        <v>60000.0</v>
      </c>
      <c r="H1077" s="61">
        <f t="shared" si="113"/>
        <v>60000</v>
      </c>
      <c r="I1077" s="41">
        <f>SUM(H1065:H1077)</f>
        <v>3882000</v>
      </c>
      <c r="J1077" s="22"/>
      <c r="K1077" s="2"/>
    </row>
    <row r="1078">
      <c r="A1078" s="2"/>
      <c r="B1078" s="2"/>
      <c r="C1078" s="31" t="s">
        <v>506</v>
      </c>
      <c r="D1078" s="39" t="s">
        <v>85</v>
      </c>
      <c r="E1078" s="32" t="s">
        <v>16</v>
      </c>
      <c r="F1078" s="32">
        <v>250.0</v>
      </c>
      <c r="G1078" s="35">
        <v>13000.0</v>
      </c>
      <c r="H1078" s="36">
        <f t="shared" si="113"/>
        <v>3250000</v>
      </c>
      <c r="I1078" s="41">
        <f t="shared" ref="I1078:I1080" si="114">H1078</f>
        <v>3250000</v>
      </c>
      <c r="J1078" s="22"/>
      <c r="K1078" s="2"/>
    </row>
    <row r="1079">
      <c r="A1079" s="2"/>
      <c r="B1079" s="2"/>
      <c r="C1079" s="31" t="s">
        <v>486</v>
      </c>
      <c r="D1079" s="39" t="s">
        <v>687</v>
      </c>
      <c r="E1079" s="32" t="s">
        <v>301</v>
      </c>
      <c r="F1079" s="32">
        <v>2550.0</v>
      </c>
      <c r="G1079" s="35">
        <v>3500.0</v>
      </c>
      <c r="H1079" s="36">
        <f t="shared" si="113"/>
        <v>8925000</v>
      </c>
      <c r="I1079" s="41">
        <f t="shared" si="114"/>
        <v>8925000</v>
      </c>
      <c r="J1079" s="22"/>
      <c r="K1079" s="2"/>
    </row>
    <row r="1080">
      <c r="A1080" s="2"/>
      <c r="B1080" s="2"/>
      <c r="C1080" s="31"/>
      <c r="D1080" s="39" t="s">
        <v>688</v>
      </c>
      <c r="E1080" s="32" t="s">
        <v>90</v>
      </c>
      <c r="F1080" s="32">
        <v>216.0</v>
      </c>
      <c r="G1080" s="35">
        <v>27000.0</v>
      </c>
      <c r="H1080" s="36">
        <f t="shared" si="113"/>
        <v>5832000</v>
      </c>
      <c r="I1080" s="41">
        <f t="shared" si="114"/>
        <v>5832000</v>
      </c>
      <c r="J1080" s="22"/>
      <c r="K1080" s="2"/>
    </row>
    <row r="1081">
      <c r="A1081" s="2"/>
      <c r="B1081" s="2"/>
      <c r="C1081" s="39" t="s">
        <v>122</v>
      </c>
      <c r="D1081" s="39" t="s">
        <v>689</v>
      </c>
      <c r="E1081" s="39" t="s">
        <v>50</v>
      </c>
      <c r="F1081" s="39">
        <v>2550.0</v>
      </c>
      <c r="G1081" s="38">
        <v>1800.0</v>
      </c>
      <c r="H1081" s="36">
        <f t="shared" si="113"/>
        <v>4590000</v>
      </c>
      <c r="I1081" s="27"/>
      <c r="J1081" s="2"/>
      <c r="K1081" s="2"/>
    </row>
    <row r="1082">
      <c r="A1082" s="2"/>
      <c r="B1082" s="2"/>
      <c r="D1082" s="39" t="s">
        <v>690</v>
      </c>
      <c r="E1082" s="39" t="s">
        <v>50</v>
      </c>
      <c r="F1082" s="39">
        <v>1157.0</v>
      </c>
      <c r="G1082" s="38">
        <v>1850.0</v>
      </c>
      <c r="H1082" s="36">
        <f t="shared" si="113"/>
        <v>2140450</v>
      </c>
      <c r="I1082" s="27"/>
      <c r="J1082" s="2"/>
      <c r="K1082" s="2"/>
    </row>
    <row r="1083">
      <c r="A1083" s="2"/>
      <c r="B1083" s="2"/>
      <c r="D1083" s="39" t="s">
        <v>691</v>
      </c>
      <c r="E1083" s="39" t="s">
        <v>16</v>
      </c>
      <c r="F1083" s="39">
        <v>184.0</v>
      </c>
      <c r="G1083" s="38">
        <v>25000.0</v>
      </c>
      <c r="H1083" s="36">
        <f t="shared" si="113"/>
        <v>4600000</v>
      </c>
      <c r="I1083" s="27"/>
      <c r="J1083" s="2"/>
      <c r="K1083" s="2"/>
    </row>
    <row r="1084">
      <c r="A1084" s="2"/>
      <c r="B1084" s="2"/>
      <c r="D1084" s="39" t="s">
        <v>692</v>
      </c>
      <c r="E1084" s="39" t="s">
        <v>16</v>
      </c>
      <c r="F1084" s="39">
        <v>166.0</v>
      </c>
      <c r="G1084" s="38">
        <v>18000.0</v>
      </c>
      <c r="H1084" s="36">
        <f t="shared" si="113"/>
        <v>2988000</v>
      </c>
      <c r="I1084" s="41">
        <f>SUM(H1081:H1084)</f>
        <v>14318450</v>
      </c>
      <c r="J1084" s="22"/>
      <c r="K1084" s="2"/>
    </row>
    <row r="1085">
      <c r="A1085" s="2"/>
      <c r="B1085" s="2"/>
      <c r="C1085" s="39" t="s">
        <v>106</v>
      </c>
      <c r="D1085" s="39" t="s">
        <v>693</v>
      </c>
      <c r="E1085" s="39" t="s">
        <v>133</v>
      </c>
      <c r="F1085" s="39">
        <v>80.0</v>
      </c>
      <c r="G1085" s="38">
        <v>12000.0</v>
      </c>
      <c r="H1085" s="36">
        <f t="shared" si="113"/>
        <v>960000</v>
      </c>
      <c r="I1085" s="27"/>
      <c r="J1085" s="2"/>
      <c r="K1085" s="2"/>
    </row>
    <row r="1086">
      <c r="A1086" s="2"/>
      <c r="B1086" s="2"/>
      <c r="D1086" s="39" t="s">
        <v>694</v>
      </c>
      <c r="E1086" s="39" t="s">
        <v>16</v>
      </c>
      <c r="F1086" s="39">
        <v>2.0</v>
      </c>
      <c r="G1086" s="38">
        <v>60000.0</v>
      </c>
      <c r="H1086" s="36">
        <f t="shared" si="113"/>
        <v>120000</v>
      </c>
      <c r="I1086" s="27"/>
      <c r="J1086" s="2"/>
      <c r="K1086" s="2"/>
    </row>
    <row r="1087">
      <c r="A1087" s="2"/>
      <c r="B1087" s="2"/>
      <c r="D1087" s="39" t="s">
        <v>695</v>
      </c>
      <c r="E1087" s="39" t="s">
        <v>133</v>
      </c>
      <c r="F1087" s="39">
        <v>65.0</v>
      </c>
      <c r="G1087" s="38">
        <v>12000.0</v>
      </c>
      <c r="H1087" s="36">
        <f t="shared" si="113"/>
        <v>780000</v>
      </c>
      <c r="I1087" s="27"/>
      <c r="J1087" s="2"/>
      <c r="K1087" s="2"/>
    </row>
    <row r="1088">
      <c r="A1088" s="2"/>
      <c r="B1088" s="2"/>
      <c r="D1088" s="39" t="s">
        <v>696</v>
      </c>
      <c r="E1088" s="39" t="s">
        <v>16</v>
      </c>
      <c r="F1088" s="39">
        <v>10.0</v>
      </c>
      <c r="G1088" s="38">
        <v>60000.0</v>
      </c>
      <c r="H1088" s="36">
        <f t="shared" si="113"/>
        <v>600000</v>
      </c>
      <c r="I1088" s="27"/>
      <c r="J1088" s="2"/>
      <c r="K1088" s="2"/>
    </row>
    <row r="1089">
      <c r="A1089" s="2"/>
      <c r="B1089" s="2"/>
      <c r="D1089" s="39" t="s">
        <v>697</v>
      </c>
      <c r="E1089" s="39" t="s">
        <v>133</v>
      </c>
      <c r="F1089" s="39">
        <v>65.0</v>
      </c>
      <c r="G1089" s="38">
        <v>12000.0</v>
      </c>
      <c r="H1089" s="36">
        <f t="shared" si="113"/>
        <v>780000</v>
      </c>
      <c r="I1089" s="41">
        <f>SUM(H1085:H1089)</f>
        <v>3240000</v>
      </c>
      <c r="J1089" s="22"/>
      <c r="K1089" s="2"/>
    </row>
    <row r="1090">
      <c r="A1090" s="2"/>
      <c r="B1090" s="2"/>
      <c r="C1090" s="31" t="s">
        <v>75</v>
      </c>
      <c r="D1090" s="39" t="s">
        <v>698</v>
      </c>
      <c r="E1090" s="32" t="s">
        <v>48</v>
      </c>
      <c r="F1090" s="32">
        <v>1.0</v>
      </c>
      <c r="G1090" s="35">
        <v>40000.0</v>
      </c>
      <c r="H1090" s="36">
        <f t="shared" si="113"/>
        <v>40000</v>
      </c>
      <c r="I1090" s="27"/>
      <c r="J1090" s="2"/>
      <c r="K1090" s="2"/>
    </row>
    <row r="1091">
      <c r="A1091" s="2"/>
      <c r="B1091" s="2"/>
      <c r="C1091" s="34"/>
      <c r="D1091" s="39" t="s">
        <v>475</v>
      </c>
      <c r="E1091" s="32" t="s">
        <v>144</v>
      </c>
      <c r="F1091" s="32">
        <v>2.0</v>
      </c>
      <c r="G1091" s="35">
        <v>14500.0</v>
      </c>
      <c r="H1091" s="36">
        <f t="shared" si="113"/>
        <v>29000</v>
      </c>
      <c r="I1091" s="27"/>
      <c r="J1091" s="2"/>
      <c r="K1091" s="2"/>
    </row>
    <row r="1092">
      <c r="A1092" s="2"/>
      <c r="B1092" s="2"/>
      <c r="C1092" s="34"/>
      <c r="D1092" s="39" t="s">
        <v>699</v>
      </c>
      <c r="E1092" s="32" t="s">
        <v>440</v>
      </c>
      <c r="F1092" s="32">
        <v>2.0</v>
      </c>
      <c r="G1092" s="35">
        <v>23500.0</v>
      </c>
      <c r="H1092" s="36">
        <f t="shared" si="113"/>
        <v>47000</v>
      </c>
      <c r="I1092" s="27"/>
      <c r="J1092" s="2"/>
      <c r="K1092" s="2"/>
    </row>
    <row r="1093">
      <c r="A1093" s="2"/>
      <c r="B1093" s="2"/>
      <c r="C1093" s="34"/>
      <c r="D1093" s="39" t="s">
        <v>700</v>
      </c>
      <c r="E1093" s="32" t="s">
        <v>144</v>
      </c>
      <c r="F1093" s="32">
        <v>1.0</v>
      </c>
      <c r="G1093" s="35">
        <v>564000.0</v>
      </c>
      <c r="H1093" s="36">
        <f t="shared" si="113"/>
        <v>564000</v>
      </c>
      <c r="I1093" s="27"/>
      <c r="J1093" s="2"/>
      <c r="K1093" s="2"/>
    </row>
    <row r="1094">
      <c r="A1094" s="2"/>
      <c r="B1094" s="2"/>
      <c r="C1094" s="31"/>
      <c r="D1094" s="39" t="s">
        <v>700</v>
      </c>
      <c r="E1094" s="32" t="s">
        <v>440</v>
      </c>
      <c r="F1094" s="32">
        <v>1.0</v>
      </c>
      <c r="G1094" s="35">
        <v>94500.0</v>
      </c>
      <c r="H1094" s="36">
        <f t="shared" si="113"/>
        <v>94500</v>
      </c>
      <c r="I1094" s="41">
        <f>SUM(H1090:H1094)</f>
        <v>774500</v>
      </c>
      <c r="J1094" s="22"/>
      <c r="K1094" s="2"/>
    </row>
    <row r="1095">
      <c r="A1095" s="2"/>
      <c r="B1095" s="2"/>
      <c r="C1095" s="31" t="s">
        <v>701</v>
      </c>
      <c r="D1095" s="39" t="s">
        <v>702</v>
      </c>
      <c r="E1095" s="32" t="s">
        <v>16</v>
      </c>
      <c r="F1095" s="32">
        <v>20.0</v>
      </c>
      <c r="G1095" s="35">
        <v>24000.0</v>
      </c>
      <c r="H1095" s="36">
        <f t="shared" si="113"/>
        <v>480000</v>
      </c>
      <c r="I1095" s="41">
        <f t="shared" ref="I1095:I1100" si="115">H1095</f>
        <v>480000</v>
      </c>
      <c r="J1095" s="22"/>
      <c r="K1095" s="2"/>
    </row>
    <row r="1096">
      <c r="A1096" s="2"/>
      <c r="B1096" s="2"/>
      <c r="C1096" s="31" t="s">
        <v>410</v>
      </c>
      <c r="D1096" s="39" t="s">
        <v>703</v>
      </c>
      <c r="E1096" s="32" t="s">
        <v>90</v>
      </c>
      <c r="F1096" s="32">
        <v>210.0</v>
      </c>
      <c r="G1096" s="35">
        <v>3500.0</v>
      </c>
      <c r="H1096" s="36">
        <f t="shared" si="113"/>
        <v>735000</v>
      </c>
      <c r="I1096" s="41">
        <f t="shared" si="115"/>
        <v>735000</v>
      </c>
      <c r="J1096" s="22"/>
      <c r="K1096" s="2"/>
    </row>
    <row r="1097">
      <c r="A1097" s="2"/>
      <c r="B1097" s="2"/>
      <c r="C1097" s="31" t="s">
        <v>147</v>
      </c>
      <c r="D1097" s="39" t="s">
        <v>74</v>
      </c>
      <c r="E1097" s="32" t="s">
        <v>16</v>
      </c>
      <c r="F1097" s="32">
        <v>150.0</v>
      </c>
      <c r="G1097" s="35">
        <v>14500.0</v>
      </c>
      <c r="H1097" s="36">
        <f t="shared" si="113"/>
        <v>2175000</v>
      </c>
      <c r="I1097" s="41">
        <f t="shared" si="115"/>
        <v>2175000</v>
      </c>
      <c r="J1097" s="22"/>
      <c r="K1097" s="2"/>
    </row>
    <row r="1098">
      <c r="A1098" s="2"/>
      <c r="B1098" s="2"/>
      <c r="C1098" s="31" t="s">
        <v>350</v>
      </c>
      <c r="D1098" s="39" t="s">
        <v>184</v>
      </c>
      <c r="E1098" s="32" t="s">
        <v>16</v>
      </c>
      <c r="F1098" s="32">
        <v>1000.0</v>
      </c>
      <c r="G1098" s="35">
        <v>24500.0</v>
      </c>
      <c r="H1098" s="36">
        <f t="shared" si="113"/>
        <v>24500000</v>
      </c>
      <c r="I1098" s="41">
        <f t="shared" si="115"/>
        <v>24500000</v>
      </c>
      <c r="J1098" s="22"/>
      <c r="K1098" s="2"/>
    </row>
    <row r="1099">
      <c r="A1099" s="2"/>
      <c r="B1099" s="2"/>
      <c r="C1099" s="31" t="s">
        <v>531</v>
      </c>
      <c r="D1099" s="39" t="s">
        <v>704</v>
      </c>
      <c r="E1099" s="32" t="s">
        <v>16</v>
      </c>
      <c r="F1099" s="32">
        <v>37.0</v>
      </c>
      <c r="G1099" s="35">
        <v>30000.0</v>
      </c>
      <c r="H1099" s="36">
        <f t="shared" si="113"/>
        <v>1110000</v>
      </c>
      <c r="I1099" s="41">
        <f t="shared" si="115"/>
        <v>1110000</v>
      </c>
      <c r="J1099" s="22"/>
      <c r="K1099" s="2"/>
    </row>
    <row r="1100">
      <c r="A1100" s="2"/>
      <c r="B1100" s="2"/>
      <c r="C1100" s="31" t="s">
        <v>127</v>
      </c>
      <c r="D1100" s="39" t="s">
        <v>128</v>
      </c>
      <c r="E1100" s="32" t="s">
        <v>16</v>
      </c>
      <c r="F1100" s="32">
        <v>65.0</v>
      </c>
      <c r="G1100" s="35">
        <v>22000.0</v>
      </c>
      <c r="H1100" s="36">
        <f t="shared" si="113"/>
        <v>1430000</v>
      </c>
      <c r="I1100" s="41">
        <f t="shared" si="115"/>
        <v>1430000</v>
      </c>
      <c r="J1100" s="22"/>
      <c r="K1100" s="2"/>
    </row>
    <row r="1101">
      <c r="A1101" s="2"/>
      <c r="B1101" s="2"/>
      <c r="C1101" s="31" t="s">
        <v>705</v>
      </c>
      <c r="D1101" s="39" t="s">
        <v>171</v>
      </c>
      <c r="E1101" s="32" t="s">
        <v>16</v>
      </c>
      <c r="F1101" s="32">
        <v>7.0</v>
      </c>
      <c r="G1101" s="35">
        <v>20000.0</v>
      </c>
      <c r="H1101" s="36">
        <f t="shared" si="113"/>
        <v>140000</v>
      </c>
      <c r="I1101" s="41"/>
      <c r="J1101" s="2"/>
      <c r="K1101" s="2"/>
    </row>
    <row r="1102">
      <c r="A1102" s="2"/>
      <c r="B1102" s="2"/>
      <c r="C1102" s="34"/>
      <c r="D1102" s="39" t="s">
        <v>706</v>
      </c>
      <c r="E1102" s="32" t="s">
        <v>16</v>
      </c>
      <c r="F1102" s="32">
        <v>5.0</v>
      </c>
      <c r="G1102" s="35">
        <v>40000.0</v>
      </c>
      <c r="H1102" s="36">
        <f t="shared" si="113"/>
        <v>200000</v>
      </c>
      <c r="I1102" s="41"/>
      <c r="J1102" s="2"/>
      <c r="K1102" s="2"/>
    </row>
    <row r="1103">
      <c r="A1103" s="2"/>
      <c r="B1103" s="2"/>
      <c r="C1103" s="34"/>
      <c r="D1103" s="39" t="s">
        <v>170</v>
      </c>
      <c r="E1103" s="32" t="s">
        <v>16</v>
      </c>
      <c r="F1103" s="32">
        <v>91.0</v>
      </c>
      <c r="G1103" s="35">
        <v>26000.0</v>
      </c>
      <c r="H1103" s="36">
        <f t="shared" si="113"/>
        <v>2366000</v>
      </c>
      <c r="I1103" s="41">
        <f>SUM(H1101:H1103)</f>
        <v>2706000</v>
      </c>
      <c r="J1103" s="22"/>
      <c r="K1103" s="2"/>
    </row>
    <row r="1104">
      <c r="A1104" s="2"/>
      <c r="B1104" s="2"/>
      <c r="C1104" s="34"/>
      <c r="D1104" s="39" t="s">
        <v>12</v>
      </c>
      <c r="E1104" s="12"/>
      <c r="F1104" s="32">
        <v>21.0</v>
      </c>
      <c r="G1104" s="35">
        <v>2500.0</v>
      </c>
      <c r="H1104" s="36">
        <f t="shared" si="113"/>
        <v>52500</v>
      </c>
      <c r="I1104" s="27"/>
      <c r="J1104" s="27">
        <f>H1104</f>
        <v>52500</v>
      </c>
      <c r="K1104" s="2"/>
    </row>
    <row r="1105">
      <c r="A1105" s="63" t="s">
        <v>707</v>
      </c>
      <c r="B1105" s="64"/>
      <c r="C1105" s="64"/>
      <c r="D1105" s="64"/>
      <c r="E1105" s="64"/>
      <c r="F1105" s="64"/>
      <c r="G1105" s="66"/>
      <c r="H1105" s="50" t="s">
        <v>11</v>
      </c>
      <c r="I1105" s="67">
        <f t="shared" ref="I1105:J1105" si="116">SUM(I1106:I1138)</f>
        <v>92859985</v>
      </c>
      <c r="J1105" s="67">
        <f t="shared" si="116"/>
        <v>36500</v>
      </c>
      <c r="K1105" s="2"/>
      <c r="L1105" s="39">
        <v>19.0</v>
      </c>
      <c r="M1105" s="39" t="s">
        <v>165</v>
      </c>
      <c r="N1105" s="40">
        <f>I1105</f>
        <v>92859985</v>
      </c>
    </row>
    <row r="1106">
      <c r="A1106" s="2"/>
      <c r="B1106" s="2"/>
      <c r="C1106" s="39" t="s">
        <v>203</v>
      </c>
      <c r="D1106" s="39" t="s">
        <v>708</v>
      </c>
      <c r="E1106" s="39" t="s">
        <v>16</v>
      </c>
      <c r="F1106" s="39">
        <v>68.0</v>
      </c>
      <c r="G1106" s="38">
        <v>51000.0</v>
      </c>
      <c r="H1106" s="36">
        <f t="shared" ref="H1106:H1138" si="117">F1106*G1106</f>
        <v>3468000</v>
      </c>
      <c r="I1106" s="41">
        <f t="shared" ref="I1106:I1107" si="118">H1106</f>
        <v>3468000</v>
      </c>
      <c r="J1106" s="22"/>
      <c r="K1106" s="22" t="s">
        <v>17</v>
      </c>
      <c r="M1106" s="39" t="s">
        <v>168</v>
      </c>
      <c r="N1106" s="40">
        <f>'Kas Fisik Oprasional'!I300</f>
        <v>18955000</v>
      </c>
    </row>
    <row r="1107">
      <c r="A1107" s="2"/>
      <c r="B1107" s="2"/>
      <c r="C1107" s="39" t="s">
        <v>210</v>
      </c>
      <c r="D1107" s="39" t="s">
        <v>709</v>
      </c>
      <c r="E1107" s="39" t="s">
        <v>90</v>
      </c>
      <c r="F1107" s="39">
        <v>138.0</v>
      </c>
      <c r="G1107" s="38">
        <v>10000.0</v>
      </c>
      <c r="H1107" s="36">
        <f t="shared" si="117"/>
        <v>1380000</v>
      </c>
      <c r="I1107" s="41">
        <f t="shared" si="118"/>
        <v>1380000</v>
      </c>
      <c r="J1107" s="22"/>
      <c r="K1107" s="22" t="s">
        <v>17</v>
      </c>
      <c r="M1107" s="39" t="s">
        <v>242</v>
      </c>
      <c r="N1107" s="40">
        <f>'list Reimburse'!I99</f>
        <v>1084000</v>
      </c>
    </row>
    <row r="1108">
      <c r="A1108" s="2"/>
      <c r="B1108" s="2"/>
      <c r="C1108" s="39" t="s">
        <v>106</v>
      </c>
      <c r="D1108" s="39" t="s">
        <v>710</v>
      </c>
      <c r="E1108" s="39" t="s">
        <v>16</v>
      </c>
      <c r="F1108" s="39">
        <v>90.0</v>
      </c>
      <c r="G1108" s="38">
        <v>34000.0</v>
      </c>
      <c r="H1108" s="36">
        <f t="shared" si="117"/>
        <v>3060000</v>
      </c>
      <c r="I1108" s="27"/>
      <c r="J1108" s="2"/>
      <c r="K1108" s="2"/>
      <c r="M1108" s="39" t="s">
        <v>345</v>
      </c>
      <c r="N1108" s="40">
        <f>'Kas Besar'!H20</f>
        <v>36700000</v>
      </c>
    </row>
    <row r="1109">
      <c r="A1109" s="2"/>
      <c r="B1109" s="2"/>
      <c r="D1109" s="39" t="s">
        <v>711</v>
      </c>
      <c r="E1109" s="39" t="s">
        <v>133</v>
      </c>
      <c r="F1109" s="39">
        <v>44.0</v>
      </c>
      <c r="G1109" s="38">
        <v>12000.0</v>
      </c>
      <c r="H1109" s="36">
        <f t="shared" si="117"/>
        <v>528000</v>
      </c>
      <c r="I1109" s="27"/>
      <c r="J1109" s="2"/>
      <c r="K1109" s="2"/>
      <c r="M1109" s="39" t="s">
        <v>12</v>
      </c>
      <c r="N1109" s="40">
        <f>J1105+'Kas Fisik Oprasional'!J300+'list Reimburse'!J99+'Kas Besar'!I27</f>
        <v>54000</v>
      </c>
    </row>
    <row r="1110">
      <c r="A1110" s="2"/>
      <c r="B1110" s="2"/>
      <c r="D1110" s="39" t="s">
        <v>712</v>
      </c>
      <c r="E1110" s="39" t="s">
        <v>133</v>
      </c>
      <c r="F1110" s="39">
        <v>105.0</v>
      </c>
      <c r="G1110" s="38">
        <v>12000.0</v>
      </c>
      <c r="H1110" s="36">
        <f t="shared" si="117"/>
        <v>1260000</v>
      </c>
      <c r="I1110" s="41">
        <f>sum(H1108:H1110)</f>
        <v>4848000</v>
      </c>
      <c r="J1110" s="22"/>
      <c r="K1110" s="22" t="s">
        <v>17</v>
      </c>
      <c r="M1110" s="42" t="s">
        <v>11</v>
      </c>
      <c r="N1110" s="40">
        <f>SUM(N1105:N1109)</f>
        <v>149652985</v>
      </c>
    </row>
    <row r="1111">
      <c r="A1111" s="2"/>
      <c r="B1111" s="2"/>
      <c r="C1111" s="39" t="s">
        <v>237</v>
      </c>
      <c r="D1111" s="39" t="s">
        <v>713</v>
      </c>
      <c r="E1111" s="39" t="s">
        <v>90</v>
      </c>
      <c r="F1111" s="39">
        <v>302.0</v>
      </c>
      <c r="G1111" s="38">
        <v>27000.0</v>
      </c>
      <c r="H1111" s="36">
        <f t="shared" si="117"/>
        <v>8154000</v>
      </c>
      <c r="I1111" s="41">
        <f t="shared" ref="I1111:I1112" si="119">H1111</f>
        <v>8154000</v>
      </c>
      <c r="J1111" s="22"/>
      <c r="K1111" s="22" t="s">
        <v>17</v>
      </c>
    </row>
    <row r="1112">
      <c r="A1112" s="2"/>
      <c r="B1112" s="2"/>
      <c r="C1112" s="39" t="s">
        <v>147</v>
      </c>
      <c r="D1112" s="39" t="s">
        <v>714</v>
      </c>
      <c r="E1112" s="39" t="s">
        <v>50</v>
      </c>
      <c r="F1112" s="39">
        <v>3140.0</v>
      </c>
      <c r="G1112" s="38">
        <v>1300.0</v>
      </c>
      <c r="H1112" s="36">
        <f t="shared" si="117"/>
        <v>4082000</v>
      </c>
      <c r="I1112" s="41">
        <f t="shared" si="119"/>
        <v>4082000</v>
      </c>
      <c r="J1112" s="22"/>
      <c r="K1112" s="22" t="s">
        <v>17</v>
      </c>
    </row>
    <row r="1113">
      <c r="A1113" s="2"/>
      <c r="B1113" s="2"/>
      <c r="C1113" s="39" t="s">
        <v>113</v>
      </c>
      <c r="D1113" s="39" t="s">
        <v>715</v>
      </c>
      <c r="E1113" s="39" t="s">
        <v>16</v>
      </c>
      <c r="F1113" s="39">
        <v>80.0</v>
      </c>
      <c r="G1113" s="38">
        <v>43000.0</v>
      </c>
      <c r="H1113" s="36">
        <f t="shared" si="117"/>
        <v>3440000</v>
      </c>
      <c r="I1113" s="27"/>
      <c r="J1113" s="2"/>
      <c r="K1113" s="2"/>
    </row>
    <row r="1114">
      <c r="A1114" s="2"/>
      <c r="B1114" s="2"/>
      <c r="D1114" s="39" t="s">
        <v>716</v>
      </c>
      <c r="E1114" s="39" t="s">
        <v>16</v>
      </c>
      <c r="F1114" s="39">
        <v>103.0</v>
      </c>
      <c r="G1114" s="38">
        <v>43000.0</v>
      </c>
      <c r="H1114" s="36">
        <f t="shared" si="117"/>
        <v>4429000</v>
      </c>
      <c r="I1114" s="41">
        <f>SUM(H1113:H1114)</f>
        <v>7869000</v>
      </c>
      <c r="J1114" s="22"/>
      <c r="K1114" s="22" t="s">
        <v>17</v>
      </c>
    </row>
    <row r="1115">
      <c r="A1115" s="2"/>
      <c r="B1115" s="2"/>
      <c r="C1115" s="39" t="s">
        <v>420</v>
      </c>
      <c r="D1115" s="39" t="s">
        <v>717</v>
      </c>
      <c r="E1115" s="39" t="s">
        <v>50</v>
      </c>
      <c r="F1115" s="39">
        <v>1694.0</v>
      </c>
      <c r="G1115" s="38">
        <v>500.0</v>
      </c>
      <c r="H1115" s="36">
        <f t="shared" si="117"/>
        <v>847000</v>
      </c>
      <c r="I1115" s="27"/>
      <c r="J1115" s="2"/>
      <c r="K1115" s="2"/>
    </row>
    <row r="1116">
      <c r="A1116" s="2"/>
      <c r="B1116" s="2"/>
      <c r="C1116" s="39" t="s">
        <v>420</v>
      </c>
      <c r="D1116" s="39" t="s">
        <v>718</v>
      </c>
      <c r="E1116" s="39" t="s">
        <v>133</v>
      </c>
      <c r="F1116" s="39">
        <v>97.0</v>
      </c>
      <c r="G1116" s="38">
        <v>12000.0</v>
      </c>
      <c r="H1116" s="36">
        <f t="shared" si="117"/>
        <v>1164000</v>
      </c>
      <c r="I1116" s="41">
        <f>SUM(H1115:H1116)</f>
        <v>2011000</v>
      </c>
      <c r="J1116" s="22"/>
      <c r="K1116" s="22" t="s">
        <v>17</v>
      </c>
    </row>
    <row r="1117">
      <c r="A1117" s="2"/>
      <c r="B1117" s="2"/>
      <c r="C1117" s="39" t="s">
        <v>122</v>
      </c>
      <c r="D1117" s="39" t="s">
        <v>719</v>
      </c>
      <c r="E1117" s="39" t="s">
        <v>16</v>
      </c>
      <c r="F1117" s="39">
        <v>250.0</v>
      </c>
      <c r="G1117" s="38">
        <v>19000.0</v>
      </c>
      <c r="H1117" s="36">
        <f t="shared" si="117"/>
        <v>4750000</v>
      </c>
      <c r="I1117" s="27"/>
      <c r="J1117" s="2"/>
      <c r="K1117" s="2"/>
    </row>
    <row r="1118">
      <c r="A1118" s="2"/>
      <c r="B1118" s="2"/>
      <c r="D1118" s="39" t="s">
        <v>720</v>
      </c>
      <c r="E1118" s="39" t="s">
        <v>201</v>
      </c>
      <c r="F1118" s="39">
        <v>20.0</v>
      </c>
      <c r="G1118" s="38">
        <v>480000.0</v>
      </c>
      <c r="H1118" s="36">
        <f t="shared" si="117"/>
        <v>9600000</v>
      </c>
      <c r="I1118" s="27"/>
      <c r="J1118" s="2"/>
      <c r="K1118" s="2"/>
    </row>
    <row r="1119">
      <c r="A1119" s="2"/>
      <c r="B1119" s="2"/>
      <c r="D1119" s="39" t="s">
        <v>721</v>
      </c>
      <c r="E1119" s="39" t="s">
        <v>16</v>
      </c>
      <c r="F1119" s="39">
        <v>150.0</v>
      </c>
      <c r="G1119" s="38">
        <v>18000.0</v>
      </c>
      <c r="H1119" s="36">
        <f t="shared" si="117"/>
        <v>2700000</v>
      </c>
      <c r="I1119" s="27"/>
      <c r="J1119" s="2"/>
      <c r="K1119" s="2"/>
    </row>
    <row r="1120">
      <c r="A1120" s="2"/>
      <c r="B1120" s="2"/>
      <c r="D1120" s="39" t="s">
        <v>722</v>
      </c>
      <c r="E1120" s="39" t="s">
        <v>186</v>
      </c>
      <c r="F1120" s="39">
        <v>9.0</v>
      </c>
      <c r="G1120" s="38">
        <v>590000.0</v>
      </c>
      <c r="H1120" s="36">
        <f t="shared" si="117"/>
        <v>5310000</v>
      </c>
      <c r="I1120" s="27"/>
      <c r="J1120" s="2"/>
      <c r="K1120" s="2"/>
    </row>
    <row r="1121">
      <c r="A1121" s="2"/>
      <c r="B1121" s="2"/>
      <c r="D1121" s="39" t="s">
        <v>723</v>
      </c>
      <c r="E1121" s="39" t="s">
        <v>16</v>
      </c>
      <c r="F1121" s="39">
        <v>182.0</v>
      </c>
      <c r="G1121" s="38">
        <v>25000.0</v>
      </c>
      <c r="H1121" s="36">
        <f t="shared" si="117"/>
        <v>4550000</v>
      </c>
      <c r="I1121" s="41">
        <f>SUM(H1117:H1121)</f>
        <v>26910000</v>
      </c>
      <c r="J1121" s="22"/>
      <c r="K1121" s="22" t="s">
        <v>17</v>
      </c>
    </row>
    <row r="1122">
      <c r="A1122" s="2"/>
      <c r="B1122" s="2"/>
      <c r="C1122" s="22" t="s">
        <v>113</v>
      </c>
      <c r="D1122" s="22" t="s">
        <v>724</v>
      </c>
      <c r="E1122" s="22" t="s">
        <v>16</v>
      </c>
      <c r="F1122" s="22">
        <v>55.0</v>
      </c>
      <c r="G1122" s="33">
        <v>43000.0</v>
      </c>
      <c r="H1122" s="27">
        <f t="shared" si="117"/>
        <v>2365000</v>
      </c>
      <c r="I1122" s="27"/>
      <c r="J1122" s="2"/>
      <c r="K1122" s="2"/>
    </row>
    <row r="1123">
      <c r="A1123" s="2"/>
      <c r="B1123" s="2"/>
      <c r="C1123" s="2"/>
      <c r="D1123" s="22" t="s">
        <v>725</v>
      </c>
      <c r="E1123" s="22" t="s">
        <v>16</v>
      </c>
      <c r="F1123" s="22">
        <v>133.0</v>
      </c>
      <c r="G1123" s="33">
        <v>32000.0</v>
      </c>
      <c r="H1123" s="27">
        <f t="shared" si="117"/>
        <v>4256000</v>
      </c>
      <c r="I1123" s="27"/>
      <c r="J1123" s="2"/>
      <c r="K1123" s="2"/>
    </row>
    <row r="1124">
      <c r="A1124" s="2"/>
      <c r="B1124" s="2"/>
      <c r="C1124" s="2"/>
      <c r="D1124" s="22" t="s">
        <v>726</v>
      </c>
      <c r="E1124" s="22" t="s">
        <v>16</v>
      </c>
      <c r="F1124" s="22">
        <v>280.0</v>
      </c>
      <c r="G1124" s="33">
        <v>29000.0</v>
      </c>
      <c r="H1124" s="27">
        <f t="shared" si="117"/>
        <v>8120000</v>
      </c>
      <c r="I1124" s="41">
        <f>SUM(H1122:H1124)</f>
        <v>14741000</v>
      </c>
      <c r="J1124" s="22"/>
      <c r="K1124" s="22" t="s">
        <v>17</v>
      </c>
    </row>
    <row r="1125">
      <c r="A1125" s="2"/>
      <c r="B1125" s="2"/>
      <c r="C1125" s="31" t="s">
        <v>122</v>
      </c>
      <c r="D1125" s="39" t="s">
        <v>727</v>
      </c>
      <c r="E1125" s="32" t="s">
        <v>90</v>
      </c>
      <c r="F1125" s="32">
        <v>171.0</v>
      </c>
      <c r="G1125" s="35">
        <v>12000.0</v>
      </c>
      <c r="H1125" s="36">
        <f t="shared" si="117"/>
        <v>2052000</v>
      </c>
      <c r="I1125" s="41">
        <f t="shared" ref="I1125:I1126" si="120">H1125</f>
        <v>2052000</v>
      </c>
      <c r="J1125" s="22"/>
      <c r="K1125" s="22" t="s">
        <v>17</v>
      </c>
    </row>
    <row r="1126">
      <c r="A1126" s="2"/>
      <c r="B1126" s="2"/>
      <c r="C1126" s="31" t="s">
        <v>728</v>
      </c>
      <c r="D1126" s="39" t="s">
        <v>729</v>
      </c>
      <c r="E1126" s="32" t="s">
        <v>16</v>
      </c>
      <c r="F1126" s="32">
        <v>1.0</v>
      </c>
      <c r="G1126" s="35">
        <v>110000.0</v>
      </c>
      <c r="H1126" s="36">
        <f t="shared" si="117"/>
        <v>110000</v>
      </c>
      <c r="I1126" s="41">
        <f t="shared" si="120"/>
        <v>110000</v>
      </c>
      <c r="J1126" s="22"/>
      <c r="K1126" s="22" t="s">
        <v>17</v>
      </c>
    </row>
    <row r="1127">
      <c r="A1127" s="2"/>
      <c r="B1127" s="2"/>
      <c r="C1127" s="31" t="s">
        <v>214</v>
      </c>
      <c r="D1127" s="39" t="s">
        <v>730</v>
      </c>
      <c r="E1127" s="32" t="s">
        <v>50</v>
      </c>
      <c r="F1127" s="32">
        <v>1531.0</v>
      </c>
      <c r="G1127" s="35">
        <v>560.0</v>
      </c>
      <c r="H1127" s="36">
        <f t="shared" si="117"/>
        <v>857360</v>
      </c>
      <c r="I1127" s="27"/>
      <c r="J1127" s="2"/>
      <c r="K1127" s="2"/>
    </row>
    <row r="1128">
      <c r="A1128" s="2"/>
      <c r="B1128" s="2"/>
      <c r="C1128" s="34"/>
      <c r="D1128" s="39" t="s">
        <v>731</v>
      </c>
      <c r="E1128" s="32" t="s">
        <v>50</v>
      </c>
      <c r="F1128" s="32">
        <v>2515.0</v>
      </c>
      <c r="G1128" s="35">
        <v>560.0</v>
      </c>
      <c r="H1128" s="36">
        <f t="shared" si="117"/>
        <v>1408400</v>
      </c>
      <c r="I1128" s="41">
        <f>SUM(H1127:H1128)</f>
        <v>2265760</v>
      </c>
      <c r="J1128" s="22"/>
      <c r="K1128" s="22" t="s">
        <v>17</v>
      </c>
    </row>
    <row r="1129">
      <c r="A1129" s="2"/>
      <c r="B1129" s="2"/>
      <c r="C1129" s="39" t="s">
        <v>637</v>
      </c>
      <c r="D1129" s="39" t="s">
        <v>732</v>
      </c>
      <c r="E1129" s="39" t="s">
        <v>50</v>
      </c>
      <c r="F1129" s="39">
        <v>120.0</v>
      </c>
      <c r="G1129" s="38">
        <v>1650.0</v>
      </c>
      <c r="H1129" s="36">
        <f t="shared" si="117"/>
        <v>198000</v>
      </c>
      <c r="I1129" s="27"/>
      <c r="J1129" s="2"/>
      <c r="K1129" s="2"/>
    </row>
    <row r="1130">
      <c r="A1130" s="2"/>
      <c r="B1130" s="2"/>
      <c r="D1130" s="39" t="s">
        <v>733</v>
      </c>
      <c r="E1130" s="39" t="s">
        <v>16</v>
      </c>
      <c r="F1130" s="39">
        <v>158.95</v>
      </c>
      <c r="G1130" s="38">
        <v>15500.0</v>
      </c>
      <c r="H1130" s="36">
        <f t="shared" si="117"/>
        <v>2463725</v>
      </c>
      <c r="I1130" s="27"/>
      <c r="J1130" s="2"/>
      <c r="K1130" s="2"/>
    </row>
    <row r="1131">
      <c r="A1131" s="2"/>
      <c r="B1131" s="2"/>
      <c r="C1131" s="39" t="s">
        <v>637</v>
      </c>
      <c r="D1131" s="39" t="s">
        <v>734</v>
      </c>
      <c r="E1131" s="39" t="s">
        <v>16</v>
      </c>
      <c r="F1131" s="39">
        <v>144.0</v>
      </c>
      <c r="G1131" s="38">
        <v>15500.0</v>
      </c>
      <c r="H1131" s="36">
        <f t="shared" si="117"/>
        <v>2232000</v>
      </c>
      <c r="I1131" s="27"/>
      <c r="J1131" s="2"/>
      <c r="K1131" s="2"/>
    </row>
    <row r="1132">
      <c r="A1132" s="2"/>
      <c r="B1132" s="2"/>
      <c r="C1132" s="39" t="s">
        <v>637</v>
      </c>
      <c r="D1132" s="39" t="s">
        <v>735</v>
      </c>
      <c r="E1132" s="39" t="s">
        <v>50</v>
      </c>
      <c r="F1132" s="39">
        <v>1694.0</v>
      </c>
      <c r="G1132" s="38">
        <v>1650.0</v>
      </c>
      <c r="H1132" s="36">
        <f t="shared" si="117"/>
        <v>2795100</v>
      </c>
      <c r="I1132" s="27"/>
      <c r="J1132" s="2"/>
      <c r="K1132" s="2"/>
    </row>
    <row r="1133">
      <c r="A1133" s="2"/>
      <c r="B1133" s="2"/>
      <c r="C1133" s="39"/>
      <c r="D1133" s="39" t="s">
        <v>736</v>
      </c>
      <c r="E1133" s="39" t="s">
        <v>16</v>
      </c>
      <c r="F1133" s="39">
        <v>31.0</v>
      </c>
      <c r="G1133" s="38">
        <v>26500.0</v>
      </c>
      <c r="H1133" s="36">
        <f t="shared" si="117"/>
        <v>821500</v>
      </c>
      <c r="I1133" s="27"/>
      <c r="J1133" s="2"/>
      <c r="K1133" s="2"/>
    </row>
    <row r="1134">
      <c r="A1134" s="2"/>
      <c r="B1134" s="2"/>
      <c r="C1134" s="39"/>
      <c r="D1134" s="39" t="s">
        <v>737</v>
      </c>
      <c r="E1134" s="39" t="s">
        <v>16</v>
      </c>
      <c r="F1134" s="39">
        <v>139.0</v>
      </c>
      <c r="G1134" s="38">
        <v>26500.0</v>
      </c>
      <c r="H1134" s="36">
        <f t="shared" si="117"/>
        <v>3683500</v>
      </c>
      <c r="I1134" s="27"/>
      <c r="J1134" s="2"/>
      <c r="K1134" s="2"/>
    </row>
    <row r="1135">
      <c r="A1135" s="2"/>
      <c r="B1135" s="2"/>
      <c r="C1135" s="39" t="s">
        <v>637</v>
      </c>
      <c r="D1135" s="39" t="s">
        <v>738</v>
      </c>
      <c r="E1135" s="39" t="s">
        <v>16</v>
      </c>
      <c r="F1135" s="39">
        <v>113.4</v>
      </c>
      <c r="G1135" s="38">
        <v>16000.0</v>
      </c>
      <c r="H1135" s="36">
        <f t="shared" si="117"/>
        <v>1814400</v>
      </c>
      <c r="I1135" s="27"/>
      <c r="J1135" s="2"/>
      <c r="K1135" s="2"/>
    </row>
    <row r="1136">
      <c r="A1136" s="2"/>
      <c r="B1136" s="2"/>
      <c r="C1136" s="39"/>
      <c r="D1136" s="39" t="s">
        <v>739</v>
      </c>
      <c r="E1136" s="39" t="s">
        <v>16</v>
      </c>
      <c r="F1136" s="39">
        <v>62.0</v>
      </c>
      <c r="G1136" s="38">
        <v>15500.0</v>
      </c>
      <c r="H1136" s="36">
        <f t="shared" si="117"/>
        <v>961000</v>
      </c>
      <c r="I1136" s="41">
        <f>SUM(H1129:H1136)</f>
        <v>14969225</v>
      </c>
      <c r="J1136" s="22"/>
      <c r="K1136" s="22" t="s">
        <v>17</v>
      </c>
    </row>
    <row r="1137">
      <c r="A1137" s="2"/>
      <c r="B1137" s="2"/>
      <c r="C1137" s="34"/>
      <c r="D1137" s="39" t="s">
        <v>12</v>
      </c>
      <c r="E1137" s="12"/>
      <c r="F1137" s="32">
        <v>12.0</v>
      </c>
      <c r="G1137" s="35">
        <v>2500.0</v>
      </c>
      <c r="H1137" s="36">
        <f t="shared" si="117"/>
        <v>30000</v>
      </c>
      <c r="I1137" s="27"/>
      <c r="J1137" s="27">
        <f t="shared" ref="J1137:J1138" si="121">H1137</f>
        <v>30000</v>
      </c>
      <c r="K1137" s="2"/>
    </row>
    <row r="1138">
      <c r="A1138" s="2"/>
      <c r="B1138" s="2"/>
      <c r="C1138" s="34"/>
      <c r="D1138" s="39" t="s">
        <v>12</v>
      </c>
      <c r="E1138" s="12"/>
      <c r="F1138" s="32">
        <v>1.0</v>
      </c>
      <c r="G1138" s="35">
        <v>6500.0</v>
      </c>
      <c r="H1138" s="36">
        <f t="shared" si="117"/>
        <v>6500</v>
      </c>
      <c r="I1138" s="27"/>
      <c r="J1138" s="27">
        <f t="shared" si="121"/>
        <v>6500</v>
      </c>
      <c r="K1138" s="2"/>
    </row>
    <row r="1139">
      <c r="A1139" s="63" t="s">
        <v>740</v>
      </c>
      <c r="B1139" s="64"/>
      <c r="C1139" s="64"/>
      <c r="D1139" s="64"/>
      <c r="E1139" s="64"/>
      <c r="F1139" s="64"/>
      <c r="G1139" s="66"/>
      <c r="H1139" s="50" t="s">
        <v>11</v>
      </c>
      <c r="I1139" s="67">
        <f t="shared" ref="I1139:J1139" si="122">SUM(I1140:I1176)</f>
        <v>0</v>
      </c>
      <c r="J1139" s="67">
        <f t="shared" si="122"/>
        <v>0</v>
      </c>
      <c r="K1139" s="2"/>
    </row>
    <row r="1140">
      <c r="A1140" s="2"/>
      <c r="B1140" s="2"/>
      <c r="C1140" s="34"/>
      <c r="E1140" s="12"/>
      <c r="F1140" s="12"/>
      <c r="G1140" s="36"/>
      <c r="H1140" s="36"/>
      <c r="I1140" s="27"/>
      <c r="J1140" s="2"/>
      <c r="K1140" s="2"/>
    </row>
    <row r="1141">
      <c r="A1141" s="2"/>
      <c r="B1141" s="2"/>
      <c r="C1141" s="34"/>
      <c r="E1141" s="12"/>
      <c r="F1141" s="12"/>
      <c r="G1141" s="36"/>
      <c r="H1141" s="36"/>
      <c r="I1141" s="27"/>
      <c r="J1141" s="2"/>
      <c r="K1141" s="2"/>
    </row>
    <row r="1142">
      <c r="A1142" s="2"/>
      <c r="B1142" s="2"/>
      <c r="C1142" s="34"/>
      <c r="E1142" s="12"/>
      <c r="F1142" s="12"/>
      <c r="G1142" s="36"/>
      <c r="H1142" s="36"/>
      <c r="I1142" s="27"/>
      <c r="J1142" s="2"/>
      <c r="K1142" s="2"/>
    </row>
    <row r="1143">
      <c r="A1143" s="2"/>
      <c r="B1143" s="2"/>
      <c r="C1143" s="34"/>
      <c r="E1143" s="12"/>
      <c r="F1143" s="12"/>
      <c r="G1143" s="36"/>
      <c r="H1143" s="36"/>
      <c r="I1143" s="27"/>
      <c r="J1143" s="2"/>
      <c r="K1143" s="2"/>
    </row>
    <row r="1144">
      <c r="A1144" s="2"/>
      <c r="B1144" s="2"/>
      <c r="C1144" s="34"/>
      <c r="E1144" s="12"/>
      <c r="F1144" s="12"/>
      <c r="G1144" s="36"/>
      <c r="H1144" s="36"/>
      <c r="I1144" s="27"/>
      <c r="J1144" s="2"/>
      <c r="K1144" s="2"/>
    </row>
    <row r="1145">
      <c r="A1145" s="2"/>
      <c r="B1145" s="2"/>
      <c r="C1145" s="34"/>
      <c r="E1145" s="12"/>
      <c r="F1145" s="12"/>
      <c r="G1145" s="36"/>
      <c r="H1145" s="36"/>
      <c r="I1145" s="27"/>
      <c r="J1145" s="2"/>
      <c r="K1145" s="2"/>
    </row>
    <row r="1146">
      <c r="A1146" s="2"/>
      <c r="B1146" s="2"/>
      <c r="C1146" s="34"/>
      <c r="E1146" s="12"/>
      <c r="F1146" s="12"/>
      <c r="G1146" s="36"/>
      <c r="H1146" s="36"/>
      <c r="I1146" s="27"/>
      <c r="J1146" s="2"/>
      <c r="K1146" s="2"/>
    </row>
    <row r="1147">
      <c r="A1147" s="2"/>
      <c r="B1147" s="2"/>
      <c r="C1147" s="34"/>
      <c r="E1147" s="12"/>
      <c r="F1147" s="12"/>
      <c r="G1147" s="36"/>
      <c r="H1147" s="36"/>
      <c r="I1147" s="27"/>
      <c r="J1147" s="2"/>
      <c r="K1147" s="2"/>
    </row>
    <row r="1148">
      <c r="A1148" s="2"/>
      <c r="B1148" s="2"/>
      <c r="C1148" s="34"/>
      <c r="E1148" s="12"/>
      <c r="F1148" s="12"/>
      <c r="G1148" s="36"/>
      <c r="H1148" s="36"/>
      <c r="I1148" s="27"/>
      <c r="J1148" s="2"/>
      <c r="K1148" s="2"/>
    </row>
    <row r="1149">
      <c r="A1149" s="2"/>
      <c r="B1149" s="2"/>
      <c r="C1149" s="34"/>
      <c r="E1149" s="12"/>
      <c r="F1149" s="12"/>
      <c r="G1149" s="36"/>
      <c r="H1149" s="36"/>
      <c r="I1149" s="27"/>
      <c r="J1149" s="2"/>
      <c r="K1149" s="2"/>
    </row>
    <row r="1150">
      <c r="A1150" s="2"/>
      <c r="B1150" s="2"/>
      <c r="C1150" s="34"/>
      <c r="E1150" s="12"/>
      <c r="F1150" s="12"/>
      <c r="G1150" s="36"/>
      <c r="H1150" s="36"/>
      <c r="I1150" s="27"/>
      <c r="J1150" s="2"/>
      <c r="K1150" s="2"/>
    </row>
    <row r="1151">
      <c r="A1151" s="2"/>
      <c r="B1151" s="2"/>
      <c r="C1151" s="34"/>
      <c r="E1151" s="12"/>
      <c r="F1151" s="12"/>
      <c r="G1151" s="36"/>
      <c r="H1151" s="36"/>
      <c r="I1151" s="27"/>
      <c r="J1151" s="2"/>
      <c r="K1151" s="2"/>
    </row>
    <row r="1152">
      <c r="A1152" s="2"/>
      <c r="B1152" s="2"/>
      <c r="C1152" s="34"/>
      <c r="E1152" s="12"/>
      <c r="F1152" s="12"/>
      <c r="G1152" s="36"/>
      <c r="H1152" s="36"/>
      <c r="I1152" s="27"/>
      <c r="J1152" s="2"/>
      <c r="K1152" s="2"/>
    </row>
    <row r="1153">
      <c r="A1153" s="2"/>
      <c r="B1153" s="2"/>
      <c r="C1153" s="34"/>
      <c r="E1153" s="12"/>
      <c r="F1153" s="12"/>
      <c r="G1153" s="36"/>
      <c r="H1153" s="36"/>
      <c r="I1153" s="27"/>
      <c r="J1153" s="2"/>
      <c r="K1153" s="2"/>
    </row>
    <row r="1154">
      <c r="A1154" s="2"/>
      <c r="B1154" s="2"/>
      <c r="C1154" s="34"/>
      <c r="E1154" s="12"/>
      <c r="F1154" s="12"/>
      <c r="G1154" s="36"/>
      <c r="H1154" s="36"/>
      <c r="I1154" s="27"/>
      <c r="J1154" s="2"/>
      <c r="K1154" s="2"/>
    </row>
    <row r="1155">
      <c r="A1155" s="2"/>
      <c r="B1155" s="2"/>
      <c r="C1155" s="34"/>
      <c r="E1155" s="12"/>
      <c r="F1155" s="12"/>
      <c r="G1155" s="36"/>
      <c r="H1155" s="36"/>
      <c r="I1155" s="27"/>
      <c r="J1155" s="2"/>
      <c r="K1155" s="2"/>
    </row>
    <row r="1156">
      <c r="A1156" s="2"/>
      <c r="B1156" s="2"/>
      <c r="C1156" s="34"/>
      <c r="E1156" s="12"/>
      <c r="F1156" s="12"/>
      <c r="G1156" s="36"/>
      <c r="H1156" s="36"/>
      <c r="I1156" s="27"/>
      <c r="J1156" s="2"/>
      <c r="K1156" s="2"/>
    </row>
    <row r="1157">
      <c r="A1157" s="2"/>
      <c r="B1157" s="2"/>
      <c r="C1157" s="34"/>
      <c r="E1157" s="12"/>
      <c r="F1157" s="12"/>
      <c r="G1157" s="36"/>
      <c r="H1157" s="36"/>
      <c r="I1157" s="27"/>
      <c r="J1157" s="2"/>
      <c r="K1157" s="2"/>
    </row>
    <row r="1158">
      <c r="A1158" s="2"/>
      <c r="B1158" s="2"/>
      <c r="C1158" s="34"/>
      <c r="E1158" s="12"/>
      <c r="F1158" s="12"/>
      <c r="G1158" s="36"/>
      <c r="H1158" s="36"/>
      <c r="I1158" s="27"/>
      <c r="J1158" s="2"/>
      <c r="K1158" s="2"/>
    </row>
    <row r="1159">
      <c r="A1159" s="2"/>
      <c r="B1159" s="2"/>
      <c r="C1159" s="34"/>
      <c r="E1159" s="12"/>
      <c r="F1159" s="12"/>
      <c r="G1159" s="36"/>
      <c r="H1159" s="36"/>
      <c r="I1159" s="27"/>
      <c r="J1159" s="2"/>
      <c r="K1159" s="2"/>
    </row>
    <row r="1160">
      <c r="A1160" s="2"/>
      <c r="B1160" s="2"/>
      <c r="C1160" s="34"/>
      <c r="E1160" s="12"/>
      <c r="F1160" s="12"/>
      <c r="G1160" s="36"/>
      <c r="H1160" s="36"/>
      <c r="I1160" s="27"/>
      <c r="J1160" s="2"/>
      <c r="K1160" s="2"/>
    </row>
    <row r="1161">
      <c r="A1161" s="2"/>
      <c r="B1161" s="2"/>
      <c r="C1161" s="34"/>
      <c r="E1161" s="12"/>
      <c r="F1161" s="12"/>
      <c r="G1161" s="36"/>
      <c r="H1161" s="36"/>
      <c r="I1161" s="27"/>
      <c r="J1161" s="2"/>
      <c r="K1161" s="2"/>
    </row>
    <row r="1162">
      <c r="A1162" s="2"/>
      <c r="B1162" s="2"/>
      <c r="C1162" s="34"/>
      <c r="E1162" s="12"/>
      <c r="F1162" s="12"/>
      <c r="G1162" s="36"/>
      <c r="H1162" s="36"/>
      <c r="I1162" s="27"/>
      <c r="J1162" s="2"/>
      <c r="K1162" s="2"/>
    </row>
    <row r="1163">
      <c r="A1163" s="2"/>
      <c r="B1163" s="2"/>
      <c r="C1163" s="34"/>
      <c r="E1163" s="12"/>
      <c r="F1163" s="12"/>
      <c r="G1163" s="36"/>
      <c r="H1163" s="36"/>
      <c r="I1163" s="27"/>
      <c r="J1163" s="2"/>
      <c r="K1163" s="2"/>
    </row>
    <row r="1164">
      <c r="A1164" s="2"/>
      <c r="B1164" s="2"/>
      <c r="C1164" s="34"/>
      <c r="E1164" s="12"/>
      <c r="F1164" s="12"/>
      <c r="G1164" s="36"/>
      <c r="H1164" s="36"/>
      <c r="I1164" s="27"/>
      <c r="J1164" s="2"/>
      <c r="K1164" s="2"/>
    </row>
    <row r="1165">
      <c r="A1165" s="2"/>
      <c r="B1165" s="2"/>
      <c r="C1165" s="34"/>
      <c r="E1165" s="12"/>
      <c r="F1165" s="12"/>
      <c r="G1165" s="36"/>
      <c r="H1165" s="36"/>
      <c r="I1165" s="27"/>
      <c r="J1165" s="2"/>
      <c r="K1165" s="2"/>
    </row>
    <row r="1166">
      <c r="A1166" s="2"/>
      <c r="B1166" s="2"/>
      <c r="C1166" s="34"/>
      <c r="E1166" s="12"/>
      <c r="F1166" s="12"/>
      <c r="G1166" s="36"/>
      <c r="H1166" s="36"/>
      <c r="I1166" s="27"/>
      <c r="J1166" s="2"/>
      <c r="K1166" s="2"/>
    </row>
    <row r="1167">
      <c r="A1167" s="2"/>
      <c r="B1167" s="2"/>
      <c r="C1167" s="34"/>
      <c r="E1167" s="12"/>
      <c r="F1167" s="12"/>
      <c r="G1167" s="36"/>
      <c r="H1167" s="36"/>
      <c r="I1167" s="27"/>
      <c r="J1167" s="2"/>
      <c r="K1167" s="2"/>
    </row>
    <row r="1168">
      <c r="A1168" s="2"/>
      <c r="B1168" s="2"/>
      <c r="C1168" s="34"/>
      <c r="E1168" s="12"/>
      <c r="F1168" s="12"/>
      <c r="G1168" s="36"/>
      <c r="H1168" s="36"/>
      <c r="I1168" s="27"/>
      <c r="J1168" s="2"/>
      <c r="K1168" s="2"/>
    </row>
    <row r="1169">
      <c r="A1169" s="2"/>
      <c r="B1169" s="2"/>
      <c r="C1169" s="34"/>
      <c r="E1169" s="12"/>
      <c r="F1169" s="12"/>
      <c r="G1169" s="36"/>
      <c r="H1169" s="36"/>
      <c r="I1169" s="27"/>
      <c r="J1169" s="2"/>
      <c r="K1169" s="2"/>
    </row>
    <row r="1170">
      <c r="A1170" s="2"/>
      <c r="B1170" s="2"/>
      <c r="C1170" s="34"/>
      <c r="E1170" s="12"/>
      <c r="F1170" s="12"/>
      <c r="G1170" s="36"/>
      <c r="H1170" s="36"/>
      <c r="I1170" s="27"/>
      <c r="J1170" s="2"/>
      <c r="K1170" s="2"/>
    </row>
    <row r="1171">
      <c r="A1171" s="2"/>
      <c r="B1171" s="2"/>
      <c r="C1171" s="34"/>
      <c r="E1171" s="12"/>
      <c r="F1171" s="12"/>
      <c r="G1171" s="36"/>
      <c r="H1171" s="36"/>
      <c r="I1171" s="27"/>
      <c r="J1171" s="2"/>
      <c r="K1171" s="2"/>
    </row>
    <row r="1172">
      <c r="A1172" s="2"/>
      <c r="B1172" s="2"/>
      <c r="C1172" s="34"/>
      <c r="E1172" s="12"/>
      <c r="F1172" s="12"/>
      <c r="G1172" s="36"/>
      <c r="H1172" s="36"/>
      <c r="I1172" s="27"/>
      <c r="J1172" s="2"/>
      <c r="K1172" s="2"/>
    </row>
    <row r="1173">
      <c r="A1173" s="2"/>
      <c r="B1173" s="2"/>
      <c r="C1173" s="34"/>
      <c r="E1173" s="12"/>
      <c r="F1173" s="12"/>
      <c r="G1173" s="36"/>
      <c r="H1173" s="36"/>
      <c r="I1173" s="27"/>
      <c r="J1173" s="2"/>
      <c r="K1173" s="2"/>
    </row>
    <row r="1174">
      <c r="A1174" s="2"/>
      <c r="B1174" s="2"/>
      <c r="C1174" s="34"/>
      <c r="E1174" s="12"/>
      <c r="F1174" s="12"/>
      <c r="G1174" s="36"/>
      <c r="H1174" s="36"/>
      <c r="I1174" s="27"/>
      <c r="J1174" s="2"/>
      <c r="K1174" s="2"/>
    </row>
    <row r="1175">
      <c r="A1175" s="2"/>
      <c r="B1175" s="2"/>
      <c r="C1175" s="34"/>
      <c r="E1175" s="12"/>
      <c r="F1175" s="12"/>
      <c r="G1175" s="36"/>
      <c r="H1175" s="36"/>
      <c r="I1175" s="27"/>
      <c r="J1175" s="2"/>
      <c r="K1175" s="2"/>
    </row>
    <row r="1176">
      <c r="A1176" s="2"/>
      <c r="B1176" s="2"/>
      <c r="C1176" s="34"/>
      <c r="E1176" s="12"/>
      <c r="F1176" s="12"/>
      <c r="G1176" s="36"/>
      <c r="H1176" s="36"/>
      <c r="I1176" s="27"/>
      <c r="J1176" s="2"/>
      <c r="K1176" s="2"/>
    </row>
    <row r="1177">
      <c r="A1177" s="2"/>
      <c r="B1177" s="2"/>
      <c r="C1177" s="34"/>
      <c r="E1177" s="12"/>
      <c r="F1177" s="12"/>
      <c r="G1177" s="36"/>
      <c r="H1177" s="36"/>
      <c r="I1177" s="27"/>
      <c r="J1177" s="2"/>
      <c r="K1177" s="2"/>
    </row>
    <row r="1178">
      <c r="A1178" s="2"/>
      <c r="B1178" s="2"/>
      <c r="C1178" s="34"/>
      <c r="E1178" s="12"/>
      <c r="F1178" s="12"/>
      <c r="G1178" s="36"/>
      <c r="H1178" s="36"/>
      <c r="I1178" s="27"/>
      <c r="J1178" s="2"/>
      <c r="K1178" s="2"/>
    </row>
    <row r="1179">
      <c r="A1179" s="2"/>
      <c r="B1179" s="2"/>
      <c r="C1179" s="34"/>
      <c r="E1179" s="12"/>
      <c r="F1179" s="12"/>
      <c r="G1179" s="36"/>
      <c r="H1179" s="36"/>
      <c r="I1179" s="27"/>
      <c r="J1179" s="2"/>
      <c r="K1179" s="2"/>
    </row>
    <row r="1180">
      <c r="A1180" s="2"/>
      <c r="B1180" s="2"/>
      <c r="C1180" s="34"/>
      <c r="E1180" s="12"/>
      <c r="F1180" s="12"/>
      <c r="G1180" s="36"/>
      <c r="H1180" s="36"/>
      <c r="I1180" s="27"/>
      <c r="J1180" s="2"/>
      <c r="K1180" s="2"/>
    </row>
    <row r="1181">
      <c r="A1181" s="2"/>
      <c r="B1181" s="2"/>
      <c r="C1181" s="34"/>
      <c r="E1181" s="12"/>
      <c r="F1181" s="12"/>
      <c r="G1181" s="36"/>
      <c r="H1181" s="36"/>
      <c r="I1181" s="27"/>
      <c r="J1181" s="2"/>
      <c r="K1181" s="2"/>
    </row>
    <row r="1182">
      <c r="A1182" s="2"/>
      <c r="B1182" s="2"/>
      <c r="C1182" s="34"/>
      <c r="E1182" s="12"/>
      <c r="F1182" s="12"/>
      <c r="G1182" s="36"/>
      <c r="H1182" s="36"/>
      <c r="I1182" s="27"/>
      <c r="J1182" s="2"/>
      <c r="K1182" s="2"/>
    </row>
    <row r="1183">
      <c r="A1183" s="2"/>
      <c r="B1183" s="2"/>
      <c r="C1183" s="34"/>
      <c r="E1183" s="12"/>
      <c r="F1183" s="12"/>
      <c r="G1183" s="36"/>
      <c r="H1183" s="36"/>
      <c r="I1183" s="27"/>
      <c r="J1183" s="2"/>
      <c r="K1183" s="2"/>
    </row>
    <row r="1184">
      <c r="A1184" s="2"/>
      <c r="B1184" s="2"/>
      <c r="C1184" s="34"/>
      <c r="E1184" s="12"/>
      <c r="F1184" s="12"/>
      <c r="G1184" s="36"/>
      <c r="H1184" s="36"/>
      <c r="I1184" s="27"/>
      <c r="J1184" s="2"/>
      <c r="K1184" s="2"/>
    </row>
    <row r="1185">
      <c r="A1185" s="2"/>
      <c r="B1185" s="2"/>
      <c r="C1185" s="34"/>
      <c r="E1185" s="12"/>
      <c r="F1185" s="12"/>
      <c r="G1185" s="36"/>
      <c r="H1185" s="36"/>
      <c r="I1185" s="27"/>
      <c r="J1185" s="2"/>
      <c r="K1185" s="2"/>
    </row>
    <row r="1186">
      <c r="A1186" s="2"/>
      <c r="B1186" s="2"/>
      <c r="C1186" s="34"/>
      <c r="E1186" s="12"/>
      <c r="F1186" s="12"/>
      <c r="G1186" s="36"/>
      <c r="H1186" s="36"/>
      <c r="I1186" s="27"/>
      <c r="J1186" s="2"/>
      <c r="K1186" s="2"/>
    </row>
    <row r="1187">
      <c r="A1187" s="2"/>
      <c r="B1187" s="2"/>
      <c r="C1187" s="34"/>
      <c r="E1187" s="12"/>
      <c r="F1187" s="12"/>
      <c r="G1187" s="36"/>
      <c r="H1187" s="36"/>
      <c r="I1187" s="27"/>
      <c r="J1187" s="2"/>
      <c r="K1187" s="2"/>
    </row>
    <row r="1188">
      <c r="A1188" s="2"/>
      <c r="B1188" s="2"/>
      <c r="C1188" s="34"/>
      <c r="E1188" s="12"/>
      <c r="F1188" s="12"/>
      <c r="G1188" s="36"/>
      <c r="H1188" s="36"/>
      <c r="I1188" s="27"/>
      <c r="J1188" s="2"/>
      <c r="K1188" s="2"/>
    </row>
    <row r="1189">
      <c r="A1189" s="2"/>
      <c r="B1189" s="2"/>
      <c r="C1189" s="34"/>
      <c r="E1189" s="12"/>
      <c r="F1189" s="12"/>
      <c r="G1189" s="36"/>
      <c r="H1189" s="36"/>
      <c r="I1189" s="27"/>
      <c r="J1189" s="2"/>
      <c r="K1189" s="2"/>
    </row>
    <row r="1190">
      <c r="A1190" s="2"/>
      <c r="B1190" s="2"/>
      <c r="C1190" s="34"/>
      <c r="E1190" s="12"/>
      <c r="F1190" s="12"/>
      <c r="G1190" s="36"/>
      <c r="H1190" s="36"/>
      <c r="I1190" s="27"/>
      <c r="J1190" s="2"/>
      <c r="K1190" s="2"/>
    </row>
    <row r="1191">
      <c r="A1191" s="2"/>
      <c r="B1191" s="2"/>
      <c r="C1191" s="34"/>
      <c r="E1191" s="12"/>
      <c r="F1191" s="12"/>
      <c r="G1191" s="36"/>
      <c r="H1191" s="36"/>
      <c r="I1191" s="27"/>
      <c r="J1191" s="2"/>
      <c r="K1191" s="2"/>
    </row>
    <row r="1192">
      <c r="A1192" s="2"/>
      <c r="B1192" s="2"/>
      <c r="C1192" s="34"/>
      <c r="E1192" s="12"/>
      <c r="F1192" s="12"/>
      <c r="G1192" s="36"/>
      <c r="H1192" s="36"/>
      <c r="I1192" s="27"/>
      <c r="J1192" s="2"/>
      <c r="K1192" s="2"/>
    </row>
    <row r="1193">
      <c r="A1193" s="2"/>
      <c r="B1193" s="2"/>
      <c r="C1193" s="34"/>
      <c r="E1193" s="12"/>
      <c r="F1193" s="12"/>
      <c r="G1193" s="36"/>
      <c r="H1193" s="36"/>
      <c r="I1193" s="27"/>
      <c r="J1193" s="2"/>
      <c r="K1193" s="2"/>
    </row>
    <row r="1194">
      <c r="A1194" s="2"/>
      <c r="B1194" s="2"/>
      <c r="C1194" s="34"/>
      <c r="E1194" s="12"/>
      <c r="F1194" s="12"/>
      <c r="G1194" s="36"/>
      <c r="H1194" s="36"/>
      <c r="I1194" s="27"/>
      <c r="J1194" s="2"/>
      <c r="K1194" s="2"/>
    </row>
    <row r="1195">
      <c r="A1195" s="2"/>
      <c r="B1195" s="2"/>
      <c r="C1195" s="34"/>
      <c r="E1195" s="12"/>
      <c r="F1195" s="12"/>
      <c r="G1195" s="36"/>
      <c r="H1195" s="36"/>
      <c r="I1195" s="27"/>
      <c r="J1195" s="2"/>
      <c r="K1195" s="2"/>
    </row>
    <row r="1196">
      <c r="A1196" s="2"/>
      <c r="B1196" s="2"/>
      <c r="C1196" s="34"/>
      <c r="E1196" s="12"/>
      <c r="F1196" s="12"/>
      <c r="G1196" s="36"/>
      <c r="H1196" s="36"/>
      <c r="I1196" s="27"/>
      <c r="J1196" s="2"/>
      <c r="K1196" s="2"/>
    </row>
    <row r="1197">
      <c r="A1197" s="2"/>
      <c r="B1197" s="2"/>
      <c r="C1197" s="34"/>
      <c r="E1197" s="12"/>
      <c r="F1197" s="12"/>
      <c r="G1197" s="36"/>
      <c r="H1197" s="36"/>
      <c r="I1197" s="27"/>
      <c r="J1197" s="2"/>
      <c r="K1197" s="2"/>
    </row>
    <row r="1198">
      <c r="A1198" s="2"/>
      <c r="B1198" s="2"/>
      <c r="C1198" s="34"/>
      <c r="E1198" s="12"/>
      <c r="F1198" s="12"/>
      <c r="G1198" s="36"/>
      <c r="H1198" s="36"/>
      <c r="I1198" s="27"/>
      <c r="J1198" s="2"/>
      <c r="K1198" s="2"/>
    </row>
    <row r="1199">
      <c r="A1199" s="2"/>
      <c r="B1199" s="2"/>
      <c r="C1199" s="34"/>
      <c r="E1199" s="12"/>
      <c r="F1199" s="12"/>
      <c r="G1199" s="36"/>
      <c r="H1199" s="36"/>
      <c r="I1199" s="27"/>
      <c r="J1199" s="2"/>
      <c r="K1199" s="2"/>
    </row>
    <row r="1200">
      <c r="A1200" s="2"/>
      <c r="B1200" s="2"/>
      <c r="C1200" s="34"/>
      <c r="E1200" s="12"/>
      <c r="F1200" s="12"/>
      <c r="G1200" s="36"/>
      <c r="H1200" s="36"/>
      <c r="I1200" s="27"/>
      <c r="J1200" s="2"/>
      <c r="K1200" s="2"/>
    </row>
    <row r="1201">
      <c r="A1201" s="2"/>
      <c r="B1201" s="2"/>
      <c r="C1201" s="34"/>
      <c r="E1201" s="12"/>
      <c r="F1201" s="12"/>
      <c r="G1201" s="36"/>
      <c r="H1201" s="36"/>
      <c r="I1201" s="27"/>
      <c r="J1201" s="2"/>
      <c r="K1201" s="2"/>
    </row>
    <row r="1202">
      <c r="A1202" s="2"/>
      <c r="B1202" s="2"/>
      <c r="C1202" s="34"/>
      <c r="E1202" s="12"/>
      <c r="F1202" s="12"/>
      <c r="G1202" s="36"/>
      <c r="H1202" s="36"/>
      <c r="I1202" s="27"/>
      <c r="J1202" s="2"/>
      <c r="K1202" s="2"/>
    </row>
    <row r="1203">
      <c r="A1203" s="2"/>
      <c r="B1203" s="2"/>
      <c r="C1203" s="34"/>
      <c r="E1203" s="12"/>
      <c r="F1203" s="12"/>
      <c r="G1203" s="36"/>
      <c r="H1203" s="36"/>
      <c r="I1203" s="27"/>
      <c r="J1203" s="2"/>
      <c r="K1203" s="2"/>
    </row>
    <row r="1204">
      <c r="A1204" s="2"/>
      <c r="B1204" s="2"/>
      <c r="C1204" s="34"/>
      <c r="E1204" s="12"/>
      <c r="F1204" s="12"/>
      <c r="G1204" s="36"/>
      <c r="H1204" s="36"/>
      <c r="I1204" s="27"/>
      <c r="J1204" s="2"/>
      <c r="K1204" s="2"/>
    </row>
    <row r="1205">
      <c r="A1205" s="2"/>
      <c r="B1205" s="2"/>
      <c r="C1205" s="34"/>
      <c r="E1205" s="12"/>
      <c r="F1205" s="12"/>
      <c r="G1205" s="36"/>
      <c r="H1205" s="36"/>
      <c r="I1205" s="27"/>
      <c r="J1205" s="2"/>
      <c r="K1205" s="2"/>
    </row>
    <row r="1206">
      <c r="A1206" s="2"/>
      <c r="B1206" s="2"/>
      <c r="C1206" s="34"/>
      <c r="E1206" s="12"/>
      <c r="F1206" s="12"/>
      <c r="G1206" s="36"/>
      <c r="H1206" s="36"/>
      <c r="I1206" s="27"/>
      <c r="J1206" s="2"/>
      <c r="K1206" s="2"/>
    </row>
    <row r="1207">
      <c r="A1207" s="2"/>
      <c r="B1207" s="2"/>
      <c r="C1207" s="34"/>
      <c r="E1207" s="12"/>
      <c r="F1207" s="12"/>
      <c r="G1207" s="36"/>
      <c r="H1207" s="36"/>
      <c r="I1207" s="27"/>
      <c r="J1207" s="2"/>
      <c r="K1207" s="2"/>
    </row>
    <row r="1208">
      <c r="A1208" s="2"/>
      <c r="B1208" s="2"/>
      <c r="C1208" s="34"/>
      <c r="E1208" s="12"/>
      <c r="F1208" s="12"/>
      <c r="G1208" s="36"/>
      <c r="H1208" s="36"/>
      <c r="I1208" s="27"/>
      <c r="J1208" s="2"/>
      <c r="K1208" s="2"/>
    </row>
    <row r="1209">
      <c r="A1209" s="2"/>
      <c r="B1209" s="2"/>
      <c r="C1209" s="34"/>
      <c r="E1209" s="12"/>
      <c r="F1209" s="12"/>
      <c r="G1209" s="36"/>
      <c r="H1209" s="36"/>
      <c r="I1209" s="27"/>
      <c r="J1209" s="2"/>
      <c r="K1209" s="2"/>
    </row>
    <row r="1210">
      <c r="A1210" s="2"/>
      <c r="B1210" s="2"/>
      <c r="C1210" s="34"/>
      <c r="E1210" s="12"/>
      <c r="F1210" s="12"/>
      <c r="G1210" s="36"/>
      <c r="H1210" s="36"/>
      <c r="I1210" s="27"/>
      <c r="J1210" s="2"/>
      <c r="K1210" s="2"/>
    </row>
    <row r="1211">
      <c r="A1211" s="2"/>
      <c r="B1211" s="2"/>
      <c r="C1211" s="34"/>
      <c r="E1211" s="12"/>
      <c r="F1211" s="12"/>
      <c r="G1211" s="36"/>
      <c r="H1211" s="36"/>
      <c r="I1211" s="27"/>
      <c r="J1211" s="2"/>
      <c r="K1211" s="2"/>
    </row>
    <row r="1212">
      <c r="A1212" s="2"/>
      <c r="B1212" s="2"/>
      <c r="C1212" s="34"/>
      <c r="E1212" s="12"/>
      <c r="F1212" s="12"/>
      <c r="G1212" s="36"/>
      <c r="H1212" s="36"/>
      <c r="I1212" s="27"/>
      <c r="J1212" s="2"/>
      <c r="K1212" s="2"/>
    </row>
    <row r="1213">
      <c r="A1213" s="2"/>
      <c r="B1213" s="2"/>
      <c r="C1213" s="34"/>
      <c r="E1213" s="12"/>
      <c r="F1213" s="12"/>
      <c r="G1213" s="36"/>
      <c r="H1213" s="36"/>
      <c r="I1213" s="27"/>
      <c r="J1213" s="2"/>
      <c r="K1213" s="2"/>
    </row>
    <row r="1214">
      <c r="A1214" s="2"/>
      <c r="B1214" s="2"/>
      <c r="C1214" s="34"/>
      <c r="E1214" s="12"/>
      <c r="F1214" s="12"/>
      <c r="G1214" s="36"/>
      <c r="H1214" s="36"/>
      <c r="I1214" s="27"/>
      <c r="J1214" s="2"/>
      <c r="K1214" s="2"/>
    </row>
    <row r="1215">
      <c r="A1215" s="2"/>
      <c r="B1215" s="2"/>
      <c r="C1215" s="34"/>
      <c r="E1215" s="12"/>
      <c r="F1215" s="12"/>
      <c r="G1215" s="36"/>
      <c r="H1215" s="36"/>
      <c r="I1215" s="27"/>
      <c r="J1215" s="2"/>
      <c r="K1215" s="2"/>
    </row>
    <row r="1216">
      <c r="A1216" s="2"/>
      <c r="B1216" s="2"/>
      <c r="C1216" s="34"/>
      <c r="E1216" s="12"/>
      <c r="F1216" s="12"/>
      <c r="G1216" s="36"/>
      <c r="H1216" s="36"/>
      <c r="I1216" s="27"/>
      <c r="J1216" s="2"/>
      <c r="K1216" s="2"/>
    </row>
    <row r="1217">
      <c r="A1217" s="2"/>
      <c r="B1217" s="2"/>
      <c r="C1217" s="34"/>
      <c r="E1217" s="12"/>
      <c r="F1217" s="12"/>
      <c r="G1217" s="36"/>
      <c r="H1217" s="36"/>
      <c r="I1217" s="27"/>
      <c r="J1217" s="2"/>
      <c r="K1217" s="2"/>
    </row>
    <row r="1218">
      <c r="A1218" s="2"/>
      <c r="B1218" s="2"/>
      <c r="C1218" s="34"/>
      <c r="E1218" s="12"/>
      <c r="F1218" s="12"/>
      <c r="G1218" s="36"/>
      <c r="H1218" s="36"/>
      <c r="I1218" s="27"/>
      <c r="J1218" s="2"/>
      <c r="K1218" s="2"/>
    </row>
    <row r="1219">
      <c r="A1219" s="2"/>
      <c r="B1219" s="2"/>
      <c r="C1219" s="34"/>
      <c r="E1219" s="12"/>
      <c r="F1219" s="12"/>
      <c r="G1219" s="36"/>
      <c r="H1219" s="36"/>
      <c r="I1219" s="27"/>
      <c r="J1219" s="2"/>
      <c r="K1219" s="2"/>
    </row>
    <row r="1220">
      <c r="A1220" s="2"/>
      <c r="B1220" s="2"/>
      <c r="C1220" s="34"/>
      <c r="E1220" s="12"/>
      <c r="F1220" s="12"/>
      <c r="G1220" s="36"/>
      <c r="H1220" s="36"/>
      <c r="I1220" s="27"/>
      <c r="J1220" s="2"/>
      <c r="K1220" s="2"/>
    </row>
    <row r="1221">
      <c r="A1221" s="2"/>
      <c r="B1221" s="2"/>
      <c r="C1221" s="34"/>
      <c r="E1221" s="12"/>
      <c r="F1221" s="12"/>
      <c r="G1221" s="36"/>
      <c r="H1221" s="36"/>
      <c r="I1221" s="27"/>
      <c r="J1221" s="2"/>
      <c r="K1221" s="2"/>
    </row>
    <row r="1222">
      <c r="A1222" s="2"/>
      <c r="B1222" s="2"/>
      <c r="C1222" s="34"/>
      <c r="E1222" s="12"/>
      <c r="F1222" s="12"/>
      <c r="G1222" s="36"/>
      <c r="H1222" s="36"/>
      <c r="I1222" s="27"/>
      <c r="J1222" s="2"/>
      <c r="K1222" s="2"/>
    </row>
    <row r="1223">
      <c r="A1223" s="2"/>
      <c r="B1223" s="2"/>
      <c r="C1223" s="34"/>
      <c r="E1223" s="12"/>
      <c r="F1223" s="12"/>
      <c r="G1223" s="36"/>
      <c r="H1223" s="36"/>
      <c r="I1223" s="27"/>
      <c r="J1223" s="2"/>
      <c r="K1223" s="2"/>
    </row>
    <row r="1224">
      <c r="A1224" s="2"/>
      <c r="B1224" s="2"/>
      <c r="C1224" s="34"/>
      <c r="E1224" s="12"/>
      <c r="F1224" s="12"/>
      <c r="G1224" s="36"/>
      <c r="H1224" s="36"/>
      <c r="I1224" s="27"/>
      <c r="J1224" s="2"/>
      <c r="K1224" s="2"/>
    </row>
    <row r="1225">
      <c r="A1225" s="2"/>
      <c r="B1225" s="2"/>
      <c r="C1225" s="34"/>
      <c r="E1225" s="12"/>
      <c r="F1225" s="12"/>
      <c r="G1225" s="36"/>
      <c r="H1225" s="36"/>
      <c r="I1225" s="27"/>
      <c r="J1225" s="2"/>
      <c r="K1225" s="2"/>
    </row>
    <row r="1226">
      <c r="A1226" s="2"/>
      <c r="B1226" s="2"/>
      <c r="C1226" s="34"/>
      <c r="E1226" s="12"/>
      <c r="F1226" s="12"/>
      <c r="G1226" s="36"/>
      <c r="H1226" s="36"/>
      <c r="I1226" s="27"/>
      <c r="J1226" s="2"/>
      <c r="K1226" s="2"/>
    </row>
    <row r="1227">
      <c r="A1227" s="2"/>
      <c r="B1227" s="2"/>
      <c r="C1227" s="34"/>
      <c r="E1227" s="12"/>
      <c r="F1227" s="12"/>
      <c r="G1227" s="36"/>
      <c r="H1227" s="36"/>
      <c r="I1227" s="27"/>
      <c r="J1227" s="2"/>
      <c r="K1227" s="2"/>
    </row>
    <row r="1228">
      <c r="A1228" s="2"/>
      <c r="B1228" s="2"/>
      <c r="C1228" s="34"/>
      <c r="E1228" s="12"/>
      <c r="F1228" s="12"/>
      <c r="G1228" s="36"/>
      <c r="H1228" s="36"/>
      <c r="I1228" s="27"/>
      <c r="J1228" s="2"/>
      <c r="K1228" s="2"/>
    </row>
    <row r="1229">
      <c r="A1229" s="2"/>
      <c r="B1229" s="2"/>
      <c r="C1229" s="34"/>
      <c r="E1229" s="12"/>
      <c r="F1229" s="12"/>
      <c r="G1229" s="36"/>
      <c r="H1229" s="36"/>
      <c r="I1229" s="27"/>
      <c r="J1229" s="2"/>
      <c r="K1229" s="2"/>
    </row>
    <row r="1230">
      <c r="A1230" s="2"/>
      <c r="B1230" s="2"/>
      <c r="C1230" s="34"/>
      <c r="E1230" s="12"/>
      <c r="F1230" s="12"/>
      <c r="G1230" s="36"/>
      <c r="H1230" s="36"/>
      <c r="I1230" s="27"/>
      <c r="J1230" s="2"/>
      <c r="K1230" s="2"/>
    </row>
    <row r="1231">
      <c r="A1231" s="2"/>
      <c r="B1231" s="2"/>
      <c r="C1231" s="34"/>
      <c r="E1231" s="12"/>
      <c r="F1231" s="12"/>
      <c r="G1231" s="36"/>
      <c r="H1231" s="36"/>
      <c r="I1231" s="27"/>
      <c r="J1231" s="2"/>
      <c r="K1231" s="2"/>
    </row>
    <row r="1232">
      <c r="A1232" s="2"/>
      <c r="B1232" s="2"/>
      <c r="C1232" s="34"/>
      <c r="E1232" s="12"/>
      <c r="F1232" s="12"/>
      <c r="G1232" s="36"/>
      <c r="H1232" s="36"/>
      <c r="I1232" s="27"/>
      <c r="J1232" s="2"/>
      <c r="K1232" s="2"/>
    </row>
    <row r="1233">
      <c r="A1233" s="2"/>
      <c r="B1233" s="2"/>
      <c r="C1233" s="34"/>
      <c r="E1233" s="12"/>
      <c r="F1233" s="12"/>
      <c r="G1233" s="36"/>
      <c r="H1233" s="36"/>
      <c r="I1233" s="27"/>
      <c r="J1233" s="2"/>
      <c r="K1233" s="2"/>
    </row>
    <row r="1234">
      <c r="A1234" s="2"/>
      <c r="B1234" s="2"/>
      <c r="C1234" s="34"/>
      <c r="E1234" s="12"/>
      <c r="F1234" s="12"/>
      <c r="G1234" s="36"/>
      <c r="H1234" s="36"/>
      <c r="I1234" s="27"/>
      <c r="J1234" s="2"/>
      <c r="K1234" s="2"/>
    </row>
    <row r="1235">
      <c r="A1235" s="2"/>
      <c r="B1235" s="2"/>
      <c r="C1235" s="34"/>
      <c r="E1235" s="12"/>
      <c r="F1235" s="12"/>
      <c r="G1235" s="36"/>
      <c r="H1235" s="36"/>
      <c r="I1235" s="27"/>
      <c r="J1235" s="2"/>
      <c r="K1235" s="2"/>
    </row>
    <row r="1236">
      <c r="A1236" s="2"/>
      <c r="B1236" s="2"/>
      <c r="C1236" s="34"/>
      <c r="E1236" s="12"/>
      <c r="F1236" s="12"/>
      <c r="G1236" s="36"/>
      <c r="H1236" s="36"/>
      <c r="I1236" s="27"/>
      <c r="J1236" s="2"/>
      <c r="K1236" s="2"/>
    </row>
    <row r="1237">
      <c r="A1237" s="2"/>
      <c r="B1237" s="2"/>
      <c r="C1237" s="34"/>
      <c r="E1237" s="12"/>
      <c r="F1237" s="12"/>
      <c r="G1237" s="36"/>
      <c r="H1237" s="36"/>
      <c r="I1237" s="27"/>
      <c r="J1237" s="2"/>
      <c r="K1237" s="2"/>
    </row>
    <row r="1238">
      <c r="A1238" s="2"/>
      <c r="B1238" s="2"/>
      <c r="C1238" s="34"/>
      <c r="E1238" s="12"/>
      <c r="F1238" s="12"/>
      <c r="G1238" s="36"/>
      <c r="H1238" s="36"/>
      <c r="I1238" s="27"/>
      <c r="J1238" s="2"/>
      <c r="K1238" s="2"/>
    </row>
    <row r="1239">
      <c r="A1239" s="2"/>
      <c r="B1239" s="2"/>
      <c r="C1239" s="34"/>
      <c r="E1239" s="12"/>
      <c r="F1239" s="12"/>
      <c r="G1239" s="36"/>
      <c r="H1239" s="36"/>
      <c r="I1239" s="27"/>
      <c r="J1239" s="2"/>
      <c r="K1239" s="2"/>
    </row>
    <row r="1240">
      <c r="A1240" s="2"/>
      <c r="B1240" s="2"/>
      <c r="C1240" s="34"/>
      <c r="E1240" s="12"/>
      <c r="F1240" s="12"/>
      <c r="G1240" s="36"/>
      <c r="H1240" s="36"/>
      <c r="I1240" s="27"/>
      <c r="J1240" s="2"/>
      <c r="K1240" s="2"/>
    </row>
    <row r="1241">
      <c r="A1241" s="2"/>
      <c r="B1241" s="2"/>
      <c r="C1241" s="34"/>
      <c r="E1241" s="12"/>
      <c r="F1241" s="12"/>
      <c r="G1241" s="36"/>
      <c r="H1241" s="36"/>
      <c r="I1241" s="27"/>
      <c r="J1241" s="2"/>
      <c r="K1241" s="2"/>
    </row>
    <row r="1242">
      <c r="A1242" s="2"/>
      <c r="B1242" s="2"/>
      <c r="C1242" s="34"/>
      <c r="E1242" s="12"/>
      <c r="F1242" s="12"/>
      <c r="G1242" s="36"/>
      <c r="H1242" s="36"/>
      <c r="I1242" s="27"/>
      <c r="J1242" s="2"/>
      <c r="K1242" s="2"/>
    </row>
    <row r="1243">
      <c r="A1243" s="2"/>
      <c r="B1243" s="2"/>
      <c r="C1243" s="34"/>
      <c r="E1243" s="12"/>
      <c r="F1243" s="12"/>
      <c r="G1243" s="36"/>
      <c r="H1243" s="36"/>
      <c r="I1243" s="27"/>
      <c r="J1243" s="2"/>
      <c r="K1243" s="2"/>
    </row>
    <row r="1244">
      <c r="A1244" s="2"/>
      <c r="B1244" s="2"/>
      <c r="C1244" s="34"/>
      <c r="E1244" s="12"/>
      <c r="F1244" s="12"/>
      <c r="G1244" s="36"/>
      <c r="H1244" s="36"/>
      <c r="I1244" s="27"/>
      <c r="J1244" s="2"/>
      <c r="K1244" s="2"/>
    </row>
    <row r="1245">
      <c r="A1245" s="2"/>
      <c r="B1245" s="2"/>
      <c r="C1245" s="34"/>
      <c r="E1245" s="12"/>
      <c r="F1245" s="12"/>
      <c r="G1245" s="36"/>
      <c r="H1245" s="36"/>
      <c r="I1245" s="27"/>
      <c r="J1245" s="2"/>
      <c r="K1245" s="2"/>
    </row>
    <row r="1246">
      <c r="A1246" s="2"/>
      <c r="B1246" s="2"/>
      <c r="C1246" s="34"/>
      <c r="E1246" s="12"/>
      <c r="F1246" s="12"/>
      <c r="G1246" s="36"/>
      <c r="H1246" s="36"/>
      <c r="I1246" s="27"/>
      <c r="J1246" s="2"/>
      <c r="K1246" s="2"/>
    </row>
    <row r="1247">
      <c r="A1247" s="2"/>
      <c r="B1247" s="2"/>
      <c r="C1247" s="34"/>
      <c r="E1247" s="12"/>
      <c r="F1247" s="12"/>
      <c r="G1247" s="36"/>
      <c r="H1247" s="36"/>
      <c r="I1247" s="27"/>
      <c r="J1247" s="2"/>
      <c r="K1247" s="2"/>
    </row>
    <row r="1248">
      <c r="A1248" s="2"/>
      <c r="B1248" s="2"/>
      <c r="C1248" s="34"/>
      <c r="E1248" s="12"/>
      <c r="F1248" s="12"/>
      <c r="G1248" s="36"/>
      <c r="H1248" s="36"/>
      <c r="I1248" s="27"/>
      <c r="J1248" s="2"/>
      <c r="K1248" s="2"/>
    </row>
    <row r="1249">
      <c r="A1249" s="2"/>
      <c r="B1249" s="2"/>
      <c r="C1249" s="34"/>
      <c r="E1249" s="12"/>
      <c r="F1249" s="12"/>
      <c r="G1249" s="36"/>
      <c r="H1249" s="36"/>
      <c r="I1249" s="27"/>
      <c r="J1249" s="2"/>
      <c r="K1249" s="2"/>
    </row>
    <row r="1250">
      <c r="A1250" s="2"/>
      <c r="B1250" s="2"/>
      <c r="C1250" s="34"/>
      <c r="E1250" s="12"/>
      <c r="F1250" s="12"/>
      <c r="G1250" s="36"/>
      <c r="H1250" s="36"/>
      <c r="I1250" s="27"/>
      <c r="J1250" s="2"/>
      <c r="K1250" s="2"/>
    </row>
    <row r="1251">
      <c r="A1251" s="2"/>
      <c r="B1251" s="2"/>
      <c r="C1251" s="34"/>
      <c r="E1251" s="12"/>
      <c r="F1251" s="12"/>
      <c r="G1251" s="36"/>
      <c r="H1251" s="36"/>
      <c r="I1251" s="27"/>
      <c r="J1251" s="2"/>
      <c r="K1251" s="2"/>
    </row>
    <row r="1252">
      <c r="A1252" s="2"/>
      <c r="B1252" s="2"/>
      <c r="C1252" s="34"/>
      <c r="E1252" s="12"/>
      <c r="F1252" s="12"/>
      <c r="G1252" s="36"/>
      <c r="H1252" s="36"/>
      <c r="I1252" s="27"/>
      <c r="J1252" s="2"/>
      <c r="K1252" s="2"/>
    </row>
    <row r="1253">
      <c r="A1253" s="2"/>
      <c r="B1253" s="2"/>
      <c r="C1253" s="34"/>
      <c r="E1253" s="12"/>
      <c r="F1253" s="12"/>
      <c r="G1253" s="36"/>
      <c r="H1253" s="36"/>
      <c r="I1253" s="27"/>
      <c r="J1253" s="2"/>
      <c r="K1253" s="2"/>
    </row>
    <row r="1254">
      <c r="A1254" s="2"/>
      <c r="B1254" s="2"/>
      <c r="C1254" s="34"/>
      <c r="E1254" s="12"/>
      <c r="F1254" s="12"/>
      <c r="G1254" s="36"/>
      <c r="H1254" s="36"/>
      <c r="I1254" s="27"/>
      <c r="J1254" s="2"/>
      <c r="K1254" s="2"/>
    </row>
    <row r="1255">
      <c r="A1255" s="2"/>
      <c r="B1255" s="2"/>
      <c r="C1255" s="34"/>
      <c r="E1255" s="12"/>
      <c r="F1255" s="12"/>
      <c r="G1255" s="36"/>
      <c r="H1255" s="36"/>
      <c r="I1255" s="27"/>
      <c r="J1255" s="2"/>
      <c r="K1255" s="2"/>
    </row>
    <row r="1256">
      <c r="A1256" s="2"/>
      <c r="B1256" s="2"/>
      <c r="C1256" s="34"/>
      <c r="E1256" s="12"/>
      <c r="F1256" s="12"/>
      <c r="G1256" s="36"/>
      <c r="H1256" s="36"/>
      <c r="I1256" s="27"/>
      <c r="J1256" s="2"/>
      <c r="K1256" s="2"/>
    </row>
    <row r="1257">
      <c r="A1257" s="2"/>
      <c r="B1257" s="2"/>
      <c r="C1257" s="34"/>
      <c r="E1257" s="12"/>
      <c r="F1257" s="12"/>
      <c r="G1257" s="36"/>
      <c r="H1257" s="36"/>
      <c r="I1257" s="27"/>
      <c r="J1257" s="2"/>
      <c r="K1257" s="2"/>
    </row>
    <row r="1258">
      <c r="A1258" s="2"/>
      <c r="B1258" s="2"/>
      <c r="C1258" s="34"/>
      <c r="E1258" s="12"/>
      <c r="F1258" s="12"/>
      <c r="G1258" s="36"/>
      <c r="H1258" s="36"/>
      <c r="I1258" s="27"/>
      <c r="J1258" s="2"/>
      <c r="K1258" s="2"/>
    </row>
    <row r="1259">
      <c r="A1259" s="2"/>
      <c r="B1259" s="2"/>
      <c r="C1259" s="34"/>
      <c r="E1259" s="12"/>
      <c r="F1259" s="12"/>
      <c r="G1259" s="36"/>
      <c r="H1259" s="36"/>
      <c r="I1259" s="27"/>
      <c r="J1259" s="2"/>
      <c r="K1259" s="2"/>
    </row>
    <row r="1260">
      <c r="A1260" s="2"/>
      <c r="B1260" s="2"/>
      <c r="C1260" s="34"/>
      <c r="E1260" s="12"/>
      <c r="F1260" s="12"/>
      <c r="G1260" s="36"/>
      <c r="H1260" s="36"/>
      <c r="I1260" s="27"/>
      <c r="J1260" s="2"/>
      <c r="K1260" s="2"/>
    </row>
    <row r="1261">
      <c r="A1261" s="2"/>
      <c r="B1261" s="2"/>
      <c r="C1261" s="34"/>
      <c r="E1261" s="12"/>
      <c r="F1261" s="12"/>
      <c r="G1261" s="36"/>
      <c r="H1261" s="36"/>
      <c r="I1261" s="27"/>
      <c r="J1261" s="2"/>
      <c r="K1261" s="2"/>
    </row>
    <row r="1262">
      <c r="A1262" s="2"/>
      <c r="B1262" s="2"/>
      <c r="C1262" s="34"/>
      <c r="E1262" s="12"/>
      <c r="F1262" s="12"/>
      <c r="G1262" s="36"/>
      <c r="H1262" s="36"/>
      <c r="I1262" s="27"/>
      <c r="J1262" s="2"/>
      <c r="K1262" s="2"/>
    </row>
    <row r="1263">
      <c r="A1263" s="2"/>
      <c r="B1263" s="2"/>
      <c r="C1263" s="34"/>
      <c r="E1263" s="12"/>
      <c r="F1263" s="12"/>
      <c r="G1263" s="36"/>
      <c r="H1263" s="36"/>
      <c r="I1263" s="27"/>
      <c r="J1263" s="2"/>
      <c r="K1263" s="2"/>
    </row>
    <row r="1264">
      <c r="A1264" s="2"/>
      <c r="B1264" s="2"/>
      <c r="C1264" s="34"/>
      <c r="E1264" s="12"/>
      <c r="F1264" s="12"/>
      <c r="G1264" s="36"/>
      <c r="H1264" s="36"/>
      <c r="I1264" s="27"/>
      <c r="J1264" s="2"/>
      <c r="K1264" s="2"/>
    </row>
    <row r="1265">
      <c r="A1265" s="2"/>
      <c r="B1265" s="2"/>
      <c r="C1265" s="34"/>
      <c r="E1265" s="12"/>
      <c r="F1265" s="12"/>
      <c r="G1265" s="36"/>
      <c r="H1265" s="36"/>
      <c r="I1265" s="27"/>
      <c r="J1265" s="2"/>
      <c r="K1265" s="2"/>
    </row>
    <row r="1266">
      <c r="A1266" s="2"/>
      <c r="B1266" s="2"/>
      <c r="C1266" s="34"/>
      <c r="E1266" s="12"/>
      <c r="F1266" s="12"/>
      <c r="G1266" s="36"/>
      <c r="H1266" s="36"/>
      <c r="I1266" s="27"/>
      <c r="J1266" s="2"/>
      <c r="K1266" s="2"/>
    </row>
    <row r="1267">
      <c r="A1267" s="2"/>
      <c r="B1267" s="2"/>
      <c r="C1267" s="34"/>
      <c r="E1267" s="12"/>
      <c r="F1267" s="12"/>
      <c r="G1267" s="36"/>
      <c r="H1267" s="36"/>
      <c r="I1267" s="27"/>
      <c r="J1267" s="2"/>
      <c r="K1267" s="2"/>
    </row>
    <row r="1268">
      <c r="A1268" s="2"/>
      <c r="B1268" s="2"/>
      <c r="C1268" s="34"/>
      <c r="E1268" s="12"/>
      <c r="F1268" s="12"/>
      <c r="G1268" s="36"/>
      <c r="H1268" s="36"/>
      <c r="I1268" s="27"/>
      <c r="J1268" s="2"/>
      <c r="K1268" s="2"/>
    </row>
    <row r="1269">
      <c r="A1269" s="2"/>
      <c r="B1269" s="2"/>
      <c r="C1269" s="34"/>
      <c r="E1269" s="12"/>
      <c r="F1269" s="12"/>
      <c r="G1269" s="36"/>
      <c r="H1269" s="36"/>
      <c r="I1269" s="27"/>
      <c r="J1269" s="2"/>
      <c r="K1269" s="2"/>
    </row>
    <row r="1270">
      <c r="A1270" s="2"/>
      <c r="B1270" s="2"/>
      <c r="C1270" s="34"/>
      <c r="E1270" s="12"/>
      <c r="F1270" s="12"/>
      <c r="G1270" s="36"/>
      <c r="H1270" s="36"/>
      <c r="I1270" s="27"/>
      <c r="J1270" s="2"/>
      <c r="K1270" s="2"/>
    </row>
    <row r="1271">
      <c r="A1271" s="2"/>
      <c r="B1271" s="2"/>
      <c r="C1271" s="34"/>
      <c r="E1271" s="12"/>
      <c r="F1271" s="12"/>
      <c r="G1271" s="36"/>
      <c r="H1271" s="36"/>
      <c r="I1271" s="27"/>
      <c r="J1271" s="2"/>
      <c r="K1271" s="2"/>
    </row>
    <row r="1272">
      <c r="A1272" s="2"/>
      <c r="B1272" s="2"/>
      <c r="C1272" s="34"/>
      <c r="E1272" s="12"/>
      <c r="F1272" s="12"/>
      <c r="G1272" s="36"/>
      <c r="H1272" s="36"/>
      <c r="I1272" s="27"/>
      <c r="J1272" s="2"/>
      <c r="K1272" s="2"/>
    </row>
    <row r="1273">
      <c r="A1273" s="2"/>
      <c r="B1273" s="2"/>
      <c r="C1273" s="34"/>
      <c r="E1273" s="12"/>
      <c r="F1273" s="12"/>
      <c r="G1273" s="36"/>
      <c r="H1273" s="36"/>
      <c r="I1273" s="27"/>
      <c r="J1273" s="2"/>
      <c r="K1273" s="2"/>
    </row>
    <row r="1274">
      <c r="A1274" s="2"/>
      <c r="B1274" s="2"/>
      <c r="C1274" s="34"/>
      <c r="E1274" s="12"/>
      <c r="F1274" s="12"/>
      <c r="G1274" s="36"/>
      <c r="H1274" s="36"/>
      <c r="I1274" s="27"/>
      <c r="J1274" s="2"/>
      <c r="K1274" s="2"/>
    </row>
    <row r="1275">
      <c r="A1275" s="2"/>
      <c r="B1275" s="2"/>
      <c r="C1275" s="34"/>
      <c r="E1275" s="12"/>
      <c r="F1275" s="12"/>
      <c r="G1275" s="36"/>
      <c r="H1275" s="36"/>
      <c r="I1275" s="27"/>
      <c r="J1275" s="2"/>
      <c r="K1275" s="2"/>
    </row>
    <row r="1276">
      <c r="A1276" s="2"/>
      <c r="B1276" s="2"/>
      <c r="C1276" s="34"/>
      <c r="E1276" s="12"/>
      <c r="F1276" s="12"/>
      <c r="G1276" s="36"/>
      <c r="H1276" s="36"/>
      <c r="I1276" s="27"/>
      <c r="J1276" s="2"/>
      <c r="K1276" s="2"/>
    </row>
    <row r="1277">
      <c r="A1277" s="2"/>
      <c r="B1277" s="2"/>
      <c r="C1277" s="34"/>
      <c r="E1277" s="12"/>
      <c r="F1277" s="12"/>
      <c r="G1277" s="36"/>
      <c r="H1277" s="36"/>
      <c r="I1277" s="27"/>
      <c r="J1277" s="2"/>
      <c r="K1277" s="2"/>
    </row>
    <row r="1278">
      <c r="A1278" s="2"/>
      <c r="B1278" s="2"/>
      <c r="C1278" s="34"/>
      <c r="E1278" s="12"/>
      <c r="F1278" s="12"/>
      <c r="G1278" s="36"/>
      <c r="H1278" s="36"/>
      <c r="I1278" s="27"/>
      <c r="J1278" s="2"/>
      <c r="K1278" s="2"/>
    </row>
    <row r="1279">
      <c r="A1279" s="2"/>
      <c r="B1279" s="2"/>
      <c r="C1279" s="34"/>
      <c r="E1279" s="12"/>
      <c r="F1279" s="12"/>
      <c r="G1279" s="36"/>
      <c r="H1279" s="36"/>
      <c r="I1279" s="27"/>
      <c r="J1279" s="2"/>
      <c r="K1279" s="2"/>
    </row>
    <row r="1280">
      <c r="A1280" s="2"/>
      <c r="B1280" s="2"/>
      <c r="C1280" s="34"/>
      <c r="E1280" s="12"/>
      <c r="F1280" s="12"/>
      <c r="G1280" s="36"/>
      <c r="H1280" s="36"/>
      <c r="I1280" s="27"/>
      <c r="J1280" s="2"/>
      <c r="K1280" s="2"/>
    </row>
    <row r="1281">
      <c r="A1281" s="2"/>
      <c r="B1281" s="2"/>
      <c r="C1281" s="34"/>
      <c r="E1281" s="12"/>
      <c r="F1281" s="12"/>
      <c r="G1281" s="36"/>
      <c r="H1281" s="36"/>
      <c r="I1281" s="27"/>
      <c r="J1281" s="2"/>
      <c r="K1281" s="2"/>
    </row>
    <row r="1282">
      <c r="A1282" s="2"/>
      <c r="B1282" s="2"/>
      <c r="C1282" s="34"/>
      <c r="E1282" s="12"/>
      <c r="F1282" s="12"/>
      <c r="G1282" s="36"/>
      <c r="H1282" s="36"/>
      <c r="I1282" s="27"/>
      <c r="J1282" s="2"/>
      <c r="K1282" s="2"/>
    </row>
    <row r="1283">
      <c r="A1283" s="2"/>
      <c r="B1283" s="2"/>
      <c r="C1283" s="34"/>
      <c r="E1283" s="12"/>
      <c r="F1283" s="12"/>
      <c r="G1283" s="36"/>
      <c r="H1283" s="36"/>
      <c r="I1283" s="27"/>
      <c r="J1283" s="2"/>
      <c r="K1283" s="2"/>
    </row>
    <row r="1284">
      <c r="A1284" s="2"/>
      <c r="B1284" s="2"/>
      <c r="C1284" s="34"/>
      <c r="E1284" s="12"/>
      <c r="F1284" s="12"/>
      <c r="G1284" s="36"/>
      <c r="H1284" s="36"/>
      <c r="I1284" s="27"/>
      <c r="J1284" s="2"/>
      <c r="K1284" s="2"/>
    </row>
    <row r="1285">
      <c r="A1285" s="2"/>
      <c r="B1285" s="2"/>
      <c r="C1285" s="34"/>
      <c r="E1285" s="12"/>
      <c r="F1285" s="12"/>
      <c r="G1285" s="36"/>
      <c r="H1285" s="36"/>
      <c r="I1285" s="27"/>
      <c r="J1285" s="2"/>
      <c r="K1285" s="2"/>
    </row>
    <row r="1286">
      <c r="A1286" s="2"/>
      <c r="B1286" s="2"/>
      <c r="C1286" s="34"/>
      <c r="E1286" s="12"/>
      <c r="F1286" s="12"/>
      <c r="G1286" s="36"/>
      <c r="H1286" s="36"/>
      <c r="I1286" s="27"/>
      <c r="J1286" s="2"/>
      <c r="K1286" s="2"/>
    </row>
    <row r="1287">
      <c r="A1287" s="2"/>
      <c r="B1287" s="2"/>
      <c r="C1287" s="34"/>
      <c r="E1287" s="12"/>
      <c r="F1287" s="12"/>
      <c r="G1287" s="36"/>
      <c r="H1287" s="36"/>
      <c r="I1287" s="27"/>
      <c r="J1287" s="2"/>
      <c r="K1287" s="2"/>
    </row>
    <row r="1288">
      <c r="A1288" s="2"/>
      <c r="B1288" s="2"/>
      <c r="C1288" s="34"/>
      <c r="E1288" s="12"/>
      <c r="F1288" s="12"/>
      <c r="G1288" s="36"/>
      <c r="H1288" s="36"/>
      <c r="I1288" s="27"/>
      <c r="J1288" s="2"/>
      <c r="K1288" s="2"/>
    </row>
    <row r="1289">
      <c r="A1289" s="2"/>
      <c r="B1289" s="2"/>
      <c r="C1289" s="34"/>
      <c r="E1289" s="12"/>
      <c r="F1289" s="12"/>
      <c r="G1289" s="36"/>
      <c r="H1289" s="36"/>
      <c r="I1289" s="27"/>
      <c r="J1289" s="2"/>
      <c r="K1289" s="2"/>
    </row>
    <row r="1290">
      <c r="A1290" s="2"/>
      <c r="B1290" s="2"/>
      <c r="C1290" s="34"/>
      <c r="E1290" s="12"/>
      <c r="F1290" s="12"/>
      <c r="G1290" s="36"/>
      <c r="H1290" s="36"/>
      <c r="I1290" s="27"/>
      <c r="J1290" s="2"/>
      <c r="K1290" s="2"/>
    </row>
    <row r="1291">
      <c r="A1291" s="2"/>
      <c r="B1291" s="2"/>
      <c r="C1291" s="34"/>
      <c r="E1291" s="12"/>
      <c r="F1291" s="12"/>
      <c r="G1291" s="36"/>
      <c r="H1291" s="36"/>
      <c r="I1291" s="27"/>
      <c r="J1291" s="2"/>
      <c r="K1291" s="2"/>
    </row>
    <row r="1292">
      <c r="A1292" s="2"/>
      <c r="B1292" s="2"/>
      <c r="C1292" s="34"/>
      <c r="E1292" s="12"/>
      <c r="F1292" s="12"/>
      <c r="G1292" s="36"/>
      <c r="H1292" s="36"/>
      <c r="I1292" s="27"/>
      <c r="J1292" s="2"/>
      <c r="K1292" s="2"/>
    </row>
    <row r="1293">
      <c r="A1293" s="2"/>
      <c r="B1293" s="2"/>
      <c r="C1293" s="34"/>
      <c r="E1293" s="12"/>
      <c r="F1293" s="12"/>
      <c r="G1293" s="36"/>
      <c r="H1293" s="36"/>
      <c r="I1293" s="27"/>
      <c r="J1293" s="2"/>
      <c r="K1293" s="2"/>
    </row>
    <row r="1294">
      <c r="A1294" s="2"/>
      <c r="B1294" s="2"/>
      <c r="C1294" s="34"/>
      <c r="E1294" s="12"/>
      <c r="F1294" s="12"/>
      <c r="G1294" s="36"/>
      <c r="H1294" s="36"/>
      <c r="I1294" s="27"/>
      <c r="J1294" s="2"/>
      <c r="K1294" s="2"/>
    </row>
    <row r="1295">
      <c r="A1295" s="2"/>
      <c r="B1295" s="2"/>
      <c r="C1295" s="34"/>
      <c r="E1295" s="12"/>
      <c r="F1295" s="12"/>
      <c r="G1295" s="36"/>
      <c r="H1295" s="36"/>
      <c r="I1295" s="27"/>
      <c r="J1295" s="2"/>
      <c r="K1295" s="2"/>
    </row>
    <row r="1296">
      <c r="A1296" s="2"/>
      <c r="B1296" s="2"/>
      <c r="C1296" s="34"/>
      <c r="E1296" s="12"/>
      <c r="F1296" s="12"/>
      <c r="G1296" s="36"/>
      <c r="H1296" s="36"/>
      <c r="I1296" s="27"/>
      <c r="J1296" s="2"/>
      <c r="K1296" s="2"/>
    </row>
    <row r="1297">
      <c r="A1297" s="2"/>
      <c r="B1297" s="2"/>
      <c r="C1297" s="34"/>
      <c r="E1297" s="12"/>
      <c r="F1297" s="12"/>
      <c r="G1297" s="36"/>
      <c r="H1297" s="36"/>
      <c r="I1297" s="27"/>
      <c r="J1297" s="2"/>
      <c r="K1297" s="2"/>
    </row>
    <row r="1298">
      <c r="A1298" s="2"/>
      <c r="B1298" s="2"/>
      <c r="C1298" s="34"/>
      <c r="E1298" s="12"/>
      <c r="F1298" s="12"/>
      <c r="G1298" s="36"/>
      <c r="H1298" s="36"/>
      <c r="I1298" s="27"/>
      <c r="J1298" s="2"/>
      <c r="K1298" s="2"/>
    </row>
    <row r="1299">
      <c r="A1299" s="2"/>
      <c r="B1299" s="2"/>
      <c r="C1299" s="34"/>
      <c r="E1299" s="12"/>
      <c r="F1299" s="12"/>
      <c r="G1299" s="36"/>
      <c r="H1299" s="36"/>
      <c r="I1299" s="27"/>
      <c r="J1299" s="2"/>
      <c r="K1299" s="2"/>
    </row>
    <row r="1300">
      <c r="A1300" s="2"/>
      <c r="B1300" s="2"/>
      <c r="C1300" s="34"/>
      <c r="E1300" s="12"/>
      <c r="F1300" s="12"/>
      <c r="G1300" s="36"/>
      <c r="H1300" s="36"/>
      <c r="I1300" s="27"/>
      <c r="J1300" s="2"/>
      <c r="K1300" s="2"/>
    </row>
    <row r="1301">
      <c r="A1301" s="2"/>
      <c r="B1301" s="2"/>
      <c r="C1301" s="34"/>
      <c r="E1301" s="12"/>
      <c r="F1301" s="12"/>
      <c r="G1301" s="36"/>
      <c r="H1301" s="36"/>
      <c r="I1301" s="27"/>
      <c r="J1301" s="2"/>
      <c r="K1301" s="2"/>
    </row>
    <row r="1302">
      <c r="A1302" s="2"/>
      <c r="B1302" s="2"/>
      <c r="C1302" s="34"/>
      <c r="E1302" s="12"/>
      <c r="F1302" s="12"/>
      <c r="G1302" s="36"/>
      <c r="H1302" s="36"/>
      <c r="I1302" s="27"/>
      <c r="J1302" s="2"/>
      <c r="K1302" s="2"/>
    </row>
    <row r="1303">
      <c r="A1303" s="2"/>
      <c r="B1303" s="2"/>
      <c r="C1303" s="34"/>
      <c r="E1303" s="12"/>
      <c r="F1303" s="12"/>
      <c r="G1303" s="36"/>
      <c r="H1303" s="36"/>
      <c r="I1303" s="27"/>
      <c r="J1303" s="2"/>
      <c r="K1303" s="2"/>
    </row>
    <row r="1304">
      <c r="A1304" s="2"/>
      <c r="B1304" s="2"/>
      <c r="C1304" s="34"/>
      <c r="E1304" s="12"/>
      <c r="F1304" s="12"/>
      <c r="G1304" s="36"/>
      <c r="H1304" s="36"/>
      <c r="I1304" s="27"/>
      <c r="J1304" s="2"/>
      <c r="K1304" s="2"/>
    </row>
    <row r="1305">
      <c r="A1305" s="2"/>
      <c r="B1305" s="2"/>
      <c r="C1305" s="34"/>
      <c r="E1305" s="12"/>
      <c r="F1305" s="12"/>
      <c r="G1305" s="36"/>
      <c r="H1305" s="36"/>
      <c r="I1305" s="27"/>
      <c r="J1305" s="2"/>
      <c r="K1305" s="2"/>
    </row>
    <row r="1306">
      <c r="A1306" s="2"/>
      <c r="B1306" s="2"/>
      <c r="C1306" s="34"/>
      <c r="E1306" s="12"/>
      <c r="F1306" s="12"/>
      <c r="G1306" s="36"/>
      <c r="H1306" s="36"/>
      <c r="I1306" s="27"/>
      <c r="J1306" s="2"/>
      <c r="K1306" s="2"/>
    </row>
    <row r="1307">
      <c r="A1307" s="2"/>
      <c r="B1307" s="2"/>
      <c r="C1307" s="34"/>
      <c r="E1307" s="12"/>
      <c r="F1307" s="12"/>
      <c r="G1307" s="36"/>
      <c r="H1307" s="36"/>
      <c r="I1307" s="27"/>
      <c r="J1307" s="2"/>
      <c r="K1307" s="2"/>
    </row>
    <row r="1308">
      <c r="A1308" s="2"/>
      <c r="B1308" s="2"/>
      <c r="C1308" s="34"/>
      <c r="E1308" s="12"/>
      <c r="F1308" s="12"/>
      <c r="G1308" s="36"/>
      <c r="H1308" s="36"/>
      <c r="I1308" s="27"/>
      <c r="J1308" s="2"/>
      <c r="K1308" s="2"/>
    </row>
    <row r="1309">
      <c r="A1309" s="2"/>
      <c r="B1309" s="2"/>
      <c r="C1309" s="34"/>
      <c r="E1309" s="12"/>
      <c r="F1309" s="12"/>
      <c r="G1309" s="36"/>
      <c r="H1309" s="36"/>
      <c r="I1309" s="27"/>
      <c r="J1309" s="2"/>
      <c r="K1309" s="2"/>
    </row>
    <row r="1310">
      <c r="A1310" s="2"/>
      <c r="B1310" s="2"/>
      <c r="C1310" s="34"/>
      <c r="E1310" s="12"/>
      <c r="F1310" s="12"/>
      <c r="G1310" s="36"/>
      <c r="H1310" s="36"/>
      <c r="I1310" s="27"/>
      <c r="J1310" s="2"/>
      <c r="K1310" s="2"/>
    </row>
    <row r="1311">
      <c r="A1311" s="2"/>
      <c r="B1311" s="2"/>
      <c r="C1311" s="34"/>
      <c r="E1311" s="12"/>
      <c r="F1311" s="12"/>
      <c r="G1311" s="36"/>
      <c r="H1311" s="36"/>
      <c r="I1311" s="27"/>
      <c r="J1311" s="2"/>
      <c r="K1311" s="2"/>
    </row>
    <row r="1312">
      <c r="A1312" s="2"/>
      <c r="B1312" s="2"/>
      <c r="C1312" s="34"/>
      <c r="E1312" s="12"/>
      <c r="F1312" s="12"/>
      <c r="G1312" s="36"/>
      <c r="H1312" s="36"/>
      <c r="I1312" s="27"/>
      <c r="J1312" s="2"/>
      <c r="K1312" s="2"/>
    </row>
    <row r="1313">
      <c r="A1313" s="2"/>
      <c r="B1313" s="2"/>
      <c r="C1313" s="34"/>
      <c r="E1313" s="12"/>
      <c r="F1313" s="12"/>
      <c r="G1313" s="36"/>
      <c r="H1313" s="36"/>
      <c r="I1313" s="27"/>
      <c r="J1313" s="2"/>
      <c r="K1313" s="2"/>
    </row>
    <row r="1314">
      <c r="A1314" s="2"/>
      <c r="B1314" s="2"/>
      <c r="C1314" s="34"/>
      <c r="E1314" s="12"/>
      <c r="F1314" s="12"/>
      <c r="G1314" s="36"/>
      <c r="H1314" s="36"/>
      <c r="I1314" s="27"/>
      <c r="J1314" s="2"/>
      <c r="K1314" s="2"/>
    </row>
    <row r="1315">
      <c r="A1315" s="2"/>
      <c r="B1315" s="2"/>
      <c r="C1315" s="34"/>
      <c r="E1315" s="12"/>
      <c r="F1315" s="12"/>
      <c r="G1315" s="36"/>
      <c r="H1315" s="36"/>
      <c r="I1315" s="27"/>
      <c r="J1315" s="2"/>
      <c r="K1315" s="2"/>
    </row>
    <row r="1316">
      <c r="A1316" s="2"/>
      <c r="B1316" s="2"/>
      <c r="C1316" s="34"/>
      <c r="E1316" s="12"/>
      <c r="F1316" s="12"/>
      <c r="G1316" s="36"/>
      <c r="H1316" s="36"/>
      <c r="I1316" s="27"/>
      <c r="J1316" s="2"/>
      <c r="K1316" s="2"/>
    </row>
    <row r="1317">
      <c r="A1317" s="2"/>
      <c r="B1317" s="2"/>
      <c r="C1317" s="34"/>
      <c r="E1317" s="12"/>
      <c r="F1317" s="12"/>
      <c r="G1317" s="36"/>
      <c r="H1317" s="36"/>
      <c r="I1317" s="27"/>
      <c r="J1317" s="2"/>
      <c r="K1317" s="2"/>
    </row>
    <row r="1318">
      <c r="A1318" s="2"/>
      <c r="B1318" s="2"/>
      <c r="C1318" s="34"/>
      <c r="E1318" s="12"/>
      <c r="F1318" s="12"/>
      <c r="G1318" s="36"/>
      <c r="H1318" s="36"/>
      <c r="I1318" s="27"/>
      <c r="J1318" s="2"/>
      <c r="K1318" s="2"/>
    </row>
    <row r="1319">
      <c r="A1319" s="2"/>
      <c r="B1319" s="2"/>
      <c r="C1319" s="34"/>
      <c r="E1319" s="12"/>
      <c r="F1319" s="12"/>
      <c r="G1319" s="36"/>
      <c r="H1319" s="36"/>
      <c r="I1319" s="27"/>
      <c r="J1319" s="2"/>
      <c r="K1319" s="2"/>
    </row>
    <row r="1320">
      <c r="A1320" s="2"/>
      <c r="B1320" s="2"/>
      <c r="C1320" s="34"/>
      <c r="E1320" s="12"/>
      <c r="F1320" s="12"/>
      <c r="G1320" s="36"/>
      <c r="H1320" s="36"/>
      <c r="I1320" s="27"/>
      <c r="J1320" s="2"/>
      <c r="K1320" s="2"/>
    </row>
    <row r="1321">
      <c r="A1321" s="2"/>
      <c r="B1321" s="2"/>
      <c r="C1321" s="34"/>
      <c r="E1321" s="12"/>
      <c r="F1321" s="12"/>
      <c r="G1321" s="36"/>
      <c r="H1321" s="36"/>
      <c r="I1321" s="27"/>
      <c r="J1321" s="2"/>
      <c r="K1321" s="2"/>
    </row>
    <row r="1322">
      <c r="A1322" s="2"/>
      <c r="B1322" s="2"/>
      <c r="C1322" s="34"/>
      <c r="E1322" s="12"/>
      <c r="F1322" s="12"/>
      <c r="G1322" s="36"/>
      <c r="H1322" s="36"/>
      <c r="I1322" s="27"/>
      <c r="J1322" s="2"/>
      <c r="K1322" s="2"/>
    </row>
    <row r="1323">
      <c r="A1323" s="2"/>
      <c r="B1323" s="2"/>
      <c r="C1323" s="34"/>
      <c r="E1323" s="12"/>
      <c r="F1323" s="12"/>
      <c r="G1323" s="36"/>
      <c r="H1323" s="36"/>
      <c r="I1323" s="27"/>
      <c r="J1323" s="2"/>
      <c r="K1323" s="2"/>
    </row>
    <row r="1324">
      <c r="A1324" s="2"/>
      <c r="B1324" s="2"/>
      <c r="C1324" s="34"/>
      <c r="E1324" s="12"/>
      <c r="F1324" s="12"/>
      <c r="G1324" s="36"/>
      <c r="H1324" s="36"/>
      <c r="I1324" s="27"/>
      <c r="J1324" s="2"/>
      <c r="K1324" s="2"/>
    </row>
    <row r="1325">
      <c r="A1325" s="2"/>
      <c r="B1325" s="2"/>
      <c r="C1325" s="34"/>
      <c r="E1325" s="12"/>
      <c r="F1325" s="12"/>
      <c r="G1325" s="36"/>
      <c r="H1325" s="36"/>
      <c r="I1325" s="27"/>
      <c r="J1325" s="2"/>
      <c r="K1325" s="2"/>
    </row>
    <row r="1326">
      <c r="A1326" s="2"/>
      <c r="B1326" s="2"/>
      <c r="C1326" s="34"/>
      <c r="E1326" s="12"/>
      <c r="F1326" s="12"/>
      <c r="G1326" s="36"/>
      <c r="H1326" s="36"/>
      <c r="I1326" s="27"/>
      <c r="J1326" s="2"/>
      <c r="K1326" s="2"/>
    </row>
    <row r="1327">
      <c r="A1327" s="2"/>
      <c r="B1327" s="2"/>
      <c r="C1327" s="34"/>
      <c r="E1327" s="12"/>
      <c r="F1327" s="12"/>
      <c r="G1327" s="36"/>
      <c r="H1327" s="36"/>
      <c r="I1327" s="27"/>
      <c r="J1327" s="2"/>
      <c r="K1327" s="2"/>
    </row>
    <row r="1328">
      <c r="A1328" s="2"/>
      <c r="B1328" s="2"/>
      <c r="C1328" s="34"/>
      <c r="E1328" s="12"/>
      <c r="F1328" s="12"/>
      <c r="G1328" s="36"/>
      <c r="H1328" s="36"/>
      <c r="I1328" s="27"/>
      <c r="J1328" s="2"/>
      <c r="K1328" s="2"/>
    </row>
    <row r="1329">
      <c r="A1329" s="2"/>
      <c r="B1329" s="2"/>
      <c r="C1329" s="34"/>
      <c r="E1329" s="12"/>
      <c r="F1329" s="12"/>
      <c r="G1329" s="36"/>
      <c r="H1329" s="36"/>
      <c r="I1329" s="27"/>
      <c r="J1329" s="2"/>
      <c r="K1329" s="2"/>
    </row>
    <row r="1330">
      <c r="A1330" s="2"/>
      <c r="B1330" s="2"/>
      <c r="C1330" s="34"/>
      <c r="E1330" s="12"/>
      <c r="F1330" s="12"/>
      <c r="G1330" s="36"/>
      <c r="H1330" s="36"/>
      <c r="I1330" s="27"/>
      <c r="J1330" s="2"/>
      <c r="K1330" s="2"/>
    </row>
    <row r="1331">
      <c r="A1331" s="2"/>
      <c r="B1331" s="2"/>
      <c r="C1331" s="34"/>
      <c r="E1331" s="12"/>
      <c r="F1331" s="12"/>
      <c r="G1331" s="36"/>
      <c r="H1331" s="36"/>
      <c r="I1331" s="27"/>
      <c r="J1331" s="2"/>
      <c r="K1331" s="2"/>
    </row>
    <row r="1332">
      <c r="A1332" s="2"/>
      <c r="B1332" s="2"/>
      <c r="C1332" s="34"/>
      <c r="E1332" s="12"/>
      <c r="F1332" s="12"/>
      <c r="G1332" s="36"/>
      <c r="H1332" s="36"/>
      <c r="I1332" s="27"/>
      <c r="J1332" s="2"/>
      <c r="K1332" s="2"/>
    </row>
    <row r="1333">
      <c r="A1333" s="2"/>
      <c r="B1333" s="2"/>
      <c r="C1333" s="34"/>
      <c r="E1333" s="12"/>
      <c r="F1333" s="12"/>
      <c r="G1333" s="36"/>
      <c r="H1333" s="36"/>
      <c r="I1333" s="27"/>
      <c r="J1333" s="2"/>
      <c r="K1333" s="2"/>
    </row>
    <row r="1334">
      <c r="A1334" s="2"/>
      <c r="B1334" s="2"/>
      <c r="C1334" s="34"/>
      <c r="E1334" s="12"/>
      <c r="F1334" s="12"/>
      <c r="G1334" s="36"/>
      <c r="H1334" s="36"/>
      <c r="I1334" s="27"/>
      <c r="J1334" s="2"/>
      <c r="K1334" s="2"/>
    </row>
    <row r="1335">
      <c r="A1335" s="2"/>
      <c r="B1335" s="2"/>
      <c r="C1335" s="34"/>
      <c r="E1335" s="12"/>
      <c r="F1335" s="12"/>
      <c r="G1335" s="36"/>
      <c r="H1335" s="36"/>
      <c r="I1335" s="27"/>
      <c r="J1335" s="2"/>
      <c r="K1335" s="2"/>
    </row>
    <row r="1336">
      <c r="A1336" s="2"/>
      <c r="B1336" s="2"/>
      <c r="C1336" s="34"/>
      <c r="E1336" s="12"/>
      <c r="F1336" s="12"/>
      <c r="G1336" s="36"/>
      <c r="H1336" s="36"/>
      <c r="I1336" s="27"/>
      <c r="J1336" s="2"/>
      <c r="K1336" s="2"/>
    </row>
    <row r="1337">
      <c r="A1337" s="2"/>
      <c r="B1337" s="2"/>
      <c r="C1337" s="34"/>
      <c r="E1337" s="12"/>
      <c r="F1337" s="12"/>
      <c r="G1337" s="36"/>
      <c r="H1337" s="36"/>
      <c r="I1337" s="27"/>
      <c r="J1337" s="2"/>
      <c r="K1337" s="2"/>
    </row>
    <row r="1338">
      <c r="A1338" s="2"/>
      <c r="B1338" s="2"/>
      <c r="C1338" s="34"/>
      <c r="E1338" s="12"/>
      <c r="F1338" s="12"/>
      <c r="G1338" s="36"/>
      <c r="H1338" s="36"/>
      <c r="I1338" s="27"/>
      <c r="J1338" s="2"/>
      <c r="K1338" s="2"/>
    </row>
    <row r="1339">
      <c r="A1339" s="2"/>
      <c r="B1339" s="2"/>
      <c r="C1339" s="34"/>
      <c r="E1339" s="12"/>
      <c r="F1339" s="12"/>
      <c r="G1339" s="36"/>
      <c r="H1339" s="36"/>
      <c r="I1339" s="27"/>
      <c r="J1339" s="2"/>
      <c r="K1339" s="2"/>
    </row>
    <row r="1340">
      <c r="A1340" s="2"/>
      <c r="B1340" s="2"/>
      <c r="C1340" s="34"/>
      <c r="E1340" s="12"/>
      <c r="F1340" s="12"/>
      <c r="G1340" s="36"/>
      <c r="H1340" s="36"/>
      <c r="I1340" s="27"/>
      <c r="J1340" s="2"/>
      <c r="K1340" s="2"/>
    </row>
    <row r="1341">
      <c r="A1341" s="2"/>
      <c r="B1341" s="2"/>
      <c r="C1341" s="34"/>
      <c r="E1341" s="12"/>
      <c r="F1341" s="12"/>
      <c r="G1341" s="36"/>
      <c r="H1341" s="36"/>
      <c r="I1341" s="27"/>
      <c r="J1341" s="2"/>
      <c r="K1341" s="2"/>
    </row>
    <row r="1342">
      <c r="A1342" s="2"/>
      <c r="B1342" s="2"/>
      <c r="C1342" s="34"/>
      <c r="E1342" s="12"/>
      <c r="F1342" s="12"/>
      <c r="G1342" s="36"/>
      <c r="H1342" s="36"/>
      <c r="I1342" s="27"/>
      <c r="J1342" s="2"/>
      <c r="K1342" s="2"/>
    </row>
    <row r="1343">
      <c r="A1343" s="2"/>
      <c r="B1343" s="2"/>
      <c r="C1343" s="34"/>
      <c r="E1343" s="12"/>
      <c r="F1343" s="12"/>
      <c r="G1343" s="36"/>
      <c r="H1343" s="36"/>
      <c r="I1343" s="27"/>
      <c r="J1343" s="2"/>
      <c r="K1343" s="2"/>
    </row>
    <row r="1344">
      <c r="A1344" s="2"/>
      <c r="B1344" s="2"/>
      <c r="C1344" s="34"/>
      <c r="E1344" s="12"/>
      <c r="F1344" s="12"/>
      <c r="G1344" s="36"/>
      <c r="H1344" s="36"/>
      <c r="I1344" s="27"/>
      <c r="J1344" s="2"/>
      <c r="K1344" s="2"/>
    </row>
    <row r="1345">
      <c r="A1345" s="2"/>
      <c r="B1345" s="2"/>
      <c r="C1345" s="34"/>
      <c r="E1345" s="12"/>
      <c r="F1345" s="12"/>
      <c r="G1345" s="36"/>
      <c r="H1345" s="36"/>
      <c r="I1345" s="27"/>
      <c r="J1345" s="2"/>
      <c r="K1345" s="2"/>
    </row>
    <row r="1346">
      <c r="A1346" s="2"/>
      <c r="B1346" s="2"/>
      <c r="C1346" s="34"/>
      <c r="E1346" s="12"/>
      <c r="F1346" s="12"/>
      <c r="G1346" s="36"/>
      <c r="H1346" s="36"/>
      <c r="I1346" s="27"/>
      <c r="J1346" s="2"/>
      <c r="K1346" s="2"/>
    </row>
    <row r="1347">
      <c r="A1347" s="2"/>
      <c r="B1347" s="2"/>
      <c r="C1347" s="34"/>
      <c r="E1347" s="12"/>
      <c r="F1347" s="12"/>
      <c r="G1347" s="36"/>
      <c r="H1347" s="36"/>
      <c r="I1347" s="27"/>
      <c r="J1347" s="2"/>
      <c r="K1347" s="2"/>
    </row>
    <row r="1348">
      <c r="A1348" s="2"/>
      <c r="B1348" s="2"/>
      <c r="C1348" s="34"/>
      <c r="E1348" s="12"/>
      <c r="F1348" s="12"/>
      <c r="G1348" s="36"/>
      <c r="H1348" s="36"/>
      <c r="I1348" s="27"/>
      <c r="J1348" s="2"/>
      <c r="K1348" s="2"/>
    </row>
    <row r="1349">
      <c r="A1349" s="2"/>
      <c r="B1349" s="2"/>
      <c r="C1349" s="34"/>
      <c r="E1349" s="12"/>
      <c r="F1349" s="12"/>
      <c r="G1349" s="36"/>
      <c r="H1349" s="36"/>
      <c r="I1349" s="27"/>
      <c r="J1349" s="2"/>
      <c r="K1349" s="2"/>
    </row>
    <row r="1350">
      <c r="A1350" s="2"/>
      <c r="B1350" s="2"/>
      <c r="C1350" s="34"/>
      <c r="E1350" s="12"/>
      <c r="F1350" s="12"/>
      <c r="G1350" s="36"/>
      <c r="H1350" s="36"/>
      <c r="I1350" s="27"/>
      <c r="J1350" s="2"/>
      <c r="K1350" s="2"/>
    </row>
    <row r="1351">
      <c r="A1351" s="2"/>
      <c r="B1351" s="2"/>
      <c r="C1351" s="34"/>
      <c r="E1351" s="12"/>
      <c r="F1351" s="12"/>
      <c r="G1351" s="36"/>
      <c r="H1351" s="36"/>
      <c r="I1351" s="27"/>
      <c r="J1351" s="2"/>
      <c r="K1351" s="2"/>
    </row>
    <row r="1352">
      <c r="A1352" s="2"/>
      <c r="B1352" s="2"/>
      <c r="C1352" s="34"/>
      <c r="E1352" s="12"/>
      <c r="F1352" s="12"/>
      <c r="G1352" s="36"/>
      <c r="H1352" s="36"/>
      <c r="I1352" s="27"/>
      <c r="J1352" s="2"/>
      <c r="K1352" s="2"/>
    </row>
    <row r="1353">
      <c r="A1353" s="2"/>
      <c r="B1353" s="2"/>
      <c r="C1353" s="34"/>
      <c r="E1353" s="12"/>
      <c r="F1353" s="12"/>
      <c r="G1353" s="36"/>
      <c r="H1353" s="36"/>
      <c r="I1353" s="27"/>
      <c r="J1353" s="2"/>
      <c r="K1353" s="2"/>
    </row>
    <row r="1354">
      <c r="A1354" s="2"/>
      <c r="B1354" s="2"/>
      <c r="C1354" s="34"/>
      <c r="E1354" s="12"/>
      <c r="F1354" s="12"/>
      <c r="G1354" s="36"/>
      <c r="H1354" s="36"/>
      <c r="I1354" s="27"/>
      <c r="J1354" s="2"/>
      <c r="K1354" s="2"/>
    </row>
    <row r="1355">
      <c r="A1355" s="2"/>
      <c r="B1355" s="2"/>
      <c r="C1355" s="34"/>
      <c r="E1355" s="12"/>
      <c r="F1355" s="12"/>
      <c r="G1355" s="36"/>
      <c r="H1355" s="36"/>
      <c r="I1355" s="27"/>
      <c r="J1355" s="2"/>
      <c r="K1355" s="2"/>
    </row>
    <row r="1356">
      <c r="A1356" s="2"/>
      <c r="B1356" s="2"/>
      <c r="C1356" s="34"/>
      <c r="E1356" s="12"/>
      <c r="F1356" s="12"/>
      <c r="G1356" s="36"/>
      <c r="H1356" s="36"/>
      <c r="I1356" s="27"/>
      <c r="J1356" s="2"/>
      <c r="K1356" s="2"/>
    </row>
    <row r="1357">
      <c r="A1357" s="2"/>
      <c r="B1357" s="2"/>
      <c r="C1357" s="34"/>
      <c r="E1357" s="12"/>
      <c r="F1357" s="12"/>
      <c r="G1357" s="36"/>
      <c r="H1357" s="36"/>
      <c r="I1357" s="27"/>
      <c r="J1357" s="2"/>
      <c r="K1357" s="2"/>
    </row>
    <row r="1358">
      <c r="A1358" s="2"/>
      <c r="B1358" s="2"/>
      <c r="C1358" s="34"/>
      <c r="E1358" s="12"/>
      <c r="F1358" s="12"/>
      <c r="G1358" s="36"/>
      <c r="H1358" s="36"/>
      <c r="I1358" s="27"/>
      <c r="J1358" s="2"/>
      <c r="K1358" s="2"/>
    </row>
    <row r="1359">
      <c r="A1359" s="2"/>
      <c r="B1359" s="2"/>
      <c r="C1359" s="34"/>
      <c r="E1359" s="12"/>
      <c r="F1359" s="12"/>
      <c r="G1359" s="36"/>
      <c r="H1359" s="36"/>
      <c r="I1359" s="27"/>
      <c r="J1359" s="2"/>
      <c r="K1359" s="2"/>
    </row>
    <row r="1360">
      <c r="A1360" s="2"/>
      <c r="B1360" s="2"/>
      <c r="C1360" s="34"/>
      <c r="E1360" s="12"/>
      <c r="F1360" s="12"/>
      <c r="G1360" s="36"/>
      <c r="H1360" s="36"/>
      <c r="I1360" s="27"/>
      <c r="J1360" s="2"/>
      <c r="K1360" s="2"/>
    </row>
    <row r="1361">
      <c r="A1361" s="2"/>
      <c r="B1361" s="2"/>
      <c r="C1361" s="34"/>
      <c r="E1361" s="12"/>
      <c r="F1361" s="12"/>
      <c r="G1361" s="36"/>
      <c r="H1361" s="36"/>
      <c r="I1361" s="27"/>
      <c r="J1361" s="2"/>
      <c r="K1361" s="2"/>
    </row>
    <row r="1362">
      <c r="A1362" s="2"/>
      <c r="B1362" s="2"/>
      <c r="C1362" s="34"/>
      <c r="E1362" s="12"/>
      <c r="F1362" s="12"/>
      <c r="G1362" s="36"/>
      <c r="H1362" s="36"/>
      <c r="I1362" s="27"/>
      <c r="J1362" s="2"/>
      <c r="K1362" s="2"/>
    </row>
    <row r="1363">
      <c r="A1363" s="2"/>
      <c r="B1363" s="2"/>
      <c r="C1363" s="34"/>
      <c r="E1363" s="12"/>
      <c r="F1363" s="12"/>
      <c r="G1363" s="36"/>
      <c r="H1363" s="36"/>
      <c r="I1363" s="27"/>
      <c r="J1363" s="2"/>
      <c r="K1363" s="2"/>
    </row>
    <row r="1364">
      <c r="A1364" s="2"/>
      <c r="B1364" s="2"/>
      <c r="C1364" s="34"/>
      <c r="E1364" s="12"/>
      <c r="F1364" s="12"/>
      <c r="G1364" s="36"/>
      <c r="H1364" s="36"/>
      <c r="I1364" s="27"/>
      <c r="J1364" s="2"/>
      <c r="K1364" s="2"/>
    </row>
    <row r="1365">
      <c r="A1365" s="2"/>
      <c r="B1365" s="2"/>
      <c r="C1365" s="34"/>
      <c r="E1365" s="12"/>
      <c r="F1365" s="12"/>
      <c r="G1365" s="36"/>
      <c r="H1365" s="36"/>
      <c r="I1365" s="27"/>
      <c r="J1365" s="2"/>
      <c r="K1365" s="2"/>
    </row>
    <row r="1366">
      <c r="A1366" s="2"/>
      <c r="B1366" s="2"/>
      <c r="C1366" s="34"/>
      <c r="E1366" s="12"/>
      <c r="F1366" s="12"/>
      <c r="G1366" s="36"/>
      <c r="H1366" s="36"/>
      <c r="I1366" s="27"/>
      <c r="J1366" s="2"/>
      <c r="K1366" s="2"/>
    </row>
    <row r="1367">
      <c r="A1367" s="2"/>
      <c r="B1367" s="2"/>
      <c r="C1367" s="34"/>
      <c r="E1367" s="12"/>
      <c r="F1367" s="12"/>
      <c r="G1367" s="36"/>
      <c r="H1367" s="36"/>
      <c r="I1367" s="27"/>
      <c r="J1367" s="2"/>
      <c r="K1367" s="2"/>
    </row>
    <row r="1368">
      <c r="A1368" s="2"/>
      <c r="B1368" s="2"/>
      <c r="C1368" s="34"/>
      <c r="E1368" s="12"/>
      <c r="F1368" s="12"/>
      <c r="G1368" s="36"/>
      <c r="H1368" s="36"/>
      <c r="I1368" s="27"/>
      <c r="J1368" s="2"/>
      <c r="K1368" s="2"/>
    </row>
    <row r="1369">
      <c r="A1369" s="2"/>
      <c r="B1369" s="2"/>
      <c r="C1369" s="34"/>
      <c r="E1369" s="12"/>
      <c r="F1369" s="12"/>
      <c r="G1369" s="36"/>
      <c r="H1369" s="36"/>
      <c r="I1369" s="27"/>
      <c r="J1369" s="2"/>
      <c r="K1369" s="2"/>
    </row>
    <row r="1370">
      <c r="A1370" s="2"/>
      <c r="B1370" s="2"/>
      <c r="C1370" s="34"/>
      <c r="E1370" s="12"/>
      <c r="F1370" s="12"/>
      <c r="G1370" s="36"/>
      <c r="H1370" s="36"/>
      <c r="I1370" s="27"/>
      <c r="J1370" s="2"/>
      <c r="K1370" s="2"/>
    </row>
    <row r="1371">
      <c r="A1371" s="2"/>
      <c r="B1371" s="2"/>
      <c r="C1371" s="34"/>
      <c r="E1371" s="12"/>
      <c r="F1371" s="12"/>
      <c r="G1371" s="36"/>
      <c r="H1371" s="36"/>
      <c r="I1371" s="27"/>
      <c r="J1371" s="2"/>
      <c r="K1371" s="2"/>
    </row>
    <row r="1372">
      <c r="A1372" s="2"/>
      <c r="B1372" s="2"/>
      <c r="C1372" s="34"/>
      <c r="E1372" s="12"/>
      <c r="F1372" s="12"/>
      <c r="G1372" s="36"/>
      <c r="H1372" s="36"/>
      <c r="I1372" s="27"/>
      <c r="J1372" s="2"/>
      <c r="K1372" s="2"/>
    </row>
    <row r="1373">
      <c r="A1373" s="2"/>
      <c r="B1373" s="2"/>
      <c r="C1373" s="34"/>
      <c r="E1373" s="12"/>
      <c r="F1373" s="12"/>
      <c r="G1373" s="36"/>
      <c r="H1373" s="36"/>
      <c r="I1373" s="27"/>
      <c r="J1373" s="2"/>
      <c r="K1373" s="2"/>
    </row>
    <row r="1374">
      <c r="A1374" s="2"/>
      <c r="B1374" s="2"/>
      <c r="C1374" s="34"/>
      <c r="E1374" s="12"/>
      <c r="F1374" s="12"/>
      <c r="G1374" s="36"/>
      <c r="H1374" s="36"/>
      <c r="I1374" s="27"/>
      <c r="J1374" s="2"/>
      <c r="K1374" s="2"/>
    </row>
    <row r="1375">
      <c r="A1375" s="2"/>
      <c r="B1375" s="2"/>
      <c r="C1375" s="34"/>
      <c r="E1375" s="12"/>
      <c r="F1375" s="12"/>
      <c r="G1375" s="36"/>
      <c r="H1375" s="36"/>
      <c r="I1375" s="27"/>
      <c r="J1375" s="2"/>
      <c r="K1375" s="2"/>
    </row>
    <row r="1376">
      <c r="A1376" s="2"/>
      <c r="B1376" s="2"/>
      <c r="C1376" s="34"/>
      <c r="E1376" s="12"/>
      <c r="F1376" s="12"/>
      <c r="G1376" s="36"/>
      <c r="H1376" s="36"/>
      <c r="I1376" s="27"/>
      <c r="J1376" s="2"/>
      <c r="K1376" s="2"/>
    </row>
    <row r="1377">
      <c r="A1377" s="2"/>
      <c r="B1377" s="2"/>
      <c r="C1377" s="34"/>
      <c r="E1377" s="12"/>
      <c r="F1377" s="12"/>
      <c r="G1377" s="36"/>
      <c r="H1377" s="36"/>
      <c r="I1377" s="27"/>
      <c r="J1377" s="2"/>
      <c r="K1377" s="2"/>
    </row>
    <row r="1378">
      <c r="A1378" s="2"/>
      <c r="B1378" s="2"/>
      <c r="C1378" s="34"/>
      <c r="E1378" s="12"/>
      <c r="F1378" s="12"/>
      <c r="G1378" s="36"/>
      <c r="H1378" s="36"/>
      <c r="I1378" s="27"/>
      <c r="J1378" s="2"/>
      <c r="K1378" s="2"/>
    </row>
    <row r="1379">
      <c r="A1379" s="2"/>
      <c r="B1379" s="2"/>
      <c r="C1379" s="34"/>
      <c r="E1379" s="12"/>
      <c r="F1379" s="12"/>
      <c r="G1379" s="36"/>
      <c r="H1379" s="36"/>
      <c r="I1379" s="27"/>
      <c r="J1379" s="2"/>
      <c r="K1379" s="2"/>
    </row>
    <row r="1380">
      <c r="A1380" s="2"/>
      <c r="B1380" s="2"/>
      <c r="C1380" s="34"/>
      <c r="E1380" s="12"/>
      <c r="F1380" s="12"/>
      <c r="G1380" s="36"/>
      <c r="H1380" s="36"/>
      <c r="I1380" s="27"/>
      <c r="J1380" s="2"/>
      <c r="K1380" s="2"/>
    </row>
    <row r="1381">
      <c r="A1381" s="2"/>
      <c r="B1381" s="2"/>
      <c r="C1381" s="34"/>
      <c r="E1381" s="12"/>
      <c r="F1381" s="12"/>
      <c r="G1381" s="36"/>
      <c r="H1381" s="36"/>
      <c r="I1381" s="27"/>
      <c r="J1381" s="2"/>
      <c r="K1381" s="2"/>
    </row>
    <row r="1382">
      <c r="A1382" s="2"/>
      <c r="B1382" s="2"/>
      <c r="C1382" s="34"/>
      <c r="E1382" s="12"/>
      <c r="F1382" s="12"/>
      <c r="G1382" s="36"/>
      <c r="H1382" s="36"/>
      <c r="I1382" s="27"/>
      <c r="J1382" s="2"/>
      <c r="K1382" s="2"/>
    </row>
    <row r="1383">
      <c r="A1383" s="2"/>
      <c r="B1383" s="2"/>
      <c r="C1383" s="34"/>
      <c r="E1383" s="12"/>
      <c r="F1383" s="12"/>
      <c r="G1383" s="36"/>
      <c r="H1383" s="36"/>
      <c r="I1383" s="27"/>
      <c r="J1383" s="2"/>
      <c r="K1383" s="2"/>
    </row>
    <row r="1384">
      <c r="A1384" s="2"/>
      <c r="B1384" s="2"/>
      <c r="C1384" s="34"/>
      <c r="E1384" s="12"/>
      <c r="F1384" s="12"/>
      <c r="G1384" s="36"/>
      <c r="H1384" s="36"/>
      <c r="I1384" s="27"/>
      <c r="J1384" s="2"/>
      <c r="K1384" s="2"/>
    </row>
    <row r="1385">
      <c r="A1385" s="2"/>
      <c r="B1385" s="2"/>
      <c r="C1385" s="34"/>
      <c r="E1385" s="12"/>
      <c r="F1385" s="12"/>
      <c r="G1385" s="36"/>
      <c r="H1385" s="36"/>
      <c r="I1385" s="27"/>
      <c r="J1385" s="2"/>
      <c r="K1385" s="2"/>
    </row>
    <row r="1386">
      <c r="A1386" s="2"/>
      <c r="B1386" s="2"/>
      <c r="C1386" s="34"/>
      <c r="E1386" s="12"/>
      <c r="F1386" s="12"/>
      <c r="G1386" s="36"/>
      <c r="H1386" s="36"/>
      <c r="I1386" s="27"/>
      <c r="J1386" s="2"/>
      <c r="K1386" s="2"/>
    </row>
    <row r="1387">
      <c r="A1387" s="2"/>
      <c r="B1387" s="2"/>
      <c r="C1387" s="34"/>
      <c r="E1387" s="12"/>
      <c r="F1387" s="12"/>
      <c r="G1387" s="36"/>
      <c r="H1387" s="36"/>
      <c r="I1387" s="27"/>
      <c r="J1387" s="2"/>
      <c r="K1387" s="2"/>
    </row>
    <row r="1388">
      <c r="A1388" s="2"/>
      <c r="B1388" s="2"/>
      <c r="C1388" s="34"/>
      <c r="E1388" s="12"/>
      <c r="F1388" s="12"/>
      <c r="G1388" s="36"/>
      <c r="H1388" s="36"/>
      <c r="I1388" s="27"/>
      <c r="J1388" s="2"/>
      <c r="K1388" s="2"/>
    </row>
    <row r="1389">
      <c r="A1389" s="2"/>
      <c r="B1389" s="2"/>
      <c r="C1389" s="34"/>
      <c r="E1389" s="12"/>
      <c r="F1389" s="12"/>
      <c r="G1389" s="36"/>
      <c r="H1389" s="36"/>
      <c r="I1389" s="27"/>
      <c r="J1389" s="2"/>
      <c r="K1389" s="2"/>
    </row>
    <row r="1390">
      <c r="A1390" s="2"/>
      <c r="B1390" s="2"/>
      <c r="C1390" s="34"/>
      <c r="E1390" s="12"/>
      <c r="F1390" s="12"/>
      <c r="G1390" s="36"/>
      <c r="H1390" s="36"/>
      <c r="I1390" s="27"/>
      <c r="J1390" s="2"/>
      <c r="K1390" s="2"/>
    </row>
    <row r="1391">
      <c r="A1391" s="2"/>
      <c r="B1391" s="2"/>
      <c r="C1391" s="34"/>
      <c r="E1391" s="12"/>
      <c r="F1391" s="12"/>
      <c r="G1391" s="36"/>
      <c r="H1391" s="36"/>
      <c r="I1391" s="27"/>
      <c r="J1391" s="2"/>
      <c r="K1391" s="2"/>
    </row>
    <row r="1392">
      <c r="A1392" s="2"/>
      <c r="B1392" s="2"/>
      <c r="C1392" s="34"/>
      <c r="E1392" s="12"/>
      <c r="F1392" s="12"/>
      <c r="G1392" s="36"/>
      <c r="H1392" s="36"/>
      <c r="I1392" s="27"/>
      <c r="J1392" s="2"/>
      <c r="K1392" s="2"/>
    </row>
    <row r="1393">
      <c r="A1393" s="2"/>
      <c r="B1393" s="2"/>
      <c r="C1393" s="34"/>
      <c r="E1393" s="12"/>
      <c r="F1393" s="12"/>
      <c r="G1393" s="36"/>
      <c r="H1393" s="36"/>
      <c r="I1393" s="27"/>
      <c r="J1393" s="2"/>
      <c r="K1393" s="2"/>
    </row>
    <row r="1394">
      <c r="A1394" s="2"/>
      <c r="B1394" s="2"/>
      <c r="C1394" s="34"/>
      <c r="E1394" s="12"/>
      <c r="F1394" s="12"/>
      <c r="G1394" s="36"/>
      <c r="H1394" s="36"/>
      <c r="I1394" s="27"/>
      <c r="J1394" s="2"/>
      <c r="K1394" s="2"/>
    </row>
    <row r="1395">
      <c r="A1395" s="2"/>
      <c r="B1395" s="2"/>
      <c r="C1395" s="34"/>
      <c r="E1395" s="12"/>
      <c r="F1395" s="12"/>
      <c r="G1395" s="36"/>
      <c r="H1395" s="36"/>
      <c r="I1395" s="27"/>
      <c r="J1395" s="2"/>
      <c r="K1395" s="2"/>
    </row>
    <row r="1396">
      <c r="A1396" s="2"/>
      <c r="B1396" s="2"/>
      <c r="C1396" s="34"/>
      <c r="E1396" s="12"/>
      <c r="F1396" s="12"/>
      <c r="G1396" s="36"/>
      <c r="H1396" s="36"/>
      <c r="I1396" s="27"/>
      <c r="J1396" s="2"/>
      <c r="K1396" s="2"/>
    </row>
    <row r="1397">
      <c r="A1397" s="2"/>
      <c r="B1397" s="2"/>
      <c r="C1397" s="34"/>
      <c r="E1397" s="12"/>
      <c r="F1397" s="12"/>
      <c r="G1397" s="36"/>
      <c r="H1397" s="36"/>
      <c r="I1397" s="27"/>
      <c r="J1397" s="2"/>
      <c r="K1397" s="2"/>
    </row>
    <row r="1398">
      <c r="A1398" s="2"/>
      <c r="B1398" s="2"/>
      <c r="C1398" s="34"/>
      <c r="E1398" s="12"/>
      <c r="F1398" s="12"/>
      <c r="G1398" s="36"/>
      <c r="H1398" s="36"/>
      <c r="I1398" s="27"/>
      <c r="J1398" s="2"/>
      <c r="K1398" s="2"/>
    </row>
    <row r="1399">
      <c r="A1399" s="2"/>
      <c r="B1399" s="2"/>
      <c r="C1399" s="34"/>
      <c r="E1399" s="12"/>
      <c r="F1399" s="12"/>
      <c r="G1399" s="36"/>
      <c r="H1399" s="36"/>
      <c r="I1399" s="27"/>
      <c r="J1399" s="2"/>
      <c r="K1399" s="2"/>
    </row>
    <row r="1400">
      <c r="A1400" s="2"/>
      <c r="B1400" s="2"/>
      <c r="C1400" s="34"/>
      <c r="E1400" s="12"/>
      <c r="F1400" s="12"/>
      <c r="G1400" s="36"/>
      <c r="H1400" s="36"/>
      <c r="I1400" s="27"/>
      <c r="J1400" s="2"/>
      <c r="K1400" s="2"/>
    </row>
    <row r="1401">
      <c r="A1401" s="2"/>
      <c r="B1401" s="2"/>
      <c r="C1401" s="34"/>
      <c r="E1401" s="12"/>
      <c r="F1401" s="12"/>
      <c r="G1401" s="36"/>
      <c r="H1401" s="36"/>
      <c r="I1401" s="27"/>
      <c r="J1401" s="2"/>
      <c r="K1401" s="2"/>
    </row>
    <row r="1402">
      <c r="A1402" s="2"/>
      <c r="B1402" s="2"/>
      <c r="C1402" s="34"/>
      <c r="E1402" s="12"/>
      <c r="F1402" s="12"/>
      <c r="G1402" s="36"/>
      <c r="H1402" s="36"/>
      <c r="I1402" s="27"/>
      <c r="J1402" s="2"/>
      <c r="K1402" s="2"/>
    </row>
    <row r="1403">
      <c r="A1403" s="2"/>
      <c r="B1403" s="2"/>
      <c r="C1403" s="34"/>
      <c r="E1403" s="12"/>
      <c r="F1403" s="12"/>
      <c r="G1403" s="36"/>
      <c r="H1403" s="36"/>
      <c r="I1403" s="27"/>
      <c r="J1403" s="2"/>
      <c r="K1403" s="2"/>
    </row>
    <row r="1404">
      <c r="A1404" s="2"/>
      <c r="B1404" s="2"/>
      <c r="C1404" s="34"/>
      <c r="E1404" s="12"/>
      <c r="F1404" s="12"/>
      <c r="G1404" s="36"/>
      <c r="H1404" s="36"/>
      <c r="I1404" s="27"/>
      <c r="J1404" s="2"/>
      <c r="K1404" s="2"/>
    </row>
    <row r="1405">
      <c r="A1405" s="2"/>
      <c r="B1405" s="2"/>
      <c r="C1405" s="34"/>
      <c r="E1405" s="12"/>
      <c r="F1405" s="12"/>
      <c r="G1405" s="36"/>
      <c r="H1405" s="36"/>
      <c r="I1405" s="27"/>
      <c r="J1405" s="2"/>
      <c r="K1405" s="2"/>
    </row>
    <row r="1406">
      <c r="A1406" s="2"/>
      <c r="B1406" s="2"/>
      <c r="C1406" s="34"/>
      <c r="E1406" s="12"/>
      <c r="F1406" s="12"/>
      <c r="G1406" s="36"/>
      <c r="H1406" s="36"/>
      <c r="I1406" s="27"/>
      <c r="J1406" s="2"/>
      <c r="K1406" s="2"/>
    </row>
    <row r="1407">
      <c r="A1407" s="2"/>
      <c r="B1407" s="2"/>
      <c r="C1407" s="34"/>
      <c r="E1407" s="12"/>
      <c r="F1407" s="12"/>
      <c r="G1407" s="36"/>
      <c r="H1407" s="36"/>
      <c r="I1407" s="27"/>
      <c r="J1407" s="2"/>
      <c r="K1407" s="2"/>
    </row>
    <row r="1408">
      <c r="A1408" s="2"/>
      <c r="B1408" s="2"/>
      <c r="C1408" s="34"/>
      <c r="E1408" s="12"/>
      <c r="F1408" s="12"/>
      <c r="G1408" s="36"/>
      <c r="H1408" s="36"/>
      <c r="I1408" s="27"/>
      <c r="J1408" s="2"/>
      <c r="K1408" s="2"/>
    </row>
    <row r="1409">
      <c r="A1409" s="2"/>
      <c r="B1409" s="2"/>
      <c r="C1409" s="34"/>
      <c r="E1409" s="12"/>
      <c r="F1409" s="12"/>
      <c r="G1409" s="36"/>
      <c r="H1409" s="36"/>
      <c r="I1409" s="27"/>
      <c r="J1409" s="2"/>
      <c r="K1409" s="2"/>
    </row>
    <row r="1410">
      <c r="A1410" s="2"/>
      <c r="B1410" s="2"/>
      <c r="C1410" s="34"/>
      <c r="E1410" s="12"/>
      <c r="F1410" s="12"/>
      <c r="G1410" s="36"/>
      <c r="H1410" s="36"/>
      <c r="I1410" s="27"/>
      <c r="J1410" s="2"/>
      <c r="K1410" s="2"/>
    </row>
    <row r="1411">
      <c r="A1411" s="2"/>
      <c r="B1411" s="2"/>
      <c r="C1411" s="34"/>
      <c r="E1411" s="12"/>
      <c r="F1411" s="12"/>
      <c r="G1411" s="36"/>
      <c r="H1411" s="36"/>
      <c r="I1411" s="27"/>
      <c r="J1411" s="2"/>
      <c r="K1411" s="2"/>
    </row>
    <row r="1412">
      <c r="A1412" s="2"/>
      <c r="B1412" s="2"/>
      <c r="C1412" s="34"/>
      <c r="E1412" s="12"/>
      <c r="F1412" s="12"/>
      <c r="G1412" s="36"/>
      <c r="H1412" s="36"/>
      <c r="I1412" s="27"/>
      <c r="J1412" s="2"/>
      <c r="K1412" s="2"/>
    </row>
    <row r="1413">
      <c r="A1413" s="2"/>
      <c r="B1413" s="2"/>
      <c r="C1413" s="34"/>
      <c r="E1413" s="12"/>
      <c r="F1413" s="12"/>
      <c r="G1413" s="36"/>
      <c r="H1413" s="36"/>
      <c r="I1413" s="27"/>
      <c r="J1413" s="2"/>
      <c r="K1413" s="2"/>
    </row>
    <row r="1414">
      <c r="A1414" s="2"/>
      <c r="B1414" s="2"/>
      <c r="C1414" s="34"/>
      <c r="E1414" s="12"/>
      <c r="F1414" s="12"/>
      <c r="G1414" s="36"/>
      <c r="H1414" s="36"/>
      <c r="I1414" s="27"/>
      <c r="J1414" s="2"/>
      <c r="K1414" s="2"/>
    </row>
    <row r="1415">
      <c r="A1415" s="2"/>
      <c r="B1415" s="2"/>
      <c r="C1415" s="34"/>
      <c r="E1415" s="12"/>
      <c r="F1415" s="12"/>
      <c r="G1415" s="36"/>
      <c r="H1415" s="36"/>
      <c r="I1415" s="27"/>
      <c r="J1415" s="2"/>
      <c r="K1415" s="2"/>
    </row>
    <row r="1416">
      <c r="A1416" s="2"/>
      <c r="B1416" s="2"/>
      <c r="C1416" s="34"/>
      <c r="E1416" s="12"/>
      <c r="F1416" s="12"/>
      <c r="G1416" s="36"/>
      <c r="H1416" s="36"/>
      <c r="I1416" s="27"/>
      <c r="J1416" s="2"/>
      <c r="K1416" s="2"/>
    </row>
    <row r="1417">
      <c r="A1417" s="2"/>
      <c r="B1417" s="2"/>
      <c r="C1417" s="34"/>
      <c r="E1417" s="12"/>
      <c r="F1417" s="12"/>
      <c r="G1417" s="36"/>
      <c r="H1417" s="36"/>
      <c r="I1417" s="27"/>
      <c r="J1417" s="2"/>
      <c r="K1417" s="2"/>
    </row>
    <row r="1418">
      <c r="A1418" s="2"/>
      <c r="B1418" s="2"/>
      <c r="C1418" s="34"/>
      <c r="E1418" s="12"/>
      <c r="F1418" s="12"/>
      <c r="G1418" s="36"/>
      <c r="H1418" s="36"/>
      <c r="I1418" s="27"/>
      <c r="J1418" s="2"/>
      <c r="K1418" s="2"/>
    </row>
    <row r="1419">
      <c r="A1419" s="2"/>
      <c r="B1419" s="2"/>
      <c r="C1419" s="34"/>
      <c r="E1419" s="12"/>
      <c r="F1419" s="12"/>
      <c r="G1419" s="36"/>
      <c r="H1419" s="36"/>
      <c r="I1419" s="27"/>
      <c r="J1419" s="2"/>
      <c r="K1419" s="2"/>
    </row>
    <row r="1420">
      <c r="A1420" s="2"/>
      <c r="B1420" s="2"/>
      <c r="C1420" s="34"/>
      <c r="E1420" s="12"/>
      <c r="F1420" s="12"/>
      <c r="G1420" s="36"/>
      <c r="H1420" s="36"/>
      <c r="I1420" s="27"/>
      <c r="J1420" s="2"/>
      <c r="K1420" s="2"/>
    </row>
    <row r="1421">
      <c r="A1421" s="2"/>
      <c r="B1421" s="2"/>
      <c r="C1421" s="34"/>
      <c r="E1421" s="12"/>
      <c r="F1421" s="12"/>
      <c r="G1421" s="36"/>
      <c r="H1421" s="36"/>
      <c r="I1421" s="27"/>
      <c r="J1421" s="2"/>
      <c r="K1421" s="2"/>
    </row>
    <row r="1422">
      <c r="A1422" s="2"/>
      <c r="B1422" s="2"/>
      <c r="C1422" s="34"/>
      <c r="E1422" s="12"/>
      <c r="F1422" s="12"/>
      <c r="G1422" s="36"/>
      <c r="H1422" s="36"/>
      <c r="I1422" s="27"/>
      <c r="J1422" s="2"/>
      <c r="K1422" s="2"/>
    </row>
    <row r="1423">
      <c r="A1423" s="2"/>
      <c r="B1423" s="2"/>
      <c r="C1423" s="34"/>
      <c r="E1423" s="12"/>
      <c r="F1423" s="12"/>
      <c r="G1423" s="36"/>
      <c r="H1423" s="36"/>
      <c r="I1423" s="27"/>
      <c r="J1423" s="2"/>
      <c r="K1423" s="2"/>
    </row>
    <row r="1424">
      <c r="A1424" s="2"/>
      <c r="B1424" s="2"/>
      <c r="C1424" s="34"/>
      <c r="E1424" s="12"/>
      <c r="F1424" s="12"/>
      <c r="G1424" s="36"/>
      <c r="H1424" s="36"/>
      <c r="I1424" s="27"/>
      <c r="J1424" s="2"/>
      <c r="K1424" s="2"/>
    </row>
    <row r="1425">
      <c r="A1425" s="2"/>
      <c r="B1425" s="2"/>
      <c r="C1425" s="34"/>
      <c r="E1425" s="12"/>
      <c r="F1425" s="12"/>
      <c r="G1425" s="36"/>
      <c r="H1425" s="36"/>
      <c r="I1425" s="27"/>
      <c r="J1425" s="2"/>
      <c r="K1425" s="2"/>
    </row>
    <row r="1426">
      <c r="A1426" s="2"/>
      <c r="B1426" s="2"/>
      <c r="C1426" s="34"/>
      <c r="E1426" s="12"/>
      <c r="F1426" s="12"/>
      <c r="G1426" s="36"/>
      <c r="H1426" s="36"/>
      <c r="I1426" s="27"/>
      <c r="J1426" s="2"/>
      <c r="K1426" s="2"/>
    </row>
    <row r="1427">
      <c r="A1427" s="2"/>
      <c r="B1427" s="2"/>
      <c r="C1427" s="34"/>
      <c r="E1427" s="12"/>
      <c r="F1427" s="12"/>
      <c r="G1427" s="36"/>
      <c r="H1427" s="36"/>
      <c r="I1427" s="27"/>
      <c r="J1427" s="2"/>
      <c r="K1427" s="2"/>
    </row>
    <row r="1428">
      <c r="A1428" s="2"/>
      <c r="B1428" s="2"/>
      <c r="C1428" s="34"/>
      <c r="E1428" s="12"/>
      <c r="F1428" s="12"/>
      <c r="G1428" s="36"/>
      <c r="H1428" s="36"/>
      <c r="I1428" s="27"/>
      <c r="J1428" s="2"/>
      <c r="K1428" s="2"/>
    </row>
    <row r="1429">
      <c r="A1429" s="2"/>
      <c r="B1429" s="2"/>
      <c r="C1429" s="34"/>
      <c r="E1429" s="12"/>
      <c r="F1429" s="12"/>
      <c r="G1429" s="36"/>
      <c r="H1429" s="36"/>
      <c r="I1429" s="27"/>
      <c r="J1429" s="2"/>
      <c r="K1429" s="2"/>
    </row>
    <row r="1430">
      <c r="A1430" s="2"/>
      <c r="B1430" s="2"/>
      <c r="C1430" s="34"/>
      <c r="E1430" s="12"/>
      <c r="F1430" s="12"/>
      <c r="G1430" s="36"/>
      <c r="H1430" s="36"/>
      <c r="I1430" s="27"/>
      <c r="J1430" s="2"/>
      <c r="K1430" s="2"/>
    </row>
    <row r="1431">
      <c r="A1431" s="2"/>
      <c r="B1431" s="2"/>
      <c r="C1431" s="34"/>
      <c r="E1431" s="12"/>
      <c r="F1431" s="12"/>
      <c r="G1431" s="36"/>
      <c r="H1431" s="36"/>
      <c r="I1431" s="27"/>
      <c r="J1431" s="2"/>
      <c r="K1431" s="2"/>
    </row>
    <row r="1432">
      <c r="A1432" s="2"/>
      <c r="B1432" s="2"/>
      <c r="C1432" s="34"/>
      <c r="E1432" s="12"/>
      <c r="F1432" s="12"/>
      <c r="G1432" s="36"/>
      <c r="H1432" s="36"/>
      <c r="I1432" s="27"/>
      <c r="J1432" s="2"/>
      <c r="K1432" s="2"/>
    </row>
    <row r="1433">
      <c r="A1433" s="2"/>
      <c r="B1433" s="2"/>
      <c r="C1433" s="34"/>
      <c r="E1433" s="12"/>
      <c r="F1433" s="12"/>
      <c r="G1433" s="36"/>
      <c r="H1433" s="36"/>
      <c r="I1433" s="27"/>
      <c r="J1433" s="2"/>
      <c r="K1433" s="2"/>
    </row>
    <row r="1434">
      <c r="A1434" s="2"/>
      <c r="B1434" s="2"/>
      <c r="C1434" s="34"/>
      <c r="E1434" s="12"/>
      <c r="F1434" s="12"/>
      <c r="G1434" s="36"/>
      <c r="H1434" s="36"/>
      <c r="I1434" s="27"/>
      <c r="J1434" s="2"/>
      <c r="K1434" s="2"/>
    </row>
    <row r="1435">
      <c r="A1435" s="2"/>
      <c r="B1435" s="2"/>
      <c r="C1435" s="34"/>
      <c r="E1435" s="12"/>
      <c r="F1435" s="12"/>
      <c r="G1435" s="36"/>
      <c r="H1435" s="36"/>
      <c r="I1435" s="27"/>
      <c r="J1435" s="2"/>
      <c r="K1435" s="2"/>
    </row>
    <row r="1436">
      <c r="A1436" s="2"/>
      <c r="B1436" s="2"/>
      <c r="C1436" s="34"/>
      <c r="E1436" s="12"/>
      <c r="F1436" s="12"/>
      <c r="G1436" s="36"/>
      <c r="H1436" s="36"/>
      <c r="I1436" s="27"/>
      <c r="J1436" s="2"/>
      <c r="K1436" s="2"/>
    </row>
    <row r="1437">
      <c r="A1437" s="2"/>
      <c r="B1437" s="2"/>
      <c r="C1437" s="34"/>
      <c r="E1437" s="12"/>
      <c r="F1437" s="12"/>
      <c r="G1437" s="36"/>
      <c r="H1437" s="36"/>
      <c r="I1437" s="27"/>
      <c r="J1437" s="2"/>
      <c r="K1437" s="2"/>
    </row>
    <row r="1438">
      <c r="A1438" s="2"/>
      <c r="B1438" s="2"/>
      <c r="C1438" s="34"/>
      <c r="E1438" s="12"/>
      <c r="F1438" s="12"/>
      <c r="G1438" s="36"/>
      <c r="H1438" s="36"/>
      <c r="I1438" s="27"/>
      <c r="J1438" s="2"/>
      <c r="K1438" s="2"/>
    </row>
    <row r="1439">
      <c r="A1439" s="2"/>
      <c r="B1439" s="2"/>
      <c r="C1439" s="34"/>
      <c r="E1439" s="12"/>
      <c r="F1439" s="12"/>
      <c r="G1439" s="36"/>
      <c r="H1439" s="36"/>
      <c r="I1439" s="27"/>
      <c r="J1439" s="2"/>
      <c r="K1439" s="2"/>
    </row>
    <row r="1440">
      <c r="A1440" s="2"/>
      <c r="B1440" s="2"/>
      <c r="C1440" s="34"/>
      <c r="E1440" s="12"/>
      <c r="F1440" s="12"/>
      <c r="G1440" s="36"/>
      <c r="H1440" s="36"/>
      <c r="I1440" s="27"/>
      <c r="J1440" s="2"/>
      <c r="K1440" s="2"/>
    </row>
    <row r="1441">
      <c r="A1441" s="2"/>
      <c r="B1441" s="2"/>
      <c r="C1441" s="34"/>
      <c r="E1441" s="12"/>
      <c r="F1441" s="12"/>
      <c r="G1441" s="36"/>
      <c r="H1441" s="36"/>
      <c r="I1441" s="27"/>
      <c r="J1441" s="2"/>
      <c r="K1441" s="2"/>
    </row>
    <row r="1442">
      <c r="A1442" s="2"/>
      <c r="B1442" s="2"/>
      <c r="C1442" s="34"/>
      <c r="E1442" s="12"/>
      <c r="F1442" s="12"/>
      <c r="G1442" s="36"/>
      <c r="H1442" s="36"/>
      <c r="I1442" s="27"/>
      <c r="J1442" s="2"/>
      <c r="K1442" s="2"/>
    </row>
    <row r="1443">
      <c r="A1443" s="2"/>
      <c r="B1443" s="2"/>
      <c r="C1443" s="34"/>
      <c r="E1443" s="12"/>
      <c r="F1443" s="12"/>
      <c r="G1443" s="36"/>
      <c r="H1443" s="36"/>
      <c r="I1443" s="27"/>
      <c r="J1443" s="2"/>
      <c r="K1443" s="2"/>
    </row>
    <row r="1444">
      <c r="A1444" s="2"/>
      <c r="B1444" s="2"/>
      <c r="C1444" s="34"/>
      <c r="E1444" s="12"/>
      <c r="F1444" s="12"/>
      <c r="G1444" s="36"/>
      <c r="H1444" s="36"/>
      <c r="I1444" s="27"/>
      <c r="J1444" s="2"/>
      <c r="K1444" s="2"/>
    </row>
    <row r="1445">
      <c r="A1445" s="2"/>
      <c r="B1445" s="2"/>
      <c r="C1445" s="34"/>
      <c r="E1445" s="12"/>
      <c r="F1445" s="12"/>
      <c r="G1445" s="36"/>
      <c r="H1445" s="36"/>
      <c r="I1445" s="27"/>
      <c r="J1445" s="2"/>
      <c r="K1445" s="2"/>
    </row>
    <row r="1446">
      <c r="A1446" s="2"/>
      <c r="B1446" s="2"/>
      <c r="C1446" s="34"/>
      <c r="E1446" s="12"/>
      <c r="F1446" s="12"/>
      <c r="G1446" s="36"/>
      <c r="H1446" s="36"/>
      <c r="I1446" s="27"/>
      <c r="J1446" s="2"/>
      <c r="K1446" s="2"/>
    </row>
    <row r="1447">
      <c r="A1447" s="2"/>
      <c r="B1447" s="2"/>
      <c r="C1447" s="34"/>
      <c r="E1447" s="12"/>
      <c r="F1447" s="12"/>
      <c r="G1447" s="36"/>
      <c r="H1447" s="36"/>
      <c r="I1447" s="27"/>
      <c r="J1447" s="2"/>
      <c r="K1447" s="2"/>
    </row>
    <row r="1448">
      <c r="A1448" s="2"/>
      <c r="B1448" s="2"/>
      <c r="C1448" s="34"/>
      <c r="E1448" s="12"/>
      <c r="F1448" s="12"/>
      <c r="G1448" s="36"/>
      <c r="H1448" s="36"/>
      <c r="I1448" s="27"/>
      <c r="J1448" s="2"/>
      <c r="K1448" s="2"/>
    </row>
    <row r="1449">
      <c r="A1449" s="2"/>
      <c r="B1449" s="2"/>
      <c r="C1449" s="34"/>
      <c r="E1449" s="12"/>
      <c r="F1449" s="12"/>
      <c r="G1449" s="36"/>
      <c r="H1449" s="36"/>
      <c r="I1449" s="27"/>
      <c r="J1449" s="2"/>
      <c r="K1449" s="2"/>
    </row>
    <row r="1450">
      <c r="A1450" s="2"/>
      <c r="B1450" s="2"/>
      <c r="C1450" s="34"/>
      <c r="E1450" s="12"/>
      <c r="F1450" s="12"/>
      <c r="G1450" s="36"/>
      <c r="H1450" s="36"/>
      <c r="I1450" s="27"/>
      <c r="J1450" s="2"/>
      <c r="K1450" s="2"/>
    </row>
    <row r="1451">
      <c r="A1451" s="2"/>
      <c r="B1451" s="2"/>
      <c r="C1451" s="34"/>
      <c r="E1451" s="12"/>
      <c r="F1451" s="12"/>
      <c r="G1451" s="36"/>
      <c r="H1451" s="36"/>
      <c r="I1451" s="27"/>
      <c r="J1451" s="2"/>
      <c r="K1451" s="2"/>
    </row>
    <row r="1452">
      <c r="A1452" s="2"/>
      <c r="B1452" s="2"/>
      <c r="C1452" s="34"/>
      <c r="E1452" s="12"/>
      <c r="F1452" s="12"/>
      <c r="G1452" s="36"/>
      <c r="H1452" s="36"/>
      <c r="I1452" s="27"/>
      <c r="J1452" s="2"/>
      <c r="K1452" s="2"/>
    </row>
    <row r="1453">
      <c r="A1453" s="2"/>
      <c r="B1453" s="2"/>
      <c r="C1453" s="34"/>
      <c r="E1453" s="12"/>
      <c r="F1453" s="12"/>
      <c r="G1453" s="36"/>
      <c r="H1453" s="36"/>
      <c r="I1453" s="27"/>
      <c r="J1453" s="2"/>
      <c r="K1453" s="2"/>
    </row>
    <row r="1454">
      <c r="A1454" s="2"/>
      <c r="B1454" s="2"/>
      <c r="C1454" s="34"/>
      <c r="E1454" s="12"/>
      <c r="F1454" s="12"/>
      <c r="G1454" s="36"/>
      <c r="H1454" s="36"/>
      <c r="I1454" s="27"/>
      <c r="J1454" s="2"/>
      <c r="K1454" s="2"/>
    </row>
    <row r="1455">
      <c r="A1455" s="2"/>
      <c r="B1455" s="2"/>
      <c r="C1455" s="34"/>
      <c r="E1455" s="12"/>
      <c r="F1455" s="12"/>
      <c r="G1455" s="36"/>
      <c r="H1455" s="36"/>
      <c r="I1455" s="27"/>
      <c r="J1455" s="2"/>
      <c r="K1455" s="2"/>
    </row>
    <row r="1456">
      <c r="A1456" s="2"/>
      <c r="B1456" s="2"/>
      <c r="C1456" s="34"/>
      <c r="E1456" s="12"/>
      <c r="F1456" s="12"/>
      <c r="G1456" s="36"/>
      <c r="H1456" s="36"/>
      <c r="I1456" s="27"/>
      <c r="J1456" s="2"/>
      <c r="K1456" s="2"/>
    </row>
    <row r="1457">
      <c r="A1457" s="2"/>
      <c r="B1457" s="2"/>
      <c r="C1457" s="34"/>
      <c r="E1457" s="12"/>
      <c r="F1457" s="12"/>
      <c r="G1457" s="36"/>
      <c r="H1457" s="36"/>
      <c r="I1457" s="27"/>
      <c r="J1457" s="2"/>
      <c r="K1457" s="2"/>
    </row>
    <row r="1458">
      <c r="A1458" s="2"/>
      <c r="B1458" s="2"/>
      <c r="C1458" s="34"/>
      <c r="E1458" s="12"/>
      <c r="F1458" s="12"/>
      <c r="G1458" s="36"/>
      <c r="H1458" s="36"/>
      <c r="I1458" s="27"/>
      <c r="J1458" s="2"/>
      <c r="K1458" s="2"/>
    </row>
    <row r="1459">
      <c r="A1459" s="2"/>
      <c r="B1459" s="2"/>
      <c r="C1459" s="34"/>
      <c r="E1459" s="12"/>
      <c r="F1459" s="12"/>
      <c r="G1459" s="36"/>
      <c r="H1459" s="36"/>
      <c r="I1459" s="27"/>
      <c r="J1459" s="2"/>
      <c r="K1459" s="2"/>
    </row>
    <row r="1460">
      <c r="A1460" s="2"/>
      <c r="B1460" s="2"/>
      <c r="C1460" s="34"/>
      <c r="E1460" s="12"/>
      <c r="F1460" s="12"/>
      <c r="G1460" s="36"/>
      <c r="H1460" s="36"/>
      <c r="I1460" s="27"/>
      <c r="J1460" s="2"/>
      <c r="K1460" s="2"/>
    </row>
    <row r="1461">
      <c r="A1461" s="2"/>
      <c r="B1461" s="2"/>
      <c r="C1461" s="34"/>
      <c r="E1461" s="12"/>
      <c r="F1461" s="12"/>
      <c r="G1461" s="36"/>
      <c r="H1461" s="36"/>
      <c r="I1461" s="27"/>
      <c r="J1461" s="2"/>
      <c r="K1461" s="2"/>
    </row>
    <row r="1462">
      <c r="A1462" s="2"/>
      <c r="B1462" s="2"/>
      <c r="C1462" s="34"/>
      <c r="E1462" s="12"/>
      <c r="F1462" s="12"/>
      <c r="G1462" s="36"/>
      <c r="H1462" s="36"/>
      <c r="I1462" s="27"/>
      <c r="J1462" s="2"/>
      <c r="K1462" s="2"/>
    </row>
    <row r="1463">
      <c r="A1463" s="2"/>
      <c r="B1463" s="2"/>
      <c r="C1463" s="34"/>
      <c r="E1463" s="12"/>
      <c r="F1463" s="12"/>
      <c r="G1463" s="36"/>
      <c r="H1463" s="36"/>
      <c r="I1463" s="27"/>
      <c r="J1463" s="2"/>
      <c r="K1463" s="2"/>
    </row>
    <row r="1464">
      <c r="A1464" s="2"/>
      <c r="B1464" s="2"/>
      <c r="C1464" s="34"/>
      <c r="E1464" s="12"/>
      <c r="F1464" s="12"/>
      <c r="G1464" s="36"/>
      <c r="H1464" s="36"/>
      <c r="I1464" s="27"/>
      <c r="J1464" s="2"/>
      <c r="K1464" s="2"/>
    </row>
    <row r="1465">
      <c r="A1465" s="2"/>
      <c r="B1465" s="2"/>
      <c r="C1465" s="34"/>
      <c r="E1465" s="12"/>
      <c r="F1465" s="12"/>
      <c r="G1465" s="36"/>
      <c r="H1465" s="36"/>
      <c r="I1465" s="27"/>
      <c r="J1465" s="2"/>
      <c r="K1465" s="2"/>
    </row>
    <row r="1466">
      <c r="A1466" s="2"/>
      <c r="B1466" s="2"/>
      <c r="C1466" s="34"/>
      <c r="E1466" s="12"/>
      <c r="F1466" s="12"/>
      <c r="G1466" s="36"/>
      <c r="H1466" s="36"/>
      <c r="I1466" s="27"/>
      <c r="J1466" s="2"/>
      <c r="K1466" s="2"/>
    </row>
    <row r="1467">
      <c r="A1467" s="2"/>
      <c r="B1467" s="2"/>
      <c r="C1467" s="34"/>
      <c r="E1467" s="12"/>
      <c r="F1467" s="12"/>
      <c r="G1467" s="36"/>
      <c r="H1467" s="36"/>
      <c r="I1467" s="27"/>
      <c r="J1467" s="2"/>
      <c r="K1467" s="2"/>
    </row>
    <row r="1468">
      <c r="A1468" s="2"/>
      <c r="B1468" s="2"/>
      <c r="C1468" s="34"/>
      <c r="E1468" s="12"/>
      <c r="F1468" s="12"/>
      <c r="G1468" s="36"/>
      <c r="H1468" s="36"/>
      <c r="I1468" s="27"/>
      <c r="J1468" s="2"/>
      <c r="K1468" s="2"/>
    </row>
    <row r="1469">
      <c r="A1469" s="2"/>
      <c r="B1469" s="2"/>
      <c r="C1469" s="34"/>
      <c r="E1469" s="12"/>
      <c r="F1469" s="12"/>
      <c r="G1469" s="36"/>
      <c r="H1469" s="36"/>
      <c r="I1469" s="27"/>
      <c r="J1469" s="2"/>
      <c r="K1469" s="2"/>
    </row>
    <row r="1470">
      <c r="A1470" s="2"/>
      <c r="B1470" s="2"/>
      <c r="C1470" s="34"/>
      <c r="E1470" s="12"/>
      <c r="F1470" s="12"/>
      <c r="G1470" s="36"/>
      <c r="H1470" s="36"/>
      <c r="I1470" s="27"/>
      <c r="J1470" s="2"/>
      <c r="K1470" s="2"/>
    </row>
    <row r="1471">
      <c r="A1471" s="2"/>
      <c r="B1471" s="2"/>
      <c r="C1471" s="34"/>
      <c r="E1471" s="12"/>
      <c r="F1471" s="12"/>
      <c r="G1471" s="36"/>
      <c r="H1471" s="36"/>
      <c r="I1471" s="27"/>
      <c r="J1471" s="2"/>
      <c r="K1471" s="2"/>
    </row>
    <row r="1472">
      <c r="A1472" s="2"/>
      <c r="B1472" s="2"/>
      <c r="C1472" s="34"/>
      <c r="E1472" s="12"/>
      <c r="F1472" s="12"/>
      <c r="G1472" s="36"/>
      <c r="H1472" s="36"/>
      <c r="I1472" s="27"/>
      <c r="J1472" s="2"/>
      <c r="K1472" s="2"/>
    </row>
    <row r="1473">
      <c r="A1473" s="2"/>
      <c r="B1473" s="2"/>
      <c r="C1473" s="34"/>
      <c r="E1473" s="12"/>
      <c r="F1473" s="12"/>
      <c r="G1473" s="36"/>
      <c r="H1473" s="36"/>
      <c r="I1473" s="27"/>
      <c r="J1473" s="2"/>
      <c r="K1473" s="2"/>
    </row>
    <row r="1474">
      <c r="A1474" s="2"/>
      <c r="B1474" s="2"/>
      <c r="C1474" s="34"/>
      <c r="E1474" s="12"/>
      <c r="F1474" s="12"/>
      <c r="G1474" s="36"/>
      <c r="H1474" s="36"/>
      <c r="I1474" s="27"/>
      <c r="J1474" s="2"/>
      <c r="K1474" s="2"/>
    </row>
    <row r="1475">
      <c r="A1475" s="2"/>
      <c r="B1475" s="2"/>
      <c r="C1475" s="34"/>
      <c r="E1475" s="12"/>
      <c r="F1475" s="12"/>
      <c r="G1475" s="36"/>
      <c r="H1475" s="36"/>
      <c r="I1475" s="27"/>
      <c r="J1475" s="2"/>
      <c r="K1475" s="2"/>
    </row>
    <row r="1476">
      <c r="A1476" s="2"/>
      <c r="B1476" s="2"/>
      <c r="C1476" s="34"/>
      <c r="E1476" s="12"/>
      <c r="F1476" s="12"/>
      <c r="G1476" s="36"/>
      <c r="H1476" s="36"/>
      <c r="I1476" s="27"/>
      <c r="J1476" s="2"/>
      <c r="K1476" s="2"/>
    </row>
    <row r="1477">
      <c r="A1477" s="2"/>
      <c r="B1477" s="2"/>
      <c r="C1477" s="34"/>
      <c r="E1477" s="12"/>
      <c r="F1477" s="12"/>
      <c r="G1477" s="36"/>
      <c r="H1477" s="36"/>
      <c r="I1477" s="27"/>
      <c r="J1477" s="2"/>
      <c r="K1477" s="2"/>
    </row>
    <row r="1478">
      <c r="A1478" s="2"/>
      <c r="B1478" s="2"/>
      <c r="C1478" s="34"/>
      <c r="E1478" s="12"/>
      <c r="F1478" s="12"/>
      <c r="G1478" s="36"/>
      <c r="H1478" s="36"/>
      <c r="I1478" s="27"/>
      <c r="J1478" s="2"/>
      <c r="K1478" s="2"/>
    </row>
    <row r="1479">
      <c r="A1479" s="2"/>
      <c r="B1479" s="2"/>
      <c r="C1479" s="34"/>
      <c r="E1479" s="12"/>
      <c r="F1479" s="12"/>
      <c r="G1479" s="36"/>
      <c r="H1479" s="36"/>
      <c r="I1479" s="27"/>
      <c r="J1479" s="2"/>
      <c r="K1479" s="2"/>
    </row>
    <row r="1480">
      <c r="A1480" s="2"/>
      <c r="B1480" s="2"/>
      <c r="C1480" s="34"/>
      <c r="E1480" s="12"/>
      <c r="F1480" s="12"/>
      <c r="G1480" s="36"/>
      <c r="H1480" s="36"/>
      <c r="I1480" s="27"/>
      <c r="J1480" s="2"/>
      <c r="K1480" s="2"/>
    </row>
    <row r="1481">
      <c r="A1481" s="2"/>
      <c r="B1481" s="2"/>
      <c r="C1481" s="34"/>
      <c r="E1481" s="12"/>
      <c r="F1481" s="12"/>
      <c r="G1481" s="36"/>
      <c r="H1481" s="36"/>
      <c r="I1481" s="27"/>
      <c r="J1481" s="2"/>
      <c r="K1481" s="2"/>
    </row>
    <row r="1482">
      <c r="A1482" s="2"/>
      <c r="B1482" s="2"/>
      <c r="C1482" s="34"/>
      <c r="E1482" s="12"/>
      <c r="F1482" s="12"/>
      <c r="G1482" s="36"/>
      <c r="H1482" s="36"/>
      <c r="I1482" s="27"/>
      <c r="J1482" s="2"/>
      <c r="K1482" s="2"/>
    </row>
    <row r="1483">
      <c r="A1483" s="2"/>
      <c r="B1483" s="2"/>
      <c r="C1483" s="34"/>
      <c r="E1483" s="12"/>
      <c r="F1483" s="12"/>
      <c r="G1483" s="36"/>
      <c r="H1483" s="36"/>
      <c r="I1483" s="27"/>
      <c r="J1483" s="2"/>
      <c r="K1483" s="2"/>
    </row>
    <row r="1484">
      <c r="A1484" s="2"/>
      <c r="B1484" s="2"/>
      <c r="C1484" s="34"/>
      <c r="E1484" s="12"/>
      <c r="F1484" s="12"/>
      <c r="G1484" s="36"/>
      <c r="H1484" s="36"/>
      <c r="I1484" s="27"/>
      <c r="J1484" s="2"/>
      <c r="K1484" s="2"/>
    </row>
    <row r="1485">
      <c r="A1485" s="2"/>
      <c r="B1485" s="2"/>
      <c r="C1485" s="34"/>
      <c r="E1485" s="12"/>
      <c r="F1485" s="12"/>
      <c r="G1485" s="36"/>
      <c r="H1485" s="36"/>
      <c r="I1485" s="27"/>
      <c r="J1485" s="2"/>
      <c r="K1485" s="2"/>
    </row>
    <row r="1486">
      <c r="A1486" s="2"/>
      <c r="B1486" s="2"/>
      <c r="C1486" s="34"/>
      <c r="E1486" s="12"/>
      <c r="F1486" s="12"/>
      <c r="G1486" s="36"/>
      <c r="H1486" s="36"/>
      <c r="I1486" s="27"/>
      <c r="J1486" s="2"/>
      <c r="K1486" s="2"/>
    </row>
    <row r="1487">
      <c r="A1487" s="2"/>
      <c r="B1487" s="2"/>
      <c r="C1487" s="34"/>
      <c r="E1487" s="12"/>
      <c r="F1487" s="12"/>
      <c r="G1487" s="36"/>
      <c r="H1487" s="36"/>
      <c r="I1487" s="27"/>
      <c r="J1487" s="2"/>
      <c r="K1487" s="2"/>
    </row>
    <row r="1488">
      <c r="A1488" s="2"/>
      <c r="B1488" s="2"/>
      <c r="C1488" s="34"/>
      <c r="E1488" s="12"/>
      <c r="F1488" s="12"/>
      <c r="G1488" s="36"/>
      <c r="H1488" s="36"/>
      <c r="I1488" s="27"/>
      <c r="J1488" s="2"/>
      <c r="K1488" s="2"/>
    </row>
    <row r="1489">
      <c r="A1489" s="2"/>
      <c r="B1489" s="2"/>
      <c r="C1489" s="34"/>
      <c r="E1489" s="12"/>
      <c r="F1489" s="12"/>
      <c r="G1489" s="36"/>
      <c r="H1489" s="36"/>
      <c r="I1489" s="27"/>
      <c r="J1489" s="2"/>
      <c r="K1489" s="2"/>
    </row>
    <row r="1490">
      <c r="A1490" s="2"/>
      <c r="B1490" s="2"/>
      <c r="C1490" s="34"/>
      <c r="E1490" s="12"/>
      <c r="F1490" s="12"/>
      <c r="G1490" s="36"/>
      <c r="H1490" s="36"/>
      <c r="I1490" s="27"/>
      <c r="J1490" s="2"/>
      <c r="K1490" s="2"/>
    </row>
    <row r="1491">
      <c r="A1491" s="2"/>
      <c r="B1491" s="2"/>
      <c r="C1491" s="34"/>
      <c r="E1491" s="12"/>
      <c r="F1491" s="12"/>
      <c r="G1491" s="36"/>
      <c r="H1491" s="36"/>
      <c r="I1491" s="27"/>
      <c r="J1491" s="2"/>
      <c r="K1491" s="2"/>
    </row>
    <row r="1492">
      <c r="A1492" s="2"/>
      <c r="B1492" s="2"/>
      <c r="C1492" s="34"/>
      <c r="E1492" s="12"/>
      <c r="F1492" s="12"/>
      <c r="G1492" s="36"/>
      <c r="H1492" s="36"/>
      <c r="I1492" s="27"/>
      <c r="J1492" s="2"/>
      <c r="K1492" s="2"/>
    </row>
    <row r="1493">
      <c r="A1493" s="2"/>
      <c r="B1493" s="2"/>
      <c r="C1493" s="34"/>
      <c r="E1493" s="12"/>
      <c r="F1493" s="12"/>
      <c r="G1493" s="36"/>
      <c r="H1493" s="36"/>
      <c r="I1493" s="27"/>
      <c r="J1493" s="2"/>
      <c r="K1493" s="2"/>
    </row>
    <row r="1494">
      <c r="A1494" s="2"/>
      <c r="B1494" s="2"/>
      <c r="C1494" s="34"/>
      <c r="E1494" s="12"/>
      <c r="F1494" s="12"/>
      <c r="G1494" s="36"/>
      <c r="H1494" s="36"/>
      <c r="I1494" s="27"/>
      <c r="J1494" s="2"/>
      <c r="K1494" s="2"/>
    </row>
    <row r="1495">
      <c r="A1495" s="2"/>
      <c r="B1495" s="2"/>
      <c r="C1495" s="34"/>
      <c r="E1495" s="12"/>
      <c r="F1495" s="12"/>
      <c r="G1495" s="36"/>
      <c r="H1495" s="36"/>
      <c r="I1495" s="27"/>
      <c r="J1495" s="2"/>
      <c r="K1495" s="2"/>
    </row>
    <row r="1496">
      <c r="A1496" s="2"/>
      <c r="B1496" s="2"/>
      <c r="C1496" s="34"/>
      <c r="E1496" s="12"/>
      <c r="F1496" s="12"/>
      <c r="G1496" s="36"/>
      <c r="H1496" s="36"/>
      <c r="I1496" s="27"/>
      <c r="J1496" s="2"/>
      <c r="K1496" s="2"/>
    </row>
    <row r="1497">
      <c r="A1497" s="2"/>
      <c r="B1497" s="2"/>
      <c r="C1497" s="34"/>
      <c r="E1497" s="12"/>
      <c r="F1497" s="12"/>
      <c r="G1497" s="36"/>
      <c r="H1497" s="36"/>
      <c r="I1497" s="27"/>
      <c r="J1497" s="2"/>
      <c r="K1497" s="2"/>
    </row>
    <row r="1498">
      <c r="A1498" s="2"/>
      <c r="B1498" s="2"/>
      <c r="C1498" s="34"/>
      <c r="E1498" s="12"/>
      <c r="F1498" s="12"/>
      <c r="G1498" s="36"/>
      <c r="H1498" s="36"/>
      <c r="I1498" s="27"/>
      <c r="J1498" s="2"/>
      <c r="K1498" s="2"/>
    </row>
    <row r="1499">
      <c r="A1499" s="2"/>
      <c r="B1499" s="2"/>
      <c r="C1499" s="34"/>
      <c r="E1499" s="12"/>
      <c r="F1499" s="12"/>
      <c r="G1499" s="36"/>
      <c r="H1499" s="36"/>
      <c r="I1499" s="27"/>
      <c r="J1499" s="2"/>
      <c r="K1499" s="2"/>
    </row>
    <row r="1500">
      <c r="A1500" s="2"/>
      <c r="B1500" s="2"/>
      <c r="C1500" s="34"/>
      <c r="E1500" s="12"/>
      <c r="F1500" s="12"/>
      <c r="G1500" s="36"/>
      <c r="H1500" s="36"/>
      <c r="I1500" s="27"/>
      <c r="J1500" s="2"/>
      <c r="K1500" s="2"/>
    </row>
    <row r="1501">
      <c r="A1501" s="2"/>
      <c r="B1501" s="2"/>
      <c r="C1501" s="34"/>
      <c r="E1501" s="12"/>
      <c r="F1501" s="12"/>
      <c r="G1501" s="36"/>
      <c r="H1501" s="36"/>
      <c r="I1501" s="27"/>
      <c r="J1501" s="2"/>
      <c r="K1501" s="2"/>
    </row>
    <row r="1502">
      <c r="A1502" s="2"/>
      <c r="B1502" s="2"/>
      <c r="C1502" s="34"/>
      <c r="E1502" s="12"/>
      <c r="F1502" s="12"/>
      <c r="G1502" s="36"/>
      <c r="H1502" s="36"/>
      <c r="I1502" s="27"/>
      <c r="J1502" s="2"/>
      <c r="K1502" s="2"/>
    </row>
    <row r="1503">
      <c r="A1503" s="2"/>
      <c r="B1503" s="2"/>
      <c r="C1503" s="34"/>
      <c r="E1503" s="12"/>
      <c r="F1503" s="12"/>
      <c r="G1503" s="36"/>
      <c r="H1503" s="36"/>
      <c r="I1503" s="27"/>
      <c r="J1503" s="2"/>
      <c r="K1503" s="2"/>
    </row>
    <row r="1504">
      <c r="A1504" s="2"/>
      <c r="B1504" s="2"/>
      <c r="C1504" s="34"/>
      <c r="E1504" s="12"/>
      <c r="F1504" s="12"/>
      <c r="G1504" s="36"/>
      <c r="H1504" s="36"/>
      <c r="I1504" s="27"/>
      <c r="J1504" s="2"/>
      <c r="K1504" s="2"/>
    </row>
    <row r="1505">
      <c r="A1505" s="2"/>
      <c r="B1505" s="2"/>
      <c r="C1505" s="34"/>
      <c r="E1505" s="12"/>
      <c r="F1505" s="12"/>
      <c r="G1505" s="36"/>
      <c r="H1505" s="36"/>
      <c r="I1505" s="27"/>
      <c r="J1505" s="2"/>
      <c r="K1505" s="2"/>
    </row>
    <row r="1506">
      <c r="A1506" s="2"/>
      <c r="B1506" s="2"/>
      <c r="C1506" s="34"/>
      <c r="E1506" s="12"/>
      <c r="F1506" s="12"/>
      <c r="G1506" s="36"/>
      <c r="H1506" s="36"/>
      <c r="I1506" s="27"/>
      <c r="J1506" s="2"/>
      <c r="K1506" s="2"/>
    </row>
    <row r="1507">
      <c r="A1507" s="2"/>
      <c r="B1507" s="2"/>
      <c r="C1507" s="34"/>
      <c r="E1507" s="12"/>
      <c r="F1507" s="12"/>
      <c r="G1507" s="36"/>
      <c r="H1507" s="36"/>
      <c r="I1507" s="27"/>
      <c r="J1507" s="2"/>
      <c r="K1507" s="2"/>
    </row>
    <row r="1508">
      <c r="A1508" s="2"/>
      <c r="B1508" s="2"/>
      <c r="C1508" s="34"/>
      <c r="E1508" s="12"/>
      <c r="F1508" s="12"/>
      <c r="G1508" s="36"/>
      <c r="H1508" s="36"/>
      <c r="I1508" s="27"/>
      <c r="J1508" s="2"/>
      <c r="K1508" s="2"/>
    </row>
    <row r="1509">
      <c r="A1509" s="2"/>
      <c r="B1509" s="2"/>
      <c r="C1509" s="34"/>
      <c r="E1509" s="12"/>
      <c r="F1509" s="12"/>
      <c r="G1509" s="36"/>
      <c r="H1509" s="36"/>
      <c r="I1509" s="27"/>
      <c r="J1509" s="2"/>
      <c r="K1509" s="2"/>
    </row>
    <row r="1510">
      <c r="A1510" s="2"/>
      <c r="B1510" s="2"/>
      <c r="C1510" s="34"/>
      <c r="E1510" s="12"/>
      <c r="F1510" s="12"/>
      <c r="G1510" s="36"/>
      <c r="H1510" s="36"/>
      <c r="I1510" s="27"/>
      <c r="J1510" s="2"/>
      <c r="K1510" s="2"/>
    </row>
    <row r="1511">
      <c r="A1511" s="2"/>
      <c r="B1511" s="2"/>
      <c r="C1511" s="34"/>
      <c r="E1511" s="12"/>
      <c r="F1511" s="12"/>
      <c r="G1511" s="36"/>
      <c r="H1511" s="36"/>
      <c r="I1511" s="27"/>
      <c r="J1511" s="2"/>
      <c r="K1511" s="2"/>
    </row>
    <row r="1512">
      <c r="A1512" s="2"/>
      <c r="B1512" s="2"/>
      <c r="C1512" s="34"/>
      <c r="E1512" s="12"/>
      <c r="F1512" s="12"/>
      <c r="G1512" s="36"/>
      <c r="H1512" s="36"/>
      <c r="I1512" s="27"/>
      <c r="J1512" s="2"/>
      <c r="K1512" s="2"/>
    </row>
    <row r="1513">
      <c r="A1513" s="2"/>
      <c r="B1513" s="2"/>
      <c r="C1513" s="34"/>
      <c r="E1513" s="12"/>
      <c r="F1513" s="12"/>
      <c r="G1513" s="36"/>
      <c r="H1513" s="36"/>
      <c r="I1513" s="27"/>
      <c r="J1513" s="2"/>
      <c r="K1513" s="2"/>
    </row>
    <row r="1514">
      <c r="A1514" s="2"/>
      <c r="B1514" s="2"/>
      <c r="C1514" s="34"/>
      <c r="E1514" s="12"/>
      <c r="F1514" s="12"/>
      <c r="G1514" s="36"/>
      <c r="H1514" s="36"/>
      <c r="I1514" s="27"/>
      <c r="J1514" s="2"/>
      <c r="K1514" s="2"/>
    </row>
    <row r="1515">
      <c r="A1515" s="2"/>
      <c r="B1515" s="2"/>
      <c r="C1515" s="34"/>
      <c r="E1515" s="12"/>
      <c r="F1515" s="12"/>
      <c r="G1515" s="36"/>
      <c r="H1515" s="36"/>
      <c r="I1515" s="27"/>
      <c r="J1515" s="2"/>
      <c r="K1515" s="2"/>
    </row>
    <row r="1516">
      <c r="A1516" s="2"/>
      <c r="B1516" s="2"/>
      <c r="C1516" s="34"/>
      <c r="E1516" s="12"/>
      <c r="F1516" s="12"/>
      <c r="G1516" s="36"/>
      <c r="H1516" s="36"/>
      <c r="I1516" s="27"/>
      <c r="J1516" s="2"/>
      <c r="K1516" s="2"/>
    </row>
    <row r="1517">
      <c r="A1517" s="2"/>
      <c r="B1517" s="2"/>
      <c r="C1517" s="34"/>
      <c r="E1517" s="12"/>
      <c r="F1517" s="12"/>
      <c r="G1517" s="36"/>
      <c r="H1517" s="36"/>
      <c r="I1517" s="27"/>
      <c r="J1517" s="2"/>
      <c r="K1517" s="2"/>
    </row>
    <row r="1518">
      <c r="A1518" s="2"/>
      <c r="B1518" s="2"/>
      <c r="C1518" s="34"/>
      <c r="E1518" s="12"/>
      <c r="F1518" s="12"/>
      <c r="G1518" s="36"/>
      <c r="H1518" s="36"/>
      <c r="I1518" s="27"/>
      <c r="J1518" s="2"/>
      <c r="K1518" s="2"/>
    </row>
    <row r="1519">
      <c r="A1519" s="2"/>
      <c r="B1519" s="2"/>
      <c r="C1519" s="34"/>
      <c r="E1519" s="12"/>
      <c r="F1519" s="12"/>
      <c r="G1519" s="36"/>
      <c r="H1519" s="36"/>
      <c r="I1519" s="27"/>
      <c r="J1519" s="2"/>
      <c r="K1519" s="2"/>
    </row>
    <row r="1520">
      <c r="A1520" s="2"/>
      <c r="B1520" s="2"/>
      <c r="C1520" s="34"/>
      <c r="E1520" s="12"/>
      <c r="F1520" s="12"/>
      <c r="G1520" s="36"/>
      <c r="H1520" s="36"/>
      <c r="I1520" s="27"/>
      <c r="J1520" s="2"/>
      <c r="K1520" s="2"/>
    </row>
    <row r="1521">
      <c r="A1521" s="2"/>
      <c r="B1521" s="2"/>
      <c r="C1521" s="34"/>
      <c r="E1521" s="12"/>
      <c r="F1521" s="12"/>
      <c r="G1521" s="36"/>
      <c r="H1521" s="36"/>
      <c r="I1521" s="27"/>
      <c r="J1521" s="2"/>
      <c r="K1521" s="2"/>
    </row>
    <row r="1522">
      <c r="A1522" s="2"/>
      <c r="B1522" s="2"/>
      <c r="C1522" s="34"/>
      <c r="E1522" s="12"/>
      <c r="F1522" s="12"/>
      <c r="G1522" s="36"/>
      <c r="H1522" s="36"/>
      <c r="I1522" s="27"/>
      <c r="J1522" s="2"/>
      <c r="K1522" s="2"/>
    </row>
    <row r="1523">
      <c r="A1523" s="2"/>
      <c r="B1523" s="2"/>
      <c r="C1523" s="34"/>
      <c r="E1523" s="12"/>
      <c r="F1523" s="12"/>
      <c r="G1523" s="36"/>
      <c r="H1523" s="36"/>
      <c r="I1523" s="27"/>
      <c r="J1523" s="2"/>
      <c r="K1523" s="2"/>
    </row>
    <row r="1524">
      <c r="A1524" s="2"/>
      <c r="B1524" s="2"/>
      <c r="C1524" s="34"/>
      <c r="E1524" s="12"/>
      <c r="F1524" s="12"/>
      <c r="G1524" s="36"/>
      <c r="H1524" s="36"/>
      <c r="I1524" s="27"/>
      <c r="J1524" s="2"/>
      <c r="K1524" s="2"/>
    </row>
    <row r="1525">
      <c r="A1525" s="2"/>
      <c r="B1525" s="2"/>
      <c r="C1525" s="34"/>
      <c r="E1525" s="12"/>
      <c r="F1525" s="12"/>
      <c r="G1525" s="36"/>
      <c r="H1525" s="36"/>
      <c r="I1525" s="27"/>
      <c r="J1525" s="2"/>
      <c r="K1525" s="2"/>
    </row>
    <row r="1526">
      <c r="A1526" s="2"/>
      <c r="B1526" s="2"/>
      <c r="C1526" s="34"/>
      <c r="E1526" s="12"/>
      <c r="F1526" s="12"/>
      <c r="G1526" s="36"/>
      <c r="H1526" s="36"/>
      <c r="I1526" s="27"/>
      <c r="J1526" s="2"/>
      <c r="K1526" s="2"/>
    </row>
    <row r="1527">
      <c r="A1527" s="2"/>
      <c r="B1527" s="2"/>
      <c r="C1527" s="34"/>
      <c r="E1527" s="12"/>
      <c r="F1527" s="12"/>
      <c r="G1527" s="36"/>
      <c r="H1527" s="36"/>
      <c r="I1527" s="27"/>
      <c r="J1527" s="2"/>
      <c r="K1527" s="2"/>
    </row>
    <row r="1528">
      <c r="A1528" s="2"/>
      <c r="B1528" s="2"/>
      <c r="C1528" s="34"/>
      <c r="E1528" s="12"/>
      <c r="F1528" s="12"/>
      <c r="G1528" s="36"/>
      <c r="H1528" s="36"/>
      <c r="I1528" s="27"/>
      <c r="J1528" s="2"/>
      <c r="K1528" s="2"/>
    </row>
    <row r="1529">
      <c r="A1529" s="2"/>
      <c r="B1529" s="2"/>
      <c r="C1529" s="34"/>
      <c r="E1529" s="12"/>
      <c r="F1529" s="12"/>
      <c r="G1529" s="36"/>
      <c r="H1529" s="36"/>
      <c r="I1529" s="27"/>
      <c r="J1529" s="2"/>
      <c r="K1529" s="2"/>
    </row>
    <row r="1530">
      <c r="A1530" s="2"/>
      <c r="B1530" s="2"/>
      <c r="C1530" s="34"/>
      <c r="E1530" s="12"/>
      <c r="F1530" s="12"/>
      <c r="G1530" s="36"/>
      <c r="H1530" s="36"/>
      <c r="I1530" s="27"/>
      <c r="J1530" s="2"/>
      <c r="K1530" s="2"/>
    </row>
    <row r="1531">
      <c r="A1531" s="2"/>
      <c r="B1531" s="2"/>
      <c r="C1531" s="34"/>
      <c r="E1531" s="12"/>
      <c r="F1531" s="12"/>
      <c r="G1531" s="36"/>
      <c r="H1531" s="36"/>
      <c r="I1531" s="27"/>
      <c r="J1531" s="2"/>
      <c r="K1531" s="2"/>
    </row>
    <row r="1532">
      <c r="A1532" s="2"/>
      <c r="B1532" s="2"/>
      <c r="C1532" s="34"/>
      <c r="E1532" s="12"/>
      <c r="F1532" s="12"/>
      <c r="G1532" s="36"/>
      <c r="H1532" s="36"/>
      <c r="I1532" s="27"/>
      <c r="J1532" s="2"/>
      <c r="K1532" s="2"/>
    </row>
    <row r="1533">
      <c r="A1533" s="2"/>
      <c r="B1533" s="2"/>
      <c r="C1533" s="34"/>
      <c r="E1533" s="12"/>
      <c r="F1533" s="12"/>
      <c r="G1533" s="36"/>
      <c r="H1533" s="36"/>
      <c r="I1533" s="27"/>
      <c r="J1533" s="2"/>
      <c r="K1533" s="2"/>
    </row>
    <row r="1534">
      <c r="A1534" s="2"/>
      <c r="B1534" s="2"/>
      <c r="C1534" s="34"/>
      <c r="E1534" s="12"/>
      <c r="F1534" s="12"/>
      <c r="G1534" s="36"/>
      <c r="H1534" s="36"/>
      <c r="I1534" s="27"/>
      <c r="J1534" s="2"/>
      <c r="K1534" s="2"/>
    </row>
    <row r="1535">
      <c r="A1535" s="2"/>
      <c r="B1535" s="2"/>
      <c r="C1535" s="34"/>
      <c r="E1535" s="12"/>
      <c r="F1535" s="12"/>
      <c r="G1535" s="36"/>
      <c r="H1535" s="36"/>
      <c r="I1535" s="27"/>
      <c r="J1535" s="2"/>
      <c r="K1535" s="2"/>
    </row>
    <row r="1536">
      <c r="A1536" s="2"/>
      <c r="B1536" s="2"/>
      <c r="C1536" s="34"/>
      <c r="E1536" s="12"/>
      <c r="F1536" s="12"/>
      <c r="G1536" s="36"/>
      <c r="H1536" s="36"/>
      <c r="I1536" s="27"/>
      <c r="J1536" s="2"/>
      <c r="K1536" s="2"/>
    </row>
    <row r="1537">
      <c r="A1537" s="2"/>
      <c r="B1537" s="2"/>
      <c r="C1537" s="34"/>
      <c r="E1537" s="12"/>
      <c r="F1537" s="12"/>
      <c r="G1537" s="36"/>
      <c r="H1537" s="36"/>
      <c r="I1537" s="27"/>
      <c r="J1537" s="2"/>
      <c r="K1537" s="2"/>
    </row>
    <row r="1538">
      <c r="A1538" s="2"/>
      <c r="B1538" s="2"/>
      <c r="C1538" s="34"/>
      <c r="E1538" s="12"/>
      <c r="F1538" s="12"/>
      <c r="G1538" s="36"/>
      <c r="H1538" s="36"/>
      <c r="I1538" s="27"/>
      <c r="J1538" s="2"/>
      <c r="K1538" s="2"/>
    </row>
    <row r="1539">
      <c r="A1539" s="2"/>
      <c r="B1539" s="2"/>
      <c r="C1539" s="34"/>
      <c r="E1539" s="12"/>
      <c r="F1539" s="12"/>
      <c r="G1539" s="36"/>
      <c r="H1539" s="36"/>
      <c r="I1539" s="27"/>
      <c r="J1539" s="2"/>
      <c r="K1539" s="2"/>
    </row>
    <row r="1540">
      <c r="A1540" s="2"/>
      <c r="B1540" s="2"/>
      <c r="C1540" s="34"/>
      <c r="E1540" s="12"/>
      <c r="F1540" s="12"/>
      <c r="G1540" s="36"/>
      <c r="H1540" s="36"/>
      <c r="I1540" s="27"/>
      <c r="J1540" s="2"/>
      <c r="K1540" s="2"/>
    </row>
    <row r="1541">
      <c r="A1541" s="2"/>
      <c r="B1541" s="2"/>
      <c r="C1541" s="34"/>
      <c r="E1541" s="12"/>
      <c r="F1541" s="12"/>
      <c r="G1541" s="36"/>
      <c r="H1541" s="36"/>
      <c r="I1541" s="27"/>
      <c r="J1541" s="2"/>
      <c r="K1541" s="2"/>
    </row>
    <row r="1542">
      <c r="A1542" s="2"/>
      <c r="B1542" s="2"/>
      <c r="C1542" s="34"/>
      <c r="E1542" s="12"/>
      <c r="F1542" s="12"/>
      <c r="G1542" s="36"/>
      <c r="H1542" s="36"/>
      <c r="I1542" s="27"/>
      <c r="J1542" s="2"/>
      <c r="K1542" s="2"/>
    </row>
    <row r="1543">
      <c r="A1543" s="2"/>
      <c r="B1543" s="2"/>
      <c r="C1543" s="34"/>
      <c r="E1543" s="12"/>
      <c r="F1543" s="12"/>
      <c r="G1543" s="36"/>
      <c r="H1543" s="36"/>
      <c r="I1543" s="27"/>
      <c r="J1543" s="2"/>
      <c r="K1543" s="2"/>
    </row>
    <row r="1544">
      <c r="A1544" s="2"/>
      <c r="B1544" s="2"/>
      <c r="C1544" s="34"/>
      <c r="E1544" s="12"/>
      <c r="F1544" s="12"/>
      <c r="G1544" s="36"/>
      <c r="H1544" s="36"/>
      <c r="I1544" s="27"/>
      <c r="J1544" s="2"/>
      <c r="K1544" s="2"/>
    </row>
    <row r="1545">
      <c r="A1545" s="2"/>
      <c r="B1545" s="2"/>
      <c r="C1545" s="34"/>
      <c r="E1545" s="12"/>
      <c r="F1545" s="12"/>
      <c r="G1545" s="36"/>
      <c r="H1545" s="36"/>
      <c r="I1545" s="27"/>
      <c r="J1545" s="2"/>
      <c r="K1545" s="2"/>
    </row>
    <row r="1546">
      <c r="A1546" s="2"/>
      <c r="B1546" s="2"/>
      <c r="C1546" s="34"/>
      <c r="E1546" s="12"/>
      <c r="F1546" s="12"/>
      <c r="G1546" s="36"/>
      <c r="H1546" s="36"/>
      <c r="I1546" s="27"/>
      <c r="J1546" s="2"/>
      <c r="K1546" s="2"/>
    </row>
    <row r="1547">
      <c r="A1547" s="2"/>
      <c r="B1547" s="2"/>
      <c r="C1547" s="34"/>
      <c r="E1547" s="12"/>
      <c r="F1547" s="12"/>
      <c r="G1547" s="36"/>
      <c r="H1547" s="36"/>
      <c r="I1547" s="27"/>
      <c r="J1547" s="2"/>
      <c r="K1547" s="2"/>
    </row>
    <row r="1548">
      <c r="A1548" s="2"/>
      <c r="B1548" s="2"/>
      <c r="C1548" s="34"/>
      <c r="E1548" s="12"/>
      <c r="F1548" s="12"/>
      <c r="G1548" s="36"/>
      <c r="H1548" s="36"/>
      <c r="I1548" s="27"/>
      <c r="J1548" s="2"/>
      <c r="K1548" s="2"/>
    </row>
    <row r="1549">
      <c r="A1549" s="2"/>
      <c r="B1549" s="2"/>
      <c r="C1549" s="34"/>
      <c r="E1549" s="12"/>
      <c r="F1549" s="12"/>
      <c r="G1549" s="36"/>
      <c r="H1549" s="36"/>
      <c r="I1549" s="27"/>
      <c r="J1549" s="2"/>
      <c r="K1549" s="2"/>
    </row>
    <row r="1550">
      <c r="A1550" s="2"/>
      <c r="B1550" s="2"/>
      <c r="C1550" s="34"/>
      <c r="E1550" s="12"/>
      <c r="F1550" s="12"/>
      <c r="G1550" s="36"/>
      <c r="H1550" s="36"/>
      <c r="I1550" s="27"/>
      <c r="J1550" s="2"/>
      <c r="K1550" s="2"/>
    </row>
    <row r="1551">
      <c r="A1551" s="2"/>
      <c r="B1551" s="2"/>
      <c r="C1551" s="34"/>
      <c r="E1551" s="12"/>
      <c r="F1551" s="12"/>
      <c r="G1551" s="36"/>
      <c r="H1551" s="36"/>
      <c r="I1551" s="27"/>
      <c r="J1551" s="2"/>
      <c r="K1551" s="2"/>
    </row>
    <row r="1552">
      <c r="A1552" s="2"/>
      <c r="B1552" s="2"/>
      <c r="C1552" s="34"/>
      <c r="E1552" s="12"/>
      <c r="F1552" s="12"/>
      <c r="G1552" s="36"/>
      <c r="H1552" s="36"/>
      <c r="I1552" s="27"/>
      <c r="J1552" s="2"/>
      <c r="K1552" s="2"/>
    </row>
    <row r="1553">
      <c r="A1553" s="2"/>
      <c r="B1553" s="2"/>
      <c r="C1553" s="34"/>
      <c r="E1553" s="12"/>
      <c r="F1553" s="12"/>
      <c r="G1553" s="36"/>
      <c r="H1553" s="36"/>
      <c r="I1553" s="27"/>
      <c r="J1553" s="2"/>
      <c r="K1553" s="2"/>
    </row>
    <row r="1554">
      <c r="A1554" s="2"/>
      <c r="B1554" s="2"/>
      <c r="C1554" s="34"/>
      <c r="E1554" s="12"/>
      <c r="F1554" s="12"/>
      <c r="G1554" s="36"/>
      <c r="H1554" s="36"/>
      <c r="I1554" s="27"/>
      <c r="J1554" s="2"/>
      <c r="K1554" s="2"/>
    </row>
    <row r="1555">
      <c r="A1555" s="2"/>
      <c r="B1555" s="2"/>
      <c r="C1555" s="34"/>
      <c r="E1555" s="12"/>
      <c r="F1555" s="12"/>
      <c r="G1555" s="36"/>
      <c r="H1555" s="36"/>
      <c r="I1555" s="27"/>
      <c r="J1555" s="2"/>
      <c r="K1555" s="2"/>
    </row>
    <row r="1556">
      <c r="A1556" s="2"/>
      <c r="B1556" s="2"/>
      <c r="C1556" s="34"/>
      <c r="E1556" s="12"/>
      <c r="F1556" s="12"/>
      <c r="G1556" s="36"/>
      <c r="H1556" s="36"/>
      <c r="I1556" s="27"/>
      <c r="J1556" s="2"/>
      <c r="K1556" s="2"/>
    </row>
    <row r="1557">
      <c r="A1557" s="2"/>
      <c r="B1557" s="2"/>
      <c r="C1557" s="34"/>
      <c r="E1557" s="12"/>
      <c r="F1557" s="12"/>
      <c r="G1557" s="36"/>
      <c r="H1557" s="36"/>
      <c r="I1557" s="27"/>
      <c r="J1557" s="2"/>
      <c r="K1557" s="2"/>
    </row>
    <row r="1558">
      <c r="A1558" s="2"/>
      <c r="B1558" s="2"/>
      <c r="C1558" s="34"/>
      <c r="E1558" s="12"/>
      <c r="F1558" s="12"/>
      <c r="G1558" s="36"/>
      <c r="H1558" s="36"/>
      <c r="I1558" s="27"/>
      <c r="J1558" s="2"/>
      <c r="K1558" s="2"/>
    </row>
    <row r="1559">
      <c r="A1559" s="2"/>
      <c r="B1559" s="2"/>
      <c r="C1559" s="34"/>
      <c r="E1559" s="12"/>
      <c r="F1559" s="12"/>
      <c r="G1559" s="36"/>
      <c r="H1559" s="36"/>
      <c r="I1559" s="27"/>
      <c r="J1559" s="2"/>
      <c r="K1559" s="2"/>
    </row>
    <row r="1560">
      <c r="A1560" s="2"/>
      <c r="B1560" s="2"/>
      <c r="C1560" s="34"/>
      <c r="E1560" s="12"/>
      <c r="F1560" s="12"/>
      <c r="G1560" s="36"/>
      <c r="H1560" s="36"/>
      <c r="I1560" s="27"/>
      <c r="J1560" s="2"/>
      <c r="K1560" s="2"/>
    </row>
    <row r="1561">
      <c r="A1561" s="2"/>
      <c r="B1561" s="2"/>
      <c r="C1561" s="34"/>
      <c r="E1561" s="12"/>
      <c r="F1561" s="12"/>
      <c r="G1561" s="36"/>
      <c r="H1561" s="36"/>
      <c r="I1561" s="27"/>
      <c r="J1561" s="2"/>
      <c r="K1561" s="2"/>
    </row>
    <row r="1562">
      <c r="A1562" s="2"/>
      <c r="B1562" s="2"/>
      <c r="C1562" s="34"/>
      <c r="E1562" s="12"/>
      <c r="F1562" s="12"/>
      <c r="G1562" s="36"/>
      <c r="H1562" s="36"/>
      <c r="I1562" s="27"/>
      <c r="J1562" s="2"/>
      <c r="K1562" s="2"/>
    </row>
    <row r="1563">
      <c r="A1563" s="2"/>
      <c r="B1563" s="2"/>
      <c r="C1563" s="34"/>
      <c r="E1563" s="12"/>
      <c r="F1563" s="12"/>
      <c r="G1563" s="36"/>
      <c r="H1563" s="36"/>
      <c r="I1563" s="27"/>
      <c r="J1563" s="2"/>
      <c r="K1563" s="2"/>
    </row>
    <row r="1564">
      <c r="A1564" s="2"/>
      <c r="B1564" s="2"/>
      <c r="C1564" s="34"/>
      <c r="E1564" s="12"/>
      <c r="F1564" s="12"/>
      <c r="G1564" s="36"/>
      <c r="H1564" s="36"/>
      <c r="I1564" s="27"/>
      <c r="J1564" s="2"/>
      <c r="K1564" s="2"/>
    </row>
    <row r="1565">
      <c r="A1565" s="2"/>
      <c r="B1565" s="2"/>
      <c r="C1565" s="34"/>
      <c r="E1565" s="12"/>
      <c r="F1565" s="12"/>
      <c r="G1565" s="36"/>
      <c r="H1565" s="36"/>
      <c r="I1565" s="27"/>
      <c r="J1565" s="2"/>
      <c r="K1565" s="2"/>
    </row>
    <row r="1566">
      <c r="A1566" s="2"/>
      <c r="B1566" s="2"/>
      <c r="C1566" s="34"/>
      <c r="E1566" s="12"/>
      <c r="F1566" s="12"/>
      <c r="G1566" s="36"/>
      <c r="H1566" s="36"/>
      <c r="I1566" s="27"/>
      <c r="J1566" s="2"/>
      <c r="K1566" s="2"/>
    </row>
    <row r="1567">
      <c r="A1567" s="2"/>
      <c r="B1567" s="2"/>
      <c r="C1567" s="34"/>
      <c r="E1567" s="12"/>
      <c r="F1567" s="12"/>
      <c r="G1567" s="36"/>
      <c r="H1567" s="36"/>
      <c r="I1567" s="27"/>
      <c r="J1567" s="2"/>
      <c r="K1567" s="2"/>
    </row>
    <row r="1568">
      <c r="A1568" s="2"/>
      <c r="B1568" s="2"/>
      <c r="C1568" s="34"/>
      <c r="E1568" s="12"/>
      <c r="F1568" s="12"/>
      <c r="G1568" s="36"/>
      <c r="H1568" s="36"/>
      <c r="I1568" s="27"/>
      <c r="J1568" s="2"/>
      <c r="K1568" s="2"/>
    </row>
    <row r="1569">
      <c r="A1569" s="2"/>
      <c r="B1569" s="2"/>
      <c r="C1569" s="34"/>
      <c r="E1569" s="12"/>
      <c r="F1569" s="12"/>
      <c r="G1569" s="36"/>
      <c r="H1569" s="36"/>
      <c r="I1569" s="27"/>
      <c r="J1569" s="2"/>
      <c r="K1569" s="2"/>
    </row>
    <row r="1570">
      <c r="A1570" s="2"/>
      <c r="B1570" s="2"/>
      <c r="C1570" s="34"/>
      <c r="E1570" s="12"/>
      <c r="F1570" s="12"/>
      <c r="G1570" s="36"/>
      <c r="H1570" s="36"/>
      <c r="I1570" s="27"/>
      <c r="J1570" s="2"/>
      <c r="K1570" s="2"/>
    </row>
    <row r="1571">
      <c r="A1571" s="2"/>
      <c r="B1571" s="2"/>
      <c r="C1571" s="34"/>
      <c r="E1571" s="12"/>
      <c r="F1571" s="12"/>
      <c r="G1571" s="36"/>
      <c r="H1571" s="36"/>
      <c r="I1571" s="27"/>
      <c r="J1571" s="2"/>
      <c r="K1571" s="2"/>
    </row>
    <row r="1572">
      <c r="A1572" s="2"/>
      <c r="B1572" s="2"/>
      <c r="C1572" s="34"/>
      <c r="E1572" s="12"/>
      <c r="F1572" s="12"/>
      <c r="G1572" s="36"/>
      <c r="H1572" s="36"/>
      <c r="I1572" s="27"/>
      <c r="J1572" s="2"/>
      <c r="K1572" s="2"/>
    </row>
    <row r="1573">
      <c r="A1573" s="2"/>
      <c r="B1573" s="2"/>
      <c r="C1573" s="34"/>
      <c r="E1573" s="12"/>
      <c r="F1573" s="12"/>
      <c r="G1573" s="36"/>
      <c r="H1573" s="36"/>
      <c r="I1573" s="27"/>
      <c r="J1573" s="2"/>
      <c r="K1573" s="2"/>
    </row>
    <row r="1574">
      <c r="A1574" s="2"/>
      <c r="B1574" s="2"/>
      <c r="C1574" s="34"/>
      <c r="E1574" s="12"/>
      <c r="F1574" s="12"/>
      <c r="G1574" s="36"/>
      <c r="H1574" s="36"/>
      <c r="I1574" s="27"/>
      <c r="J1574" s="2"/>
      <c r="K1574" s="2"/>
    </row>
    <row r="1575">
      <c r="A1575" s="2"/>
      <c r="B1575" s="2"/>
      <c r="C1575" s="34"/>
      <c r="E1575" s="12"/>
      <c r="F1575" s="12"/>
      <c r="G1575" s="36"/>
      <c r="H1575" s="36"/>
      <c r="I1575" s="27"/>
      <c r="J1575" s="2"/>
      <c r="K1575" s="2"/>
    </row>
    <row r="1576">
      <c r="A1576" s="2"/>
      <c r="B1576" s="2"/>
      <c r="C1576" s="34"/>
      <c r="E1576" s="12"/>
      <c r="F1576" s="12"/>
      <c r="G1576" s="36"/>
      <c r="H1576" s="36"/>
      <c r="I1576" s="27"/>
      <c r="J1576" s="2"/>
      <c r="K1576" s="2"/>
    </row>
    <row r="1577">
      <c r="A1577" s="2"/>
      <c r="B1577" s="2"/>
      <c r="C1577" s="34"/>
      <c r="E1577" s="12"/>
      <c r="F1577" s="12"/>
      <c r="G1577" s="36"/>
      <c r="H1577" s="36"/>
      <c r="I1577" s="27"/>
      <c r="J1577" s="2"/>
      <c r="K1577" s="2"/>
    </row>
    <row r="1578">
      <c r="A1578" s="2"/>
      <c r="B1578" s="2"/>
      <c r="C1578" s="34"/>
      <c r="E1578" s="12"/>
      <c r="F1578" s="12"/>
      <c r="G1578" s="36"/>
      <c r="H1578" s="36"/>
      <c r="I1578" s="27"/>
      <c r="J1578" s="2"/>
      <c r="K1578" s="2"/>
    </row>
    <row r="1579">
      <c r="A1579" s="2"/>
      <c r="B1579" s="2"/>
      <c r="C1579" s="34"/>
      <c r="E1579" s="12"/>
      <c r="F1579" s="12"/>
      <c r="G1579" s="36"/>
      <c r="H1579" s="36"/>
      <c r="I1579" s="27"/>
      <c r="J1579" s="2"/>
      <c r="K1579" s="2"/>
    </row>
    <row r="1580">
      <c r="A1580" s="2"/>
      <c r="B1580" s="2"/>
      <c r="C1580" s="34"/>
      <c r="E1580" s="12"/>
      <c r="F1580" s="12"/>
      <c r="G1580" s="36"/>
      <c r="H1580" s="36"/>
      <c r="I1580" s="27"/>
      <c r="J1580" s="2"/>
      <c r="K1580" s="2"/>
    </row>
    <row r="1581">
      <c r="A1581" s="2"/>
      <c r="B1581" s="2"/>
      <c r="C1581" s="34"/>
      <c r="E1581" s="12"/>
      <c r="F1581" s="12"/>
      <c r="G1581" s="36"/>
      <c r="H1581" s="36"/>
      <c r="I1581" s="27"/>
      <c r="J1581" s="2"/>
      <c r="K1581" s="2"/>
    </row>
    <row r="1582">
      <c r="A1582" s="2"/>
      <c r="B1582" s="2"/>
      <c r="C1582" s="34"/>
      <c r="E1582" s="12"/>
      <c r="F1582" s="12"/>
      <c r="G1582" s="36"/>
      <c r="H1582" s="36"/>
      <c r="I1582" s="27"/>
      <c r="J1582" s="2"/>
      <c r="K1582" s="2"/>
    </row>
    <row r="1583">
      <c r="A1583" s="2"/>
      <c r="B1583" s="2"/>
      <c r="C1583" s="34"/>
      <c r="E1583" s="12"/>
      <c r="F1583" s="12"/>
      <c r="G1583" s="36"/>
      <c r="H1583" s="36"/>
      <c r="I1583" s="27"/>
      <c r="J1583" s="2"/>
      <c r="K1583" s="2"/>
    </row>
    <row r="1584">
      <c r="A1584" s="2"/>
      <c r="B1584" s="2"/>
      <c r="C1584" s="34"/>
      <c r="E1584" s="12"/>
      <c r="F1584" s="12"/>
      <c r="G1584" s="36"/>
      <c r="H1584" s="36"/>
      <c r="I1584" s="27"/>
      <c r="J1584" s="2"/>
      <c r="K1584" s="2"/>
    </row>
    <row r="1585">
      <c r="A1585" s="2"/>
      <c r="B1585" s="2"/>
      <c r="C1585" s="34"/>
      <c r="E1585" s="12"/>
      <c r="F1585" s="12"/>
      <c r="G1585" s="36"/>
      <c r="H1585" s="36"/>
      <c r="I1585" s="27"/>
      <c r="J1585" s="2"/>
      <c r="K1585" s="2"/>
    </row>
    <row r="1586">
      <c r="A1586" s="2"/>
      <c r="B1586" s="2"/>
      <c r="C1586" s="34"/>
      <c r="E1586" s="12"/>
      <c r="F1586" s="12"/>
      <c r="G1586" s="36"/>
      <c r="H1586" s="36"/>
      <c r="I1586" s="27"/>
      <c r="J1586" s="2"/>
      <c r="K1586" s="2"/>
    </row>
    <row r="1587">
      <c r="A1587" s="2"/>
      <c r="B1587" s="2"/>
      <c r="C1587" s="34"/>
      <c r="E1587" s="12"/>
      <c r="F1587" s="12"/>
      <c r="G1587" s="36"/>
      <c r="H1587" s="36"/>
      <c r="I1587" s="27"/>
      <c r="J1587" s="2"/>
      <c r="K1587" s="2"/>
    </row>
    <row r="1588">
      <c r="A1588" s="2"/>
      <c r="B1588" s="2"/>
      <c r="C1588" s="34"/>
      <c r="E1588" s="12"/>
      <c r="F1588" s="12"/>
      <c r="G1588" s="36"/>
      <c r="H1588" s="36"/>
      <c r="I1588" s="27"/>
      <c r="J1588" s="2"/>
      <c r="K1588" s="2"/>
    </row>
    <row r="1589">
      <c r="A1589" s="2"/>
      <c r="B1589" s="2"/>
      <c r="C1589" s="34"/>
      <c r="E1589" s="12"/>
      <c r="F1589" s="12"/>
      <c r="G1589" s="36"/>
      <c r="H1589" s="36"/>
      <c r="I1589" s="27"/>
      <c r="J1589" s="2"/>
      <c r="K1589" s="2"/>
    </row>
    <row r="1590">
      <c r="A1590" s="2"/>
      <c r="B1590" s="2"/>
      <c r="C1590" s="34"/>
      <c r="E1590" s="12"/>
      <c r="F1590" s="12"/>
      <c r="G1590" s="36"/>
      <c r="H1590" s="36"/>
      <c r="I1590" s="27"/>
      <c r="J1590" s="2"/>
      <c r="K1590" s="2"/>
    </row>
    <row r="1591">
      <c r="A1591" s="2"/>
      <c r="B1591" s="2"/>
      <c r="C1591" s="34"/>
      <c r="E1591" s="12"/>
      <c r="F1591" s="12"/>
      <c r="G1591" s="36"/>
      <c r="H1591" s="36"/>
      <c r="I1591" s="27"/>
      <c r="J1591" s="2"/>
      <c r="K1591" s="2"/>
    </row>
    <row r="1592">
      <c r="A1592" s="2"/>
      <c r="B1592" s="2"/>
      <c r="C1592" s="34"/>
      <c r="E1592" s="12"/>
      <c r="F1592" s="12"/>
      <c r="G1592" s="36"/>
      <c r="H1592" s="36"/>
      <c r="I1592" s="27"/>
      <c r="J1592" s="2"/>
      <c r="K1592" s="2"/>
    </row>
    <row r="1593">
      <c r="A1593" s="2"/>
      <c r="B1593" s="2"/>
      <c r="C1593" s="34"/>
      <c r="E1593" s="12"/>
      <c r="F1593" s="12"/>
      <c r="G1593" s="36"/>
      <c r="H1593" s="36"/>
      <c r="I1593" s="27"/>
      <c r="J1593" s="2"/>
      <c r="K1593" s="2"/>
    </row>
    <row r="1594">
      <c r="A1594" s="2"/>
      <c r="B1594" s="2"/>
      <c r="C1594" s="34"/>
      <c r="E1594" s="12"/>
      <c r="F1594" s="12"/>
      <c r="G1594" s="36"/>
      <c r="H1594" s="36"/>
      <c r="I1594" s="27"/>
      <c r="J1594" s="2"/>
      <c r="K1594" s="2"/>
    </row>
    <row r="1595">
      <c r="A1595" s="2"/>
      <c r="B1595" s="2"/>
      <c r="C1595" s="34"/>
      <c r="E1595" s="12"/>
      <c r="F1595" s="12"/>
      <c r="G1595" s="36"/>
      <c r="H1595" s="36"/>
      <c r="I1595" s="27"/>
      <c r="J1595" s="2"/>
      <c r="K1595" s="2"/>
    </row>
    <row r="1596">
      <c r="A1596" s="2"/>
      <c r="B1596" s="2"/>
      <c r="C1596" s="34"/>
      <c r="E1596" s="12"/>
      <c r="F1596" s="12"/>
      <c r="G1596" s="36"/>
      <c r="H1596" s="36"/>
      <c r="I1596" s="27"/>
      <c r="J1596" s="2"/>
      <c r="K1596" s="2"/>
    </row>
    <row r="1597">
      <c r="A1597" s="2"/>
      <c r="B1597" s="2"/>
      <c r="C1597" s="34"/>
      <c r="E1597" s="12"/>
      <c r="F1597" s="12"/>
      <c r="G1597" s="36"/>
      <c r="H1597" s="36"/>
      <c r="I1597" s="27"/>
      <c r="J1597" s="2"/>
      <c r="K1597" s="2"/>
    </row>
    <row r="1598">
      <c r="A1598" s="2"/>
      <c r="B1598" s="2"/>
      <c r="C1598" s="34"/>
      <c r="E1598" s="12"/>
      <c r="F1598" s="12"/>
      <c r="G1598" s="36"/>
      <c r="H1598" s="36"/>
      <c r="I1598" s="27"/>
      <c r="J1598" s="2"/>
      <c r="K1598" s="2"/>
    </row>
    <row r="1599">
      <c r="A1599" s="2"/>
      <c r="B1599" s="2"/>
      <c r="C1599" s="34"/>
      <c r="E1599" s="12"/>
      <c r="F1599" s="12"/>
      <c r="G1599" s="36"/>
      <c r="H1599" s="36"/>
      <c r="I1599" s="27"/>
      <c r="J1599" s="2"/>
      <c r="K1599" s="2"/>
    </row>
    <row r="1600">
      <c r="A1600" s="2"/>
      <c r="B1600" s="2"/>
      <c r="C1600" s="34"/>
      <c r="E1600" s="12"/>
      <c r="F1600" s="12"/>
      <c r="G1600" s="36"/>
      <c r="H1600" s="36"/>
      <c r="I1600" s="27"/>
      <c r="J1600" s="2"/>
      <c r="K1600" s="2"/>
    </row>
    <row r="1601">
      <c r="A1601" s="2"/>
      <c r="B1601" s="2"/>
      <c r="C1601" s="34"/>
      <c r="E1601" s="12"/>
      <c r="F1601" s="12"/>
      <c r="G1601" s="36"/>
      <c r="H1601" s="36"/>
      <c r="I1601" s="27"/>
      <c r="J1601" s="2"/>
      <c r="K1601" s="2"/>
    </row>
    <row r="1602">
      <c r="A1602" s="2"/>
      <c r="B1602" s="2"/>
      <c r="C1602" s="34"/>
      <c r="E1602" s="12"/>
      <c r="F1602" s="12"/>
      <c r="G1602" s="36"/>
      <c r="H1602" s="36"/>
      <c r="I1602" s="27"/>
      <c r="J1602" s="2"/>
      <c r="K1602" s="2"/>
    </row>
    <row r="1603">
      <c r="A1603" s="2"/>
      <c r="B1603" s="2"/>
      <c r="C1603" s="34"/>
      <c r="E1603" s="12"/>
      <c r="F1603" s="12"/>
      <c r="G1603" s="36"/>
      <c r="H1603" s="36"/>
      <c r="I1603" s="27"/>
      <c r="J1603" s="2"/>
      <c r="K1603" s="2"/>
    </row>
    <row r="1604">
      <c r="A1604" s="2"/>
      <c r="B1604" s="2"/>
      <c r="C1604" s="34"/>
      <c r="E1604" s="12"/>
      <c r="F1604" s="12"/>
      <c r="G1604" s="36"/>
      <c r="H1604" s="36"/>
      <c r="I1604" s="27"/>
      <c r="J1604" s="2"/>
      <c r="K1604" s="2"/>
    </row>
    <row r="1605">
      <c r="A1605" s="2"/>
      <c r="B1605" s="2"/>
      <c r="C1605" s="34"/>
      <c r="E1605" s="12"/>
      <c r="F1605" s="12"/>
      <c r="G1605" s="36"/>
      <c r="H1605" s="36"/>
      <c r="I1605" s="27"/>
      <c r="J1605" s="2"/>
      <c r="K1605" s="2"/>
    </row>
    <row r="1606">
      <c r="A1606" s="2"/>
      <c r="B1606" s="2"/>
      <c r="C1606" s="34"/>
      <c r="E1606" s="12"/>
      <c r="F1606" s="12"/>
      <c r="G1606" s="36"/>
      <c r="H1606" s="36"/>
      <c r="I1606" s="27"/>
      <c r="J1606" s="2"/>
      <c r="K1606" s="2"/>
    </row>
    <row r="1607">
      <c r="A1607" s="2"/>
      <c r="B1607" s="2"/>
      <c r="C1607" s="34"/>
      <c r="E1607" s="12"/>
      <c r="F1607" s="12"/>
      <c r="G1607" s="36"/>
      <c r="H1607" s="36"/>
      <c r="I1607" s="27"/>
      <c r="J1607" s="2"/>
      <c r="K1607" s="2"/>
    </row>
    <row r="1608">
      <c r="A1608" s="2"/>
      <c r="B1608" s="2"/>
      <c r="C1608" s="34"/>
      <c r="E1608" s="12"/>
      <c r="F1608" s="12"/>
      <c r="G1608" s="36"/>
      <c r="H1608" s="36"/>
      <c r="I1608" s="27"/>
      <c r="J1608" s="2"/>
      <c r="K1608" s="2"/>
    </row>
    <row r="1609">
      <c r="A1609" s="2"/>
      <c r="B1609" s="2"/>
      <c r="C1609" s="34"/>
      <c r="E1609" s="12"/>
      <c r="F1609" s="12"/>
      <c r="G1609" s="36"/>
      <c r="H1609" s="36"/>
      <c r="I1609" s="27"/>
      <c r="J1609" s="2"/>
      <c r="K1609" s="2"/>
    </row>
    <row r="1610">
      <c r="A1610" s="2"/>
      <c r="B1610" s="2"/>
      <c r="C1610" s="34"/>
      <c r="E1610" s="12"/>
      <c r="F1610" s="12"/>
      <c r="G1610" s="36"/>
      <c r="H1610" s="36"/>
      <c r="I1610" s="27"/>
      <c r="J1610" s="2"/>
      <c r="K1610" s="2"/>
    </row>
    <row r="1611">
      <c r="A1611" s="2"/>
      <c r="B1611" s="2"/>
      <c r="C1611" s="34"/>
      <c r="E1611" s="12"/>
      <c r="F1611" s="12"/>
      <c r="G1611" s="36"/>
      <c r="H1611" s="36"/>
      <c r="I1611" s="27"/>
      <c r="J1611" s="2"/>
      <c r="K1611" s="2"/>
    </row>
    <row r="1612">
      <c r="A1612" s="2"/>
      <c r="B1612" s="2"/>
      <c r="C1612" s="34"/>
      <c r="E1612" s="12"/>
      <c r="F1612" s="12"/>
      <c r="G1612" s="36"/>
      <c r="H1612" s="36"/>
      <c r="I1612" s="27"/>
      <c r="J1612" s="2"/>
      <c r="K1612" s="2"/>
    </row>
    <row r="1613">
      <c r="A1613" s="2"/>
      <c r="B1613" s="2"/>
      <c r="C1613" s="34"/>
      <c r="E1613" s="12"/>
      <c r="F1613" s="12"/>
      <c r="G1613" s="36"/>
      <c r="H1613" s="36"/>
      <c r="I1613" s="27"/>
      <c r="J1613" s="2"/>
      <c r="K1613" s="2"/>
    </row>
    <row r="1614">
      <c r="A1614" s="2"/>
      <c r="B1614" s="2"/>
      <c r="C1614" s="34"/>
      <c r="E1614" s="12"/>
      <c r="F1614" s="12"/>
      <c r="G1614" s="36"/>
      <c r="H1614" s="36"/>
      <c r="I1614" s="27"/>
      <c r="J1614" s="2"/>
      <c r="K1614" s="2"/>
    </row>
    <row r="1615">
      <c r="A1615" s="2"/>
      <c r="B1615" s="2"/>
      <c r="C1615" s="34"/>
      <c r="E1615" s="12"/>
      <c r="F1615" s="12"/>
      <c r="G1615" s="36"/>
      <c r="H1615" s="36"/>
      <c r="I1615" s="27"/>
      <c r="J1615" s="2"/>
      <c r="K1615" s="2"/>
    </row>
    <row r="1616">
      <c r="A1616" s="2"/>
      <c r="B1616" s="2"/>
      <c r="C1616" s="34"/>
      <c r="E1616" s="12"/>
      <c r="F1616" s="12"/>
      <c r="G1616" s="36"/>
      <c r="H1616" s="36"/>
      <c r="I1616" s="27"/>
      <c r="J1616" s="2"/>
      <c r="K1616" s="2"/>
    </row>
    <row r="1617">
      <c r="A1617" s="2"/>
      <c r="B1617" s="2"/>
      <c r="C1617" s="34"/>
      <c r="E1617" s="12"/>
      <c r="F1617" s="12"/>
      <c r="G1617" s="36"/>
      <c r="H1617" s="36"/>
      <c r="I1617" s="27"/>
      <c r="J1617" s="2"/>
      <c r="K1617" s="2"/>
    </row>
    <row r="1618">
      <c r="A1618" s="2"/>
      <c r="B1618" s="2"/>
      <c r="C1618" s="34"/>
      <c r="E1618" s="12"/>
      <c r="F1618" s="12"/>
      <c r="G1618" s="36"/>
      <c r="H1618" s="36"/>
      <c r="I1618" s="27"/>
      <c r="J1618" s="2"/>
      <c r="K1618" s="2"/>
    </row>
    <row r="1619">
      <c r="A1619" s="2"/>
      <c r="B1619" s="2"/>
      <c r="C1619" s="34"/>
      <c r="E1619" s="12"/>
      <c r="F1619" s="12"/>
      <c r="G1619" s="36"/>
      <c r="H1619" s="36"/>
      <c r="I1619" s="27"/>
      <c r="J1619" s="2"/>
      <c r="K1619" s="2"/>
    </row>
    <row r="1620">
      <c r="A1620" s="2"/>
      <c r="B1620" s="2"/>
      <c r="C1620" s="34"/>
      <c r="E1620" s="12"/>
      <c r="F1620" s="12"/>
      <c r="G1620" s="36"/>
      <c r="H1620" s="36"/>
      <c r="I1620" s="27"/>
      <c r="J1620" s="2"/>
      <c r="K1620" s="2"/>
    </row>
    <row r="1621">
      <c r="A1621" s="2"/>
      <c r="B1621" s="2"/>
      <c r="C1621" s="34"/>
      <c r="E1621" s="12"/>
      <c r="F1621" s="12"/>
      <c r="G1621" s="36"/>
      <c r="H1621" s="36"/>
      <c r="I1621" s="27"/>
      <c r="J1621" s="2"/>
      <c r="K1621" s="2"/>
    </row>
    <row r="1622">
      <c r="A1622" s="2"/>
      <c r="B1622" s="2"/>
      <c r="C1622" s="34"/>
      <c r="E1622" s="12"/>
      <c r="F1622" s="12"/>
      <c r="G1622" s="36"/>
      <c r="H1622" s="36"/>
      <c r="I1622" s="27"/>
      <c r="J1622" s="2"/>
      <c r="K1622" s="2"/>
    </row>
    <row r="1623">
      <c r="A1623" s="2"/>
      <c r="B1623" s="2"/>
      <c r="C1623" s="34"/>
      <c r="E1623" s="12"/>
      <c r="F1623" s="12"/>
      <c r="G1623" s="36"/>
      <c r="H1623" s="36"/>
      <c r="I1623" s="27"/>
      <c r="J1623" s="2"/>
      <c r="K1623" s="2"/>
    </row>
    <row r="1624">
      <c r="A1624" s="2"/>
      <c r="B1624" s="2"/>
      <c r="C1624" s="34"/>
      <c r="E1624" s="12"/>
      <c r="F1624" s="12"/>
      <c r="G1624" s="36"/>
      <c r="H1624" s="36"/>
      <c r="I1624" s="27"/>
      <c r="J1624" s="2"/>
      <c r="K1624" s="2"/>
    </row>
    <row r="1625">
      <c r="A1625" s="2"/>
      <c r="B1625" s="2"/>
      <c r="C1625" s="34"/>
      <c r="E1625" s="12"/>
      <c r="F1625" s="12"/>
      <c r="G1625" s="36"/>
      <c r="H1625" s="36"/>
      <c r="I1625" s="27"/>
      <c r="J1625" s="2"/>
      <c r="K1625" s="2"/>
    </row>
    <row r="1626">
      <c r="A1626" s="2"/>
      <c r="B1626" s="2"/>
      <c r="C1626" s="34"/>
      <c r="E1626" s="12"/>
      <c r="F1626" s="12"/>
      <c r="G1626" s="36"/>
      <c r="H1626" s="36"/>
      <c r="I1626" s="27"/>
      <c r="J1626" s="2"/>
      <c r="K1626" s="2"/>
    </row>
    <row r="1627">
      <c r="A1627" s="2"/>
      <c r="B1627" s="2"/>
      <c r="C1627" s="34"/>
      <c r="E1627" s="12"/>
      <c r="F1627" s="12"/>
      <c r="G1627" s="36"/>
      <c r="H1627" s="36"/>
      <c r="I1627" s="27"/>
      <c r="J1627" s="2"/>
      <c r="K1627" s="2"/>
    </row>
    <row r="1628">
      <c r="A1628" s="2"/>
      <c r="B1628" s="2"/>
      <c r="C1628" s="34"/>
      <c r="E1628" s="12"/>
      <c r="F1628" s="12"/>
      <c r="G1628" s="36"/>
      <c r="H1628" s="36"/>
      <c r="I1628" s="27"/>
      <c r="J1628" s="2"/>
      <c r="K1628" s="2"/>
    </row>
    <row r="1629">
      <c r="A1629" s="2"/>
      <c r="B1629" s="2"/>
      <c r="C1629" s="34"/>
      <c r="E1629" s="12"/>
      <c r="F1629" s="12"/>
      <c r="G1629" s="36"/>
      <c r="H1629" s="36"/>
      <c r="I1629" s="27"/>
      <c r="J1629" s="2"/>
      <c r="K1629" s="2"/>
    </row>
    <row r="1630">
      <c r="A1630" s="2"/>
      <c r="B1630" s="2"/>
      <c r="C1630" s="34"/>
      <c r="E1630" s="12"/>
      <c r="F1630" s="12"/>
      <c r="G1630" s="36"/>
      <c r="H1630" s="36"/>
      <c r="I1630" s="27"/>
      <c r="J1630" s="2"/>
      <c r="K1630" s="2"/>
    </row>
    <row r="1631">
      <c r="A1631" s="2"/>
      <c r="B1631" s="2"/>
      <c r="C1631" s="34"/>
      <c r="E1631" s="12"/>
      <c r="F1631" s="12"/>
      <c r="G1631" s="36"/>
      <c r="H1631" s="36"/>
      <c r="I1631" s="27"/>
      <c r="J1631" s="2"/>
      <c r="K1631" s="2"/>
    </row>
    <row r="1632">
      <c r="A1632" s="2"/>
      <c r="B1632" s="2"/>
      <c r="C1632" s="34"/>
      <c r="E1632" s="12"/>
      <c r="F1632" s="12"/>
      <c r="G1632" s="36"/>
      <c r="H1632" s="36"/>
      <c r="I1632" s="27"/>
      <c r="J1632" s="2"/>
      <c r="K1632" s="2"/>
    </row>
    <row r="1633">
      <c r="A1633" s="2"/>
      <c r="B1633" s="2"/>
      <c r="C1633" s="34"/>
      <c r="E1633" s="12"/>
      <c r="F1633" s="12"/>
      <c r="G1633" s="36"/>
      <c r="H1633" s="36"/>
      <c r="I1633" s="27"/>
      <c r="J1633" s="2"/>
      <c r="K1633" s="2"/>
    </row>
    <row r="1634">
      <c r="A1634" s="2"/>
      <c r="B1634" s="2"/>
      <c r="C1634" s="34"/>
      <c r="E1634" s="12"/>
      <c r="F1634" s="12"/>
      <c r="G1634" s="36"/>
      <c r="H1634" s="36"/>
      <c r="I1634" s="27"/>
      <c r="J1634" s="2"/>
      <c r="K1634" s="2"/>
    </row>
    <row r="1635">
      <c r="A1635" s="2"/>
      <c r="B1635" s="2"/>
      <c r="C1635" s="34"/>
      <c r="E1635" s="12"/>
      <c r="F1635" s="12"/>
      <c r="G1635" s="36"/>
      <c r="H1635" s="36"/>
      <c r="I1635" s="27"/>
      <c r="J1635" s="2"/>
      <c r="K1635" s="2"/>
    </row>
    <row r="1636">
      <c r="A1636" s="2"/>
      <c r="B1636" s="2"/>
      <c r="C1636" s="34"/>
      <c r="E1636" s="12"/>
      <c r="F1636" s="12"/>
      <c r="G1636" s="36"/>
      <c r="H1636" s="36"/>
      <c r="I1636" s="27"/>
      <c r="J1636" s="2"/>
      <c r="K1636" s="2"/>
    </row>
    <row r="1637">
      <c r="A1637" s="2"/>
      <c r="B1637" s="2"/>
      <c r="C1637" s="34"/>
      <c r="E1637" s="12"/>
      <c r="F1637" s="12"/>
      <c r="G1637" s="36"/>
      <c r="H1637" s="36"/>
      <c r="I1637" s="27"/>
      <c r="J1637" s="2"/>
      <c r="K1637" s="2"/>
    </row>
    <row r="1638">
      <c r="A1638" s="2"/>
      <c r="B1638" s="2"/>
      <c r="C1638" s="34"/>
      <c r="E1638" s="12"/>
      <c r="F1638" s="12"/>
      <c r="G1638" s="36"/>
      <c r="H1638" s="36"/>
      <c r="I1638" s="27"/>
      <c r="J1638" s="2"/>
      <c r="K1638" s="2"/>
    </row>
    <row r="1639">
      <c r="A1639" s="2"/>
      <c r="B1639" s="2"/>
      <c r="C1639" s="34"/>
      <c r="E1639" s="12"/>
      <c r="F1639" s="12"/>
      <c r="G1639" s="36"/>
      <c r="H1639" s="36"/>
      <c r="I1639" s="27"/>
      <c r="J1639" s="2"/>
      <c r="K1639" s="2"/>
    </row>
    <row r="1640">
      <c r="A1640" s="2"/>
      <c r="B1640" s="2"/>
      <c r="C1640" s="34"/>
      <c r="E1640" s="12"/>
      <c r="F1640" s="12"/>
      <c r="G1640" s="36"/>
      <c r="H1640" s="36"/>
      <c r="I1640" s="27"/>
      <c r="J1640" s="2"/>
      <c r="K1640" s="2"/>
    </row>
    <row r="1641">
      <c r="A1641" s="2"/>
      <c r="B1641" s="2"/>
      <c r="C1641" s="34"/>
      <c r="E1641" s="12"/>
      <c r="F1641" s="12"/>
      <c r="G1641" s="36"/>
      <c r="H1641" s="36"/>
      <c r="I1641" s="27"/>
      <c r="J1641" s="2"/>
      <c r="K1641" s="2"/>
    </row>
    <row r="1642">
      <c r="A1642" s="2"/>
      <c r="B1642" s="2"/>
      <c r="C1642" s="34"/>
      <c r="E1642" s="12"/>
      <c r="F1642" s="12"/>
      <c r="G1642" s="36"/>
      <c r="H1642" s="36"/>
      <c r="I1642" s="27"/>
      <c r="J1642" s="2"/>
      <c r="K1642" s="2"/>
    </row>
    <row r="1643">
      <c r="A1643" s="2"/>
      <c r="B1643" s="2"/>
      <c r="C1643" s="34"/>
      <c r="E1643" s="12"/>
      <c r="F1643" s="12"/>
      <c r="G1643" s="36"/>
      <c r="H1643" s="36"/>
      <c r="I1643" s="27"/>
      <c r="J1643" s="2"/>
      <c r="K1643" s="2"/>
    </row>
    <row r="1644">
      <c r="A1644" s="2"/>
      <c r="B1644" s="2"/>
      <c r="C1644" s="34"/>
      <c r="E1644" s="12"/>
      <c r="F1644" s="12"/>
      <c r="G1644" s="36"/>
      <c r="H1644" s="36"/>
      <c r="I1644" s="27"/>
      <c r="J1644" s="2"/>
      <c r="K1644" s="2"/>
    </row>
    <row r="1645">
      <c r="A1645" s="2"/>
      <c r="B1645" s="2"/>
      <c r="C1645" s="34"/>
      <c r="E1645" s="12"/>
      <c r="F1645" s="12"/>
      <c r="G1645" s="36"/>
      <c r="H1645" s="36"/>
      <c r="I1645" s="27"/>
      <c r="J1645" s="2"/>
      <c r="K1645" s="2"/>
    </row>
    <row r="1646">
      <c r="A1646" s="2"/>
      <c r="B1646" s="2"/>
      <c r="C1646" s="34"/>
      <c r="E1646" s="12"/>
      <c r="F1646" s="12"/>
      <c r="G1646" s="36"/>
      <c r="H1646" s="36"/>
      <c r="I1646" s="27"/>
      <c r="J1646" s="2"/>
      <c r="K1646" s="2"/>
    </row>
    <row r="1647">
      <c r="A1647" s="2"/>
      <c r="B1647" s="2"/>
      <c r="C1647" s="34"/>
      <c r="E1647" s="12"/>
      <c r="F1647" s="12"/>
      <c r="G1647" s="36"/>
      <c r="H1647" s="36"/>
      <c r="I1647" s="27"/>
      <c r="J1647" s="2"/>
      <c r="K1647" s="2"/>
    </row>
    <row r="1648">
      <c r="A1648" s="2"/>
      <c r="B1648" s="2"/>
      <c r="C1648" s="34"/>
      <c r="E1648" s="12"/>
      <c r="F1648" s="12"/>
      <c r="G1648" s="36"/>
      <c r="H1648" s="36"/>
      <c r="I1648" s="27"/>
      <c r="J1648" s="2"/>
      <c r="K1648" s="2"/>
    </row>
    <row r="1649">
      <c r="A1649" s="2"/>
      <c r="B1649" s="2"/>
      <c r="C1649" s="34"/>
      <c r="E1649" s="12"/>
      <c r="F1649" s="12"/>
      <c r="G1649" s="36"/>
      <c r="H1649" s="36"/>
      <c r="I1649" s="27"/>
      <c r="J1649" s="2"/>
      <c r="K1649" s="2"/>
    </row>
    <row r="1650">
      <c r="A1650" s="2"/>
      <c r="B1650" s="2"/>
      <c r="C1650" s="34"/>
      <c r="E1650" s="12"/>
      <c r="F1650" s="12"/>
      <c r="G1650" s="36"/>
      <c r="H1650" s="36"/>
      <c r="I1650" s="27"/>
      <c r="J1650" s="2"/>
      <c r="K1650" s="2"/>
    </row>
    <row r="1651">
      <c r="A1651" s="2"/>
      <c r="B1651" s="2"/>
      <c r="C1651" s="34"/>
      <c r="E1651" s="12"/>
      <c r="F1651" s="12"/>
      <c r="G1651" s="36"/>
      <c r="H1651" s="36"/>
      <c r="I1651" s="27"/>
      <c r="J1651" s="2"/>
      <c r="K1651" s="2"/>
    </row>
    <row r="1652">
      <c r="A1652" s="2"/>
      <c r="B1652" s="2"/>
      <c r="C1652" s="34"/>
      <c r="E1652" s="12"/>
      <c r="F1652" s="12"/>
      <c r="G1652" s="36"/>
      <c r="H1652" s="36"/>
      <c r="I1652" s="27"/>
      <c r="J1652" s="2"/>
      <c r="K1652" s="2"/>
    </row>
    <row r="1653">
      <c r="A1653" s="2"/>
      <c r="B1653" s="2"/>
      <c r="C1653" s="34"/>
      <c r="E1653" s="12"/>
      <c r="F1653" s="12"/>
      <c r="G1653" s="36"/>
      <c r="H1653" s="36"/>
      <c r="I1653" s="27"/>
      <c r="J1653" s="2"/>
      <c r="K1653" s="2"/>
    </row>
    <row r="1654">
      <c r="A1654" s="2"/>
      <c r="B1654" s="2"/>
      <c r="C1654" s="34"/>
      <c r="E1654" s="12"/>
      <c r="F1654" s="12"/>
      <c r="G1654" s="36"/>
      <c r="H1654" s="36"/>
      <c r="I1654" s="27"/>
      <c r="J1654" s="2"/>
      <c r="K1654" s="2"/>
    </row>
    <row r="1655">
      <c r="A1655" s="2"/>
      <c r="B1655" s="2"/>
      <c r="C1655" s="34"/>
      <c r="E1655" s="12"/>
      <c r="F1655" s="12"/>
      <c r="G1655" s="36"/>
      <c r="H1655" s="36"/>
      <c r="I1655" s="27"/>
      <c r="J1655" s="2"/>
      <c r="K1655" s="2"/>
    </row>
    <row r="1656">
      <c r="A1656" s="2"/>
      <c r="B1656" s="2"/>
      <c r="C1656" s="34"/>
      <c r="E1656" s="12"/>
      <c r="F1656" s="12"/>
      <c r="G1656" s="36"/>
      <c r="H1656" s="36"/>
      <c r="I1656" s="27"/>
      <c r="J1656" s="2"/>
      <c r="K1656" s="2"/>
    </row>
    <row r="1657">
      <c r="A1657" s="2"/>
      <c r="B1657" s="2"/>
      <c r="C1657" s="34"/>
      <c r="E1657" s="12"/>
      <c r="F1657" s="12"/>
      <c r="G1657" s="36"/>
      <c r="H1657" s="36"/>
      <c r="I1657" s="27"/>
      <c r="J1657" s="2"/>
      <c r="K1657" s="2"/>
    </row>
    <row r="1658">
      <c r="A1658" s="2"/>
      <c r="B1658" s="2"/>
      <c r="C1658" s="34"/>
      <c r="E1658" s="12"/>
      <c r="F1658" s="12"/>
      <c r="G1658" s="36"/>
      <c r="H1658" s="36"/>
      <c r="I1658" s="27"/>
      <c r="J1658" s="2"/>
      <c r="K1658" s="2"/>
    </row>
    <row r="1659">
      <c r="A1659" s="2"/>
      <c r="B1659" s="2"/>
      <c r="C1659" s="34"/>
      <c r="E1659" s="12"/>
      <c r="F1659" s="12"/>
      <c r="G1659" s="36"/>
      <c r="H1659" s="36"/>
      <c r="I1659" s="27"/>
      <c r="J1659" s="2"/>
      <c r="K1659" s="2"/>
    </row>
    <row r="1660">
      <c r="A1660" s="2"/>
      <c r="B1660" s="2"/>
      <c r="C1660" s="34"/>
      <c r="E1660" s="12"/>
      <c r="F1660" s="12"/>
      <c r="G1660" s="36"/>
      <c r="H1660" s="36"/>
      <c r="I1660" s="27"/>
      <c r="J1660" s="2"/>
      <c r="K1660" s="2"/>
    </row>
    <row r="1661">
      <c r="A1661" s="2"/>
      <c r="B1661" s="2"/>
      <c r="C1661" s="34"/>
      <c r="E1661" s="12"/>
      <c r="F1661" s="12"/>
      <c r="G1661" s="36"/>
      <c r="H1661" s="36"/>
      <c r="I1661" s="27"/>
      <c r="J1661" s="2"/>
      <c r="K1661" s="2"/>
    </row>
    <row r="1662">
      <c r="A1662" s="2"/>
      <c r="B1662" s="2"/>
      <c r="C1662" s="34"/>
      <c r="E1662" s="12"/>
      <c r="F1662" s="12"/>
      <c r="G1662" s="36"/>
      <c r="H1662" s="36"/>
      <c r="I1662" s="27"/>
      <c r="J1662" s="2"/>
      <c r="K1662" s="2"/>
    </row>
    <row r="1663">
      <c r="A1663" s="2"/>
      <c r="B1663" s="2"/>
      <c r="C1663" s="34"/>
      <c r="E1663" s="12"/>
      <c r="F1663" s="12"/>
      <c r="G1663" s="36"/>
      <c r="H1663" s="36"/>
      <c r="I1663" s="27"/>
      <c r="J1663" s="2"/>
      <c r="K1663" s="2"/>
    </row>
    <row r="1664">
      <c r="A1664" s="2"/>
      <c r="B1664" s="2"/>
      <c r="C1664" s="34"/>
      <c r="E1664" s="12"/>
      <c r="F1664" s="12"/>
      <c r="G1664" s="36"/>
      <c r="H1664" s="36"/>
      <c r="I1664" s="27"/>
      <c r="J1664" s="2"/>
      <c r="K1664" s="2"/>
    </row>
    <row r="1665">
      <c r="A1665" s="2"/>
      <c r="B1665" s="2"/>
      <c r="C1665" s="34"/>
      <c r="E1665" s="12"/>
      <c r="F1665" s="12"/>
      <c r="G1665" s="36"/>
      <c r="H1665" s="36"/>
      <c r="I1665" s="27"/>
      <c r="J1665" s="2"/>
      <c r="K1665" s="2"/>
    </row>
    <row r="1666">
      <c r="A1666" s="2"/>
      <c r="B1666" s="2"/>
      <c r="C1666" s="34"/>
      <c r="E1666" s="12"/>
      <c r="F1666" s="12"/>
      <c r="G1666" s="36"/>
      <c r="H1666" s="36"/>
      <c r="I1666" s="27"/>
      <c r="J1666" s="2"/>
      <c r="K1666" s="2"/>
    </row>
    <row r="1667">
      <c r="A1667" s="2"/>
      <c r="B1667" s="2"/>
      <c r="C1667" s="34"/>
      <c r="E1667" s="12"/>
      <c r="F1667" s="12"/>
      <c r="G1667" s="36"/>
      <c r="H1667" s="36"/>
      <c r="I1667" s="27"/>
      <c r="J1667" s="2"/>
      <c r="K1667" s="2"/>
    </row>
    <row r="1668">
      <c r="A1668" s="2"/>
      <c r="B1668" s="2"/>
      <c r="C1668" s="34"/>
      <c r="E1668" s="12"/>
      <c r="F1668" s="12"/>
      <c r="G1668" s="36"/>
      <c r="H1668" s="36"/>
      <c r="I1668" s="27"/>
      <c r="J1668" s="2"/>
      <c r="K1668" s="2"/>
    </row>
    <row r="1669">
      <c r="A1669" s="2"/>
      <c r="B1669" s="2"/>
      <c r="C1669" s="34"/>
      <c r="E1669" s="12"/>
      <c r="F1669" s="12"/>
      <c r="G1669" s="36"/>
      <c r="H1669" s="36"/>
      <c r="I1669" s="27"/>
      <c r="J1669" s="2"/>
      <c r="K1669" s="2"/>
    </row>
    <row r="1670">
      <c r="A1670" s="2"/>
      <c r="B1670" s="2"/>
      <c r="C1670" s="34"/>
      <c r="E1670" s="12"/>
      <c r="F1670" s="12"/>
      <c r="G1670" s="36"/>
      <c r="H1670" s="36"/>
      <c r="I1670" s="27"/>
      <c r="J1670" s="2"/>
      <c r="K1670" s="2"/>
    </row>
    <row r="1671">
      <c r="A1671" s="2"/>
      <c r="B1671" s="2"/>
      <c r="C1671" s="34"/>
      <c r="E1671" s="12"/>
      <c r="F1671" s="12"/>
      <c r="G1671" s="36"/>
      <c r="H1671" s="36"/>
      <c r="I1671" s="27"/>
      <c r="J1671" s="2"/>
      <c r="K1671" s="2"/>
    </row>
    <row r="1672">
      <c r="A1672" s="2"/>
      <c r="B1672" s="2"/>
      <c r="C1672" s="34"/>
      <c r="E1672" s="12"/>
      <c r="F1672" s="12"/>
      <c r="G1672" s="36"/>
      <c r="H1672" s="36"/>
      <c r="I1672" s="27"/>
      <c r="J1672" s="2"/>
      <c r="K1672" s="2"/>
    </row>
    <row r="1673">
      <c r="A1673" s="2"/>
      <c r="B1673" s="2"/>
      <c r="C1673" s="34"/>
      <c r="E1673" s="12"/>
      <c r="F1673" s="12"/>
      <c r="G1673" s="36"/>
      <c r="H1673" s="36"/>
      <c r="I1673" s="27"/>
      <c r="J1673" s="2"/>
      <c r="K1673" s="2"/>
    </row>
    <row r="1674">
      <c r="A1674" s="2"/>
      <c r="B1674" s="2"/>
      <c r="C1674" s="34"/>
      <c r="E1674" s="12"/>
      <c r="F1674" s="12"/>
      <c r="G1674" s="36"/>
      <c r="H1674" s="36"/>
      <c r="I1674" s="27"/>
      <c r="J1674" s="2"/>
      <c r="K1674" s="2"/>
    </row>
    <row r="1675">
      <c r="A1675" s="2"/>
      <c r="B1675" s="2"/>
      <c r="C1675" s="34"/>
      <c r="E1675" s="12"/>
      <c r="F1675" s="12"/>
      <c r="G1675" s="36"/>
      <c r="H1675" s="36"/>
      <c r="I1675" s="27"/>
      <c r="J1675" s="2"/>
      <c r="K1675" s="2"/>
    </row>
    <row r="1676">
      <c r="A1676" s="2"/>
      <c r="B1676" s="2"/>
      <c r="C1676" s="34"/>
      <c r="E1676" s="12"/>
      <c r="F1676" s="12"/>
      <c r="G1676" s="36"/>
      <c r="H1676" s="36"/>
      <c r="I1676" s="27"/>
      <c r="J1676" s="2"/>
      <c r="K1676" s="2"/>
    </row>
    <row r="1677">
      <c r="A1677" s="2"/>
      <c r="B1677" s="2"/>
      <c r="C1677" s="34"/>
      <c r="E1677" s="12"/>
      <c r="F1677" s="12"/>
      <c r="G1677" s="36"/>
      <c r="H1677" s="36"/>
      <c r="I1677" s="27"/>
      <c r="J1677" s="2"/>
      <c r="K1677" s="2"/>
    </row>
    <row r="1678">
      <c r="A1678" s="2"/>
      <c r="B1678" s="2"/>
      <c r="C1678" s="34"/>
      <c r="E1678" s="12"/>
      <c r="F1678" s="12"/>
      <c r="G1678" s="36"/>
      <c r="H1678" s="36"/>
      <c r="I1678" s="27"/>
      <c r="J1678" s="2"/>
      <c r="K1678" s="2"/>
    </row>
    <row r="1679">
      <c r="A1679" s="2"/>
      <c r="B1679" s="2"/>
      <c r="C1679" s="34"/>
      <c r="E1679" s="12"/>
      <c r="F1679" s="12"/>
      <c r="G1679" s="36"/>
      <c r="H1679" s="36"/>
      <c r="I1679" s="27"/>
      <c r="J1679" s="2"/>
      <c r="K1679" s="2"/>
    </row>
    <row r="1680">
      <c r="A1680" s="2"/>
      <c r="B1680" s="2"/>
      <c r="C1680" s="34"/>
      <c r="E1680" s="12"/>
      <c r="F1680" s="12"/>
      <c r="G1680" s="36"/>
      <c r="H1680" s="36"/>
      <c r="I1680" s="27"/>
      <c r="J1680" s="2"/>
      <c r="K1680" s="2"/>
    </row>
    <row r="1681">
      <c r="A1681" s="2"/>
      <c r="B1681" s="2"/>
      <c r="C1681" s="34"/>
      <c r="E1681" s="12"/>
      <c r="F1681" s="12"/>
      <c r="G1681" s="36"/>
      <c r="H1681" s="36"/>
      <c r="I1681" s="27"/>
      <c r="J1681" s="2"/>
      <c r="K1681" s="2"/>
    </row>
    <row r="1682">
      <c r="A1682" s="2"/>
      <c r="B1682" s="2"/>
      <c r="C1682" s="34"/>
      <c r="E1682" s="12"/>
      <c r="F1682" s="12"/>
      <c r="G1682" s="36"/>
      <c r="H1682" s="36"/>
      <c r="I1682" s="27"/>
      <c r="J1682" s="2"/>
      <c r="K1682" s="2"/>
    </row>
    <row r="1683">
      <c r="A1683" s="2"/>
      <c r="B1683" s="2"/>
      <c r="C1683" s="34"/>
      <c r="E1683" s="12"/>
      <c r="F1683" s="12"/>
      <c r="G1683" s="36"/>
      <c r="H1683" s="36"/>
      <c r="I1683" s="27"/>
      <c r="J1683" s="2"/>
      <c r="K1683" s="2"/>
    </row>
    <row r="1684">
      <c r="A1684" s="2"/>
      <c r="B1684" s="2"/>
      <c r="C1684" s="34"/>
      <c r="E1684" s="12"/>
      <c r="F1684" s="12"/>
      <c r="G1684" s="36"/>
      <c r="H1684" s="36"/>
      <c r="I1684" s="27"/>
      <c r="J1684" s="2"/>
      <c r="K1684" s="2"/>
    </row>
    <row r="1685">
      <c r="A1685" s="2"/>
      <c r="B1685" s="2"/>
      <c r="C1685" s="34"/>
      <c r="E1685" s="12"/>
      <c r="F1685" s="12"/>
      <c r="G1685" s="36"/>
      <c r="H1685" s="36"/>
      <c r="I1685" s="27"/>
      <c r="J1685" s="2"/>
      <c r="K1685" s="2"/>
    </row>
    <row r="1686">
      <c r="A1686" s="2"/>
      <c r="B1686" s="2"/>
      <c r="C1686" s="34"/>
      <c r="E1686" s="12"/>
      <c r="F1686" s="12"/>
      <c r="G1686" s="36"/>
      <c r="H1686" s="36"/>
      <c r="I1686" s="27"/>
      <c r="J1686" s="2"/>
      <c r="K1686" s="2"/>
    </row>
    <row r="1687">
      <c r="A1687" s="2"/>
      <c r="B1687" s="2"/>
      <c r="C1687" s="34"/>
      <c r="E1687" s="12"/>
      <c r="F1687" s="12"/>
      <c r="G1687" s="36"/>
      <c r="H1687" s="36"/>
      <c r="I1687" s="27"/>
      <c r="J1687" s="2"/>
      <c r="K1687" s="2"/>
    </row>
    <row r="1688">
      <c r="A1688" s="2"/>
      <c r="B1688" s="2"/>
      <c r="C1688" s="34"/>
      <c r="E1688" s="12"/>
      <c r="F1688" s="12"/>
      <c r="G1688" s="36"/>
      <c r="H1688" s="36"/>
      <c r="I1688" s="27"/>
      <c r="J1688" s="2"/>
      <c r="K1688" s="2"/>
    </row>
    <row r="1689">
      <c r="A1689" s="2"/>
      <c r="B1689" s="2"/>
      <c r="C1689" s="34"/>
      <c r="E1689" s="12"/>
      <c r="F1689" s="12"/>
      <c r="G1689" s="36"/>
      <c r="H1689" s="36"/>
      <c r="I1689" s="27"/>
      <c r="J1689" s="2"/>
      <c r="K1689" s="2"/>
    </row>
    <row r="1690">
      <c r="A1690" s="2"/>
      <c r="B1690" s="2"/>
      <c r="C1690" s="34"/>
      <c r="E1690" s="12"/>
      <c r="F1690" s="12"/>
      <c r="G1690" s="36"/>
      <c r="H1690" s="36"/>
      <c r="I1690" s="27"/>
      <c r="J1690" s="2"/>
      <c r="K1690" s="2"/>
    </row>
    <row r="1691">
      <c r="A1691" s="2"/>
      <c r="B1691" s="2"/>
      <c r="C1691" s="34"/>
      <c r="E1691" s="12"/>
      <c r="F1691" s="12"/>
      <c r="G1691" s="36"/>
      <c r="H1691" s="36"/>
      <c r="I1691" s="27"/>
      <c r="J1691" s="2"/>
      <c r="K1691" s="2"/>
    </row>
    <row r="1692">
      <c r="A1692" s="2"/>
      <c r="B1692" s="2"/>
      <c r="C1692" s="34"/>
      <c r="E1692" s="12"/>
      <c r="F1692" s="12"/>
      <c r="G1692" s="36"/>
      <c r="H1692" s="36"/>
      <c r="I1692" s="27"/>
      <c r="J1692" s="2"/>
      <c r="K1692" s="2"/>
    </row>
    <row r="1693">
      <c r="A1693" s="2"/>
      <c r="B1693" s="2"/>
      <c r="C1693" s="34"/>
      <c r="E1693" s="12"/>
      <c r="F1693" s="12"/>
      <c r="G1693" s="36"/>
      <c r="H1693" s="36"/>
      <c r="I1693" s="27"/>
      <c r="J1693" s="2"/>
      <c r="K1693" s="2"/>
    </row>
    <row r="1694">
      <c r="A1694" s="2"/>
      <c r="B1694" s="2"/>
      <c r="C1694" s="34"/>
      <c r="E1694" s="12"/>
      <c r="F1694" s="12"/>
      <c r="G1694" s="36"/>
      <c r="H1694" s="36"/>
      <c r="I1694" s="27"/>
      <c r="J1694" s="2"/>
      <c r="K1694" s="2"/>
    </row>
    <row r="1695">
      <c r="A1695" s="2"/>
      <c r="B1695" s="2"/>
      <c r="C1695" s="34"/>
      <c r="E1695" s="12"/>
      <c r="F1695" s="12"/>
      <c r="G1695" s="36"/>
      <c r="H1695" s="36"/>
      <c r="I1695" s="27"/>
      <c r="J1695" s="2"/>
      <c r="K1695" s="2"/>
    </row>
    <row r="1696">
      <c r="A1696" s="2"/>
      <c r="B1696" s="2"/>
      <c r="C1696" s="34"/>
      <c r="E1696" s="12"/>
      <c r="F1696" s="12"/>
      <c r="G1696" s="36"/>
      <c r="H1696" s="36"/>
      <c r="I1696" s="27"/>
      <c r="J1696" s="2"/>
      <c r="K1696" s="2"/>
    </row>
    <row r="1697">
      <c r="A1697" s="2"/>
      <c r="B1697" s="2"/>
      <c r="C1697" s="34"/>
      <c r="E1697" s="12"/>
      <c r="F1697" s="12"/>
      <c r="G1697" s="36"/>
      <c r="H1697" s="36"/>
      <c r="I1697" s="27"/>
      <c r="J1697" s="2"/>
      <c r="K1697" s="2"/>
    </row>
    <row r="1698">
      <c r="A1698" s="2"/>
      <c r="B1698" s="2"/>
      <c r="C1698" s="34"/>
      <c r="E1698" s="12"/>
      <c r="F1698" s="12"/>
      <c r="G1698" s="36"/>
      <c r="H1698" s="36"/>
      <c r="I1698" s="27"/>
      <c r="J1698" s="2"/>
      <c r="K1698" s="2"/>
    </row>
    <row r="1699">
      <c r="A1699" s="2"/>
      <c r="B1699" s="2"/>
      <c r="C1699" s="34"/>
      <c r="E1699" s="12"/>
      <c r="F1699" s="12"/>
      <c r="G1699" s="36"/>
      <c r="H1699" s="36"/>
      <c r="I1699" s="27"/>
      <c r="J1699" s="2"/>
      <c r="K1699" s="2"/>
    </row>
    <row r="1700">
      <c r="A1700" s="2"/>
      <c r="B1700" s="2"/>
      <c r="C1700" s="34"/>
      <c r="E1700" s="12"/>
      <c r="F1700" s="12"/>
      <c r="G1700" s="36"/>
      <c r="H1700" s="36"/>
      <c r="I1700" s="27"/>
      <c r="J1700" s="2"/>
      <c r="K1700" s="2"/>
    </row>
    <row r="1701">
      <c r="A1701" s="2"/>
      <c r="B1701" s="2"/>
      <c r="C1701" s="34"/>
      <c r="E1701" s="12"/>
      <c r="F1701" s="12"/>
      <c r="G1701" s="36"/>
      <c r="H1701" s="36"/>
      <c r="I1701" s="27"/>
      <c r="J1701" s="2"/>
      <c r="K1701" s="2"/>
    </row>
    <row r="1702">
      <c r="A1702" s="2"/>
      <c r="B1702" s="2"/>
      <c r="C1702" s="34"/>
      <c r="E1702" s="12"/>
      <c r="F1702" s="12"/>
      <c r="G1702" s="36"/>
      <c r="H1702" s="36"/>
      <c r="I1702" s="27"/>
      <c r="J1702" s="2"/>
      <c r="K1702" s="2"/>
    </row>
    <row r="1703">
      <c r="A1703" s="2"/>
      <c r="B1703" s="2"/>
      <c r="C1703" s="34"/>
      <c r="E1703" s="12"/>
      <c r="F1703" s="12"/>
      <c r="G1703" s="36"/>
      <c r="H1703" s="36"/>
      <c r="I1703" s="27"/>
      <c r="J1703" s="2"/>
      <c r="K1703" s="2"/>
    </row>
    <row r="1704">
      <c r="A1704" s="2"/>
      <c r="B1704" s="2"/>
      <c r="C1704" s="34"/>
      <c r="E1704" s="12"/>
      <c r="F1704" s="12"/>
      <c r="G1704" s="36"/>
      <c r="H1704" s="36"/>
      <c r="I1704" s="27"/>
      <c r="J1704" s="2"/>
      <c r="K1704" s="2"/>
    </row>
    <row r="1705">
      <c r="A1705" s="2"/>
      <c r="B1705" s="2"/>
      <c r="C1705" s="34"/>
      <c r="E1705" s="12"/>
      <c r="F1705" s="12"/>
      <c r="G1705" s="36"/>
      <c r="H1705" s="36"/>
      <c r="I1705" s="27"/>
      <c r="J1705" s="2"/>
      <c r="K1705" s="2"/>
    </row>
    <row r="1706">
      <c r="A1706" s="2"/>
      <c r="B1706" s="2"/>
      <c r="C1706" s="34"/>
      <c r="E1706" s="12"/>
      <c r="F1706" s="12"/>
      <c r="G1706" s="36"/>
      <c r="H1706" s="36"/>
      <c r="I1706" s="27"/>
      <c r="J1706" s="2"/>
      <c r="K1706" s="2"/>
    </row>
    <row r="1707">
      <c r="A1707" s="2"/>
      <c r="B1707" s="2"/>
      <c r="C1707" s="34"/>
      <c r="E1707" s="12"/>
      <c r="F1707" s="12"/>
      <c r="G1707" s="36"/>
      <c r="H1707" s="36"/>
      <c r="I1707" s="27"/>
      <c r="J1707" s="2"/>
      <c r="K1707" s="2"/>
    </row>
    <row r="1708">
      <c r="A1708" s="2"/>
      <c r="B1708" s="2"/>
      <c r="C1708" s="34"/>
      <c r="E1708" s="12"/>
      <c r="F1708" s="12"/>
      <c r="G1708" s="36"/>
      <c r="H1708" s="36"/>
      <c r="I1708" s="27"/>
      <c r="J1708" s="2"/>
      <c r="K1708" s="2"/>
    </row>
    <row r="1709">
      <c r="A1709" s="2"/>
      <c r="B1709" s="2"/>
      <c r="C1709" s="34"/>
      <c r="E1709" s="12"/>
      <c r="F1709" s="12"/>
      <c r="G1709" s="36"/>
      <c r="H1709" s="36"/>
      <c r="I1709" s="27"/>
      <c r="J1709" s="2"/>
      <c r="K1709" s="2"/>
    </row>
    <row r="1710">
      <c r="A1710" s="2"/>
      <c r="B1710" s="2"/>
      <c r="C1710" s="34"/>
      <c r="E1710" s="12"/>
      <c r="F1710" s="12"/>
      <c r="G1710" s="36"/>
      <c r="H1710" s="36"/>
      <c r="I1710" s="27"/>
      <c r="J1710" s="2"/>
      <c r="K1710" s="2"/>
    </row>
    <row r="1711">
      <c r="A1711" s="2"/>
      <c r="B1711" s="2"/>
      <c r="C1711" s="34"/>
      <c r="E1711" s="12"/>
      <c r="F1711" s="12"/>
      <c r="G1711" s="36"/>
      <c r="H1711" s="36"/>
      <c r="I1711" s="27"/>
      <c r="J1711" s="2"/>
      <c r="K1711" s="2"/>
    </row>
    <row r="1712">
      <c r="A1712" s="2"/>
      <c r="B1712" s="2"/>
      <c r="C1712" s="34"/>
      <c r="E1712" s="12"/>
      <c r="F1712" s="12"/>
      <c r="G1712" s="36"/>
      <c r="H1712" s="36"/>
      <c r="I1712" s="27"/>
      <c r="J1712" s="2"/>
      <c r="K1712" s="2"/>
    </row>
    <row r="1713">
      <c r="A1713" s="2"/>
      <c r="B1713" s="2"/>
      <c r="C1713" s="34"/>
      <c r="E1713" s="12"/>
      <c r="F1713" s="12"/>
      <c r="G1713" s="36"/>
      <c r="H1713" s="36"/>
      <c r="I1713" s="27"/>
      <c r="J1713" s="2"/>
      <c r="K1713" s="2"/>
    </row>
    <row r="1714">
      <c r="A1714" s="2"/>
      <c r="B1714" s="2"/>
      <c r="C1714" s="34"/>
      <c r="E1714" s="12"/>
      <c r="F1714" s="12"/>
      <c r="G1714" s="36"/>
      <c r="H1714" s="36"/>
      <c r="I1714" s="27"/>
      <c r="J1714" s="2"/>
      <c r="K1714" s="2"/>
    </row>
    <row r="1715">
      <c r="A1715" s="2"/>
      <c r="B1715" s="2"/>
      <c r="C1715" s="34"/>
      <c r="E1715" s="12"/>
      <c r="F1715" s="12"/>
      <c r="G1715" s="36"/>
      <c r="H1715" s="36"/>
      <c r="I1715" s="27"/>
      <c r="J1715" s="2"/>
      <c r="K1715" s="2"/>
    </row>
    <row r="1716">
      <c r="A1716" s="2"/>
      <c r="B1716" s="2"/>
      <c r="C1716" s="34"/>
      <c r="E1716" s="12"/>
      <c r="F1716" s="12"/>
      <c r="G1716" s="36"/>
      <c r="H1716" s="36"/>
      <c r="I1716" s="27"/>
      <c r="J1716" s="2"/>
      <c r="K1716" s="2"/>
    </row>
    <row r="1717">
      <c r="A1717" s="2"/>
      <c r="B1717" s="2"/>
      <c r="C1717" s="34"/>
      <c r="E1717" s="12"/>
      <c r="F1717" s="12"/>
      <c r="G1717" s="36"/>
      <c r="H1717" s="36"/>
      <c r="I1717" s="27"/>
      <c r="J1717" s="2"/>
      <c r="K1717" s="2"/>
    </row>
    <row r="1718">
      <c r="A1718" s="2"/>
      <c r="B1718" s="2"/>
      <c r="C1718" s="34"/>
      <c r="E1718" s="12"/>
      <c r="F1718" s="12"/>
      <c r="G1718" s="36"/>
      <c r="H1718" s="36"/>
      <c r="I1718" s="27"/>
      <c r="J1718" s="2"/>
      <c r="K1718" s="2"/>
    </row>
    <row r="1719">
      <c r="A1719" s="2"/>
      <c r="B1719" s="2"/>
      <c r="C1719" s="34"/>
      <c r="E1719" s="12"/>
      <c r="F1719" s="12"/>
      <c r="G1719" s="36"/>
      <c r="H1719" s="36"/>
      <c r="I1719" s="27"/>
      <c r="J1719" s="2"/>
      <c r="K1719" s="2"/>
    </row>
    <row r="1720">
      <c r="A1720" s="2"/>
      <c r="B1720" s="2"/>
      <c r="C1720" s="34"/>
      <c r="E1720" s="12"/>
      <c r="F1720" s="12"/>
      <c r="G1720" s="36"/>
      <c r="H1720" s="36"/>
      <c r="I1720" s="27"/>
      <c r="J1720" s="2"/>
      <c r="K1720" s="2"/>
    </row>
    <row r="1721">
      <c r="A1721" s="2"/>
      <c r="B1721" s="2"/>
      <c r="C1721" s="34"/>
      <c r="E1721" s="12"/>
      <c r="F1721" s="12"/>
      <c r="G1721" s="36"/>
      <c r="H1721" s="36"/>
      <c r="I1721" s="27"/>
      <c r="J1721" s="2"/>
      <c r="K1721" s="2"/>
    </row>
    <row r="1722">
      <c r="A1722" s="2"/>
      <c r="B1722" s="2"/>
      <c r="C1722" s="34"/>
      <c r="E1722" s="12"/>
      <c r="F1722" s="12"/>
      <c r="G1722" s="36"/>
      <c r="H1722" s="36"/>
      <c r="I1722" s="27"/>
      <c r="J1722" s="2"/>
      <c r="K1722" s="2"/>
    </row>
    <row r="1723">
      <c r="A1723" s="2"/>
      <c r="B1723" s="2"/>
      <c r="C1723" s="34"/>
      <c r="E1723" s="12"/>
      <c r="F1723" s="12"/>
      <c r="G1723" s="36"/>
      <c r="H1723" s="36"/>
      <c r="I1723" s="27"/>
      <c r="J1723" s="2"/>
      <c r="K1723" s="2"/>
    </row>
    <row r="1724">
      <c r="A1724" s="2"/>
      <c r="B1724" s="2"/>
      <c r="C1724" s="34"/>
      <c r="E1724" s="12"/>
      <c r="F1724" s="12"/>
      <c r="G1724" s="36"/>
      <c r="H1724" s="36"/>
      <c r="I1724" s="27"/>
      <c r="J1724" s="2"/>
      <c r="K1724" s="2"/>
    </row>
    <row r="1725">
      <c r="A1725" s="2"/>
      <c r="B1725" s="2"/>
      <c r="C1725" s="34"/>
      <c r="E1725" s="12"/>
      <c r="F1725" s="12"/>
      <c r="G1725" s="36"/>
      <c r="H1725" s="36"/>
      <c r="I1725" s="27"/>
      <c r="J1725" s="2"/>
      <c r="K1725" s="2"/>
    </row>
    <row r="1726">
      <c r="A1726" s="2"/>
      <c r="B1726" s="2"/>
      <c r="C1726" s="34"/>
      <c r="E1726" s="12"/>
      <c r="F1726" s="12"/>
      <c r="G1726" s="36"/>
      <c r="H1726" s="36"/>
      <c r="I1726" s="27"/>
      <c r="J1726" s="2"/>
      <c r="K1726" s="2"/>
    </row>
    <row r="1727">
      <c r="A1727" s="2"/>
      <c r="B1727" s="2"/>
      <c r="C1727" s="34"/>
      <c r="E1727" s="12"/>
      <c r="F1727" s="12"/>
      <c r="G1727" s="36"/>
      <c r="H1727" s="36"/>
      <c r="I1727" s="27"/>
      <c r="J1727" s="2"/>
      <c r="K1727" s="2"/>
    </row>
    <row r="1728">
      <c r="A1728" s="2"/>
      <c r="B1728" s="2"/>
      <c r="C1728" s="34"/>
      <c r="E1728" s="12"/>
      <c r="F1728" s="12"/>
      <c r="G1728" s="36"/>
      <c r="H1728" s="36"/>
      <c r="I1728" s="27"/>
      <c r="J1728" s="2"/>
      <c r="K1728" s="2"/>
    </row>
    <row r="1729">
      <c r="A1729" s="2"/>
      <c r="B1729" s="2"/>
      <c r="C1729" s="34"/>
      <c r="E1729" s="12"/>
      <c r="F1729" s="12"/>
      <c r="G1729" s="36"/>
      <c r="H1729" s="36"/>
      <c r="I1729" s="27"/>
      <c r="J1729" s="2"/>
      <c r="K1729" s="2"/>
    </row>
    <row r="1730">
      <c r="A1730" s="2"/>
      <c r="B1730" s="2"/>
      <c r="C1730" s="34"/>
      <c r="E1730" s="12"/>
      <c r="F1730" s="12"/>
      <c r="G1730" s="36"/>
      <c r="H1730" s="36"/>
      <c r="I1730" s="27"/>
      <c r="J1730" s="2"/>
      <c r="K1730" s="2"/>
    </row>
    <row r="1731">
      <c r="A1731" s="2"/>
      <c r="B1731" s="2"/>
      <c r="C1731" s="34"/>
      <c r="E1731" s="12"/>
      <c r="F1731" s="12"/>
      <c r="G1731" s="36"/>
      <c r="H1731" s="36"/>
      <c r="I1731" s="27"/>
      <c r="J1731" s="2"/>
      <c r="K1731" s="2"/>
    </row>
    <row r="1732">
      <c r="A1732" s="2"/>
      <c r="B1732" s="2"/>
      <c r="C1732" s="34"/>
      <c r="E1732" s="12"/>
      <c r="F1732" s="12"/>
      <c r="G1732" s="36"/>
      <c r="H1732" s="36"/>
      <c r="I1732" s="27"/>
      <c r="J1732" s="2"/>
      <c r="K1732" s="2"/>
    </row>
    <row r="1733">
      <c r="A1733" s="2"/>
      <c r="B1733" s="2"/>
      <c r="C1733" s="34"/>
      <c r="E1733" s="12"/>
      <c r="F1733" s="12"/>
      <c r="G1733" s="36"/>
      <c r="H1733" s="36"/>
      <c r="I1733" s="27"/>
      <c r="J1733" s="2"/>
      <c r="K1733" s="2"/>
    </row>
    <row r="1734">
      <c r="A1734" s="2"/>
      <c r="B1734" s="2"/>
      <c r="C1734" s="34"/>
      <c r="E1734" s="12"/>
      <c r="F1734" s="12"/>
      <c r="G1734" s="36"/>
      <c r="H1734" s="36"/>
      <c r="I1734" s="27"/>
      <c r="J1734" s="2"/>
      <c r="K1734" s="2"/>
    </row>
    <row r="1735">
      <c r="A1735" s="2"/>
      <c r="B1735" s="2"/>
      <c r="C1735" s="34"/>
      <c r="E1735" s="12"/>
      <c r="F1735" s="12"/>
      <c r="G1735" s="36"/>
      <c r="H1735" s="36"/>
      <c r="I1735" s="27"/>
      <c r="J1735" s="2"/>
      <c r="K1735" s="2"/>
    </row>
    <row r="1736">
      <c r="A1736" s="2"/>
      <c r="B1736" s="2"/>
      <c r="C1736" s="34"/>
      <c r="E1736" s="12"/>
      <c r="F1736" s="12"/>
      <c r="G1736" s="36"/>
      <c r="H1736" s="36"/>
      <c r="I1736" s="27"/>
      <c r="J1736" s="2"/>
      <c r="K1736" s="2"/>
    </row>
    <row r="1737">
      <c r="A1737" s="2"/>
      <c r="B1737" s="2"/>
      <c r="C1737" s="34"/>
      <c r="E1737" s="12"/>
      <c r="F1737" s="12"/>
      <c r="G1737" s="36"/>
      <c r="H1737" s="36"/>
      <c r="I1737" s="27"/>
      <c r="J1737" s="2"/>
      <c r="K1737" s="2"/>
    </row>
    <row r="1738">
      <c r="A1738" s="2"/>
      <c r="B1738" s="2"/>
      <c r="C1738" s="34"/>
      <c r="E1738" s="12"/>
      <c r="F1738" s="12"/>
      <c r="G1738" s="36"/>
      <c r="H1738" s="36"/>
      <c r="I1738" s="27"/>
      <c r="J1738" s="2"/>
      <c r="K1738" s="2"/>
    </row>
    <row r="1739">
      <c r="A1739" s="2"/>
      <c r="B1739" s="2"/>
      <c r="C1739" s="34"/>
      <c r="E1739" s="12"/>
      <c r="F1739" s="12"/>
      <c r="G1739" s="36"/>
      <c r="H1739" s="36"/>
      <c r="I1739" s="27"/>
      <c r="J1739" s="2"/>
      <c r="K1739" s="2"/>
    </row>
    <row r="1740">
      <c r="A1740" s="2"/>
      <c r="B1740" s="2"/>
      <c r="C1740" s="34"/>
      <c r="E1740" s="12"/>
      <c r="F1740" s="12"/>
      <c r="G1740" s="36"/>
      <c r="H1740" s="36"/>
      <c r="I1740" s="27"/>
      <c r="J1740" s="2"/>
      <c r="K1740" s="2"/>
    </row>
    <row r="1741">
      <c r="A1741" s="2"/>
      <c r="B1741" s="2"/>
      <c r="C1741" s="34"/>
      <c r="E1741" s="12"/>
      <c r="F1741" s="12"/>
      <c r="G1741" s="36"/>
      <c r="H1741" s="36"/>
      <c r="I1741" s="27"/>
      <c r="J1741" s="2"/>
      <c r="K1741" s="2"/>
    </row>
    <row r="1742">
      <c r="A1742" s="2"/>
      <c r="B1742" s="2"/>
      <c r="C1742" s="34"/>
      <c r="E1742" s="12"/>
      <c r="F1742" s="12"/>
      <c r="G1742" s="36"/>
      <c r="H1742" s="36"/>
      <c r="I1742" s="27"/>
      <c r="J1742" s="2"/>
      <c r="K1742" s="2"/>
    </row>
    <row r="1743">
      <c r="A1743" s="2"/>
      <c r="B1743" s="2"/>
      <c r="C1743" s="34"/>
      <c r="E1743" s="12"/>
      <c r="F1743" s="12"/>
      <c r="G1743" s="36"/>
      <c r="H1743" s="36"/>
      <c r="I1743" s="27"/>
      <c r="J1743" s="2"/>
      <c r="K1743" s="2"/>
    </row>
    <row r="1744">
      <c r="A1744" s="2"/>
      <c r="B1744" s="2"/>
      <c r="C1744" s="34"/>
      <c r="E1744" s="12"/>
      <c r="F1744" s="12"/>
      <c r="G1744" s="36"/>
      <c r="H1744" s="36"/>
      <c r="I1744" s="27"/>
      <c r="J1744" s="2"/>
      <c r="K1744" s="2"/>
    </row>
    <row r="1745">
      <c r="A1745" s="2"/>
      <c r="B1745" s="2"/>
      <c r="C1745" s="34"/>
      <c r="E1745" s="12"/>
      <c r="F1745" s="12"/>
      <c r="G1745" s="36"/>
      <c r="H1745" s="36"/>
      <c r="I1745" s="27"/>
      <c r="J1745" s="2"/>
      <c r="K1745" s="2"/>
    </row>
    <row r="1746">
      <c r="A1746" s="2"/>
      <c r="B1746" s="2"/>
      <c r="C1746" s="34"/>
      <c r="E1746" s="12"/>
      <c r="F1746" s="12"/>
      <c r="G1746" s="36"/>
      <c r="H1746" s="36"/>
      <c r="I1746" s="27"/>
      <c r="J1746" s="2"/>
      <c r="K1746" s="2"/>
    </row>
    <row r="1747">
      <c r="A1747" s="2"/>
      <c r="B1747" s="2"/>
      <c r="C1747" s="34"/>
      <c r="E1747" s="12"/>
      <c r="F1747" s="12"/>
      <c r="G1747" s="36"/>
      <c r="H1747" s="36"/>
      <c r="I1747" s="27"/>
      <c r="J1747" s="2"/>
      <c r="K1747" s="2"/>
    </row>
    <row r="1748">
      <c r="A1748" s="2"/>
      <c r="B1748" s="2"/>
      <c r="C1748" s="34"/>
      <c r="E1748" s="12"/>
      <c r="F1748" s="12"/>
      <c r="G1748" s="36"/>
      <c r="H1748" s="36"/>
      <c r="I1748" s="27"/>
      <c r="J1748" s="2"/>
      <c r="K1748" s="2"/>
    </row>
    <row r="1749">
      <c r="A1749" s="2"/>
      <c r="B1749" s="2"/>
      <c r="C1749" s="34"/>
      <c r="E1749" s="12"/>
      <c r="F1749" s="12"/>
      <c r="G1749" s="36"/>
      <c r="H1749" s="36"/>
      <c r="I1749" s="27"/>
      <c r="J1749" s="2"/>
      <c r="K1749" s="2"/>
    </row>
    <row r="1750">
      <c r="A1750" s="2"/>
      <c r="B1750" s="2"/>
      <c r="C1750" s="34"/>
      <c r="E1750" s="12"/>
      <c r="F1750" s="12"/>
      <c r="G1750" s="36"/>
      <c r="H1750" s="36"/>
      <c r="I1750" s="27"/>
      <c r="J1750" s="2"/>
      <c r="K1750" s="2"/>
    </row>
    <row r="1751">
      <c r="A1751" s="2"/>
      <c r="B1751" s="2"/>
      <c r="C1751" s="34"/>
      <c r="E1751" s="12"/>
      <c r="F1751" s="12"/>
      <c r="G1751" s="36"/>
      <c r="H1751" s="36"/>
      <c r="I1751" s="27"/>
      <c r="J1751" s="2"/>
      <c r="K1751" s="2"/>
    </row>
    <row r="1752">
      <c r="A1752" s="2"/>
      <c r="B1752" s="2"/>
      <c r="C1752" s="34"/>
      <c r="E1752" s="12"/>
      <c r="F1752" s="12"/>
      <c r="G1752" s="36"/>
      <c r="H1752" s="36"/>
      <c r="I1752" s="27"/>
      <c r="J1752" s="2"/>
      <c r="K1752" s="2"/>
    </row>
    <row r="1753">
      <c r="A1753" s="2"/>
      <c r="B1753" s="2"/>
      <c r="C1753" s="34"/>
      <c r="E1753" s="12"/>
      <c r="F1753" s="12"/>
      <c r="G1753" s="36"/>
      <c r="H1753" s="36"/>
      <c r="I1753" s="27"/>
      <c r="J1753" s="2"/>
      <c r="K1753" s="2"/>
    </row>
    <row r="1754">
      <c r="A1754" s="2"/>
      <c r="B1754" s="2"/>
      <c r="C1754" s="34"/>
      <c r="E1754" s="12"/>
      <c r="F1754" s="12"/>
      <c r="G1754" s="36"/>
      <c r="H1754" s="36"/>
      <c r="I1754" s="27"/>
      <c r="J1754" s="2"/>
      <c r="K1754" s="2"/>
    </row>
    <row r="1755">
      <c r="A1755" s="2"/>
      <c r="B1755" s="2"/>
      <c r="C1755" s="34"/>
      <c r="E1755" s="12"/>
      <c r="F1755" s="12"/>
      <c r="G1755" s="36"/>
      <c r="H1755" s="36"/>
      <c r="I1755" s="27"/>
      <c r="J1755" s="2"/>
      <c r="K1755" s="2"/>
    </row>
    <row r="1756">
      <c r="A1756" s="2"/>
      <c r="B1756" s="2"/>
      <c r="C1756" s="34"/>
      <c r="E1756" s="12"/>
      <c r="F1756" s="12"/>
      <c r="G1756" s="36"/>
      <c r="H1756" s="36"/>
      <c r="I1756" s="27"/>
      <c r="J1756" s="2"/>
      <c r="K1756" s="2"/>
    </row>
    <row r="1757">
      <c r="A1757" s="2"/>
      <c r="B1757" s="2"/>
      <c r="C1757" s="34"/>
      <c r="E1757" s="12"/>
      <c r="F1757" s="12"/>
      <c r="G1757" s="36"/>
      <c r="H1757" s="36"/>
      <c r="I1757" s="27"/>
      <c r="J1757" s="2"/>
      <c r="K1757" s="2"/>
    </row>
    <row r="1758">
      <c r="A1758" s="2"/>
      <c r="B1758" s="2"/>
      <c r="C1758" s="34"/>
      <c r="E1758" s="12"/>
      <c r="F1758" s="12"/>
      <c r="G1758" s="36"/>
      <c r="H1758" s="36"/>
      <c r="I1758" s="27"/>
      <c r="J1758" s="2"/>
      <c r="K1758" s="2"/>
    </row>
    <row r="1759">
      <c r="A1759" s="2"/>
      <c r="B1759" s="2"/>
      <c r="C1759" s="34"/>
      <c r="E1759" s="12"/>
      <c r="F1759" s="12"/>
      <c r="G1759" s="36"/>
      <c r="H1759" s="36"/>
      <c r="I1759" s="27"/>
      <c r="J1759" s="2"/>
      <c r="K1759" s="2"/>
    </row>
    <row r="1760">
      <c r="A1760" s="2"/>
      <c r="B1760" s="2"/>
      <c r="C1760" s="34"/>
      <c r="E1760" s="12"/>
      <c r="F1760" s="12"/>
      <c r="G1760" s="36"/>
      <c r="H1760" s="36"/>
      <c r="I1760" s="27"/>
      <c r="J1760" s="2"/>
      <c r="K1760" s="2"/>
    </row>
    <row r="1761">
      <c r="A1761" s="2"/>
      <c r="B1761" s="2"/>
      <c r="C1761" s="34"/>
      <c r="E1761" s="12"/>
      <c r="F1761" s="12"/>
      <c r="G1761" s="36"/>
      <c r="H1761" s="36"/>
      <c r="I1761" s="27"/>
      <c r="J1761" s="2"/>
      <c r="K1761" s="2"/>
    </row>
    <row r="1762">
      <c r="A1762" s="2"/>
      <c r="B1762" s="2"/>
      <c r="C1762" s="34"/>
      <c r="E1762" s="12"/>
      <c r="F1762" s="12"/>
      <c r="G1762" s="36"/>
      <c r="H1762" s="36"/>
      <c r="I1762" s="27"/>
      <c r="J1762" s="2"/>
      <c r="K1762" s="2"/>
    </row>
    <row r="1763">
      <c r="A1763" s="2"/>
      <c r="B1763" s="2"/>
      <c r="C1763" s="34"/>
      <c r="E1763" s="12"/>
      <c r="F1763" s="12"/>
      <c r="G1763" s="36"/>
      <c r="H1763" s="36"/>
      <c r="I1763" s="27"/>
      <c r="J1763" s="2"/>
      <c r="K1763" s="2"/>
    </row>
    <row r="1764">
      <c r="A1764" s="2"/>
      <c r="B1764" s="2"/>
      <c r="C1764" s="34"/>
      <c r="E1764" s="12"/>
      <c r="F1764" s="12"/>
      <c r="G1764" s="36"/>
      <c r="H1764" s="36"/>
      <c r="I1764" s="27"/>
      <c r="J1764" s="2"/>
      <c r="K1764" s="2"/>
    </row>
    <row r="1765">
      <c r="A1765" s="2"/>
      <c r="B1765" s="2"/>
      <c r="C1765" s="34"/>
      <c r="E1765" s="12"/>
      <c r="F1765" s="12"/>
      <c r="G1765" s="36"/>
      <c r="H1765" s="36"/>
      <c r="I1765" s="27"/>
      <c r="J1765" s="2"/>
      <c r="K1765" s="2"/>
    </row>
    <row r="1766">
      <c r="A1766" s="2"/>
      <c r="B1766" s="2"/>
      <c r="C1766" s="34"/>
      <c r="E1766" s="12"/>
      <c r="F1766" s="12"/>
      <c r="G1766" s="36"/>
      <c r="H1766" s="36"/>
      <c r="I1766" s="27"/>
      <c r="J1766" s="2"/>
      <c r="K1766" s="2"/>
    </row>
    <row r="1767">
      <c r="A1767" s="2"/>
      <c r="B1767" s="2"/>
      <c r="C1767" s="34"/>
      <c r="E1767" s="12"/>
      <c r="F1767" s="12"/>
      <c r="G1767" s="36"/>
      <c r="H1767" s="36"/>
      <c r="I1767" s="27"/>
      <c r="J1767" s="2"/>
      <c r="K1767" s="2"/>
    </row>
    <row r="1768">
      <c r="A1768" s="2"/>
      <c r="B1768" s="2"/>
      <c r="C1768" s="34"/>
      <c r="E1768" s="12"/>
      <c r="F1768" s="12"/>
      <c r="G1768" s="36"/>
      <c r="H1768" s="36"/>
      <c r="I1768" s="27"/>
      <c r="J1768" s="2"/>
      <c r="K1768" s="2"/>
    </row>
    <row r="1769">
      <c r="A1769" s="2"/>
      <c r="B1769" s="2"/>
      <c r="C1769" s="34"/>
      <c r="E1769" s="12"/>
      <c r="F1769" s="12"/>
      <c r="G1769" s="36"/>
      <c r="H1769" s="36"/>
      <c r="I1769" s="27"/>
      <c r="J1769" s="2"/>
      <c r="K1769" s="2"/>
    </row>
    <row r="1770">
      <c r="A1770" s="2"/>
      <c r="B1770" s="2"/>
      <c r="C1770" s="34"/>
      <c r="E1770" s="12"/>
      <c r="F1770" s="12"/>
      <c r="G1770" s="36"/>
      <c r="H1770" s="36"/>
      <c r="I1770" s="27"/>
      <c r="J1770" s="2"/>
      <c r="K1770" s="2"/>
    </row>
    <row r="1771">
      <c r="A1771" s="2"/>
      <c r="B1771" s="2"/>
      <c r="C1771" s="34"/>
      <c r="E1771" s="12"/>
      <c r="F1771" s="12"/>
      <c r="G1771" s="36"/>
      <c r="H1771" s="36"/>
      <c r="I1771" s="27"/>
      <c r="J1771" s="2"/>
      <c r="K1771" s="2"/>
    </row>
    <row r="1772">
      <c r="A1772" s="2"/>
      <c r="B1772" s="2"/>
      <c r="C1772" s="34"/>
      <c r="E1772" s="12"/>
      <c r="F1772" s="12"/>
      <c r="G1772" s="36"/>
      <c r="H1772" s="36"/>
      <c r="I1772" s="27"/>
      <c r="J1772" s="2"/>
      <c r="K1772" s="2"/>
    </row>
    <row r="1773">
      <c r="A1773" s="2"/>
      <c r="B1773" s="2"/>
      <c r="C1773" s="34"/>
      <c r="E1773" s="12"/>
      <c r="F1773" s="12"/>
      <c r="G1773" s="36"/>
      <c r="H1773" s="36"/>
      <c r="I1773" s="27"/>
      <c r="J1773" s="2"/>
      <c r="K1773" s="2"/>
    </row>
    <row r="1774">
      <c r="A1774" s="2"/>
      <c r="B1774" s="2"/>
      <c r="C1774" s="34"/>
      <c r="E1774" s="12"/>
      <c r="F1774" s="12"/>
      <c r="G1774" s="36"/>
      <c r="H1774" s="36"/>
      <c r="I1774" s="27"/>
      <c r="J1774" s="2"/>
      <c r="K1774" s="2"/>
    </row>
    <row r="1775">
      <c r="A1775" s="2"/>
      <c r="B1775" s="2"/>
      <c r="C1775" s="34"/>
      <c r="E1775" s="12"/>
      <c r="F1775" s="12"/>
      <c r="G1775" s="36"/>
      <c r="H1775" s="36"/>
      <c r="I1775" s="27"/>
      <c r="J1775" s="2"/>
      <c r="K1775" s="2"/>
    </row>
    <row r="1776">
      <c r="A1776" s="2"/>
      <c r="B1776" s="2"/>
      <c r="C1776" s="34"/>
      <c r="E1776" s="12"/>
      <c r="F1776" s="12"/>
      <c r="G1776" s="36"/>
      <c r="H1776" s="36"/>
      <c r="I1776" s="27"/>
      <c r="J1776" s="2"/>
      <c r="K1776" s="2"/>
    </row>
    <row r="1777">
      <c r="A1777" s="2"/>
      <c r="B1777" s="2"/>
      <c r="C1777" s="34"/>
      <c r="E1777" s="12"/>
      <c r="F1777" s="12"/>
      <c r="G1777" s="36"/>
      <c r="H1777" s="36"/>
      <c r="I1777" s="27"/>
      <c r="J1777" s="2"/>
      <c r="K1777" s="2"/>
    </row>
    <row r="1778">
      <c r="A1778" s="2"/>
      <c r="B1778" s="2"/>
      <c r="C1778" s="34"/>
      <c r="E1778" s="12"/>
      <c r="F1778" s="12"/>
      <c r="G1778" s="36"/>
      <c r="H1778" s="36"/>
      <c r="I1778" s="27"/>
      <c r="J1778" s="2"/>
      <c r="K1778" s="2"/>
    </row>
    <row r="1779">
      <c r="A1779" s="2"/>
      <c r="B1779" s="2"/>
      <c r="C1779" s="34"/>
      <c r="E1779" s="12"/>
      <c r="F1779" s="12"/>
      <c r="G1779" s="36"/>
      <c r="H1779" s="36"/>
      <c r="I1779" s="27"/>
      <c r="J1779" s="2"/>
      <c r="K1779" s="2"/>
    </row>
    <row r="1780">
      <c r="A1780" s="2"/>
      <c r="B1780" s="2"/>
      <c r="C1780" s="34"/>
      <c r="E1780" s="12"/>
      <c r="F1780" s="12"/>
      <c r="G1780" s="36"/>
      <c r="H1780" s="36"/>
      <c r="I1780" s="27"/>
      <c r="J1780" s="2"/>
      <c r="K1780" s="2"/>
    </row>
    <row r="1781">
      <c r="A1781" s="2"/>
      <c r="B1781" s="2"/>
      <c r="C1781" s="34"/>
      <c r="E1781" s="12"/>
      <c r="F1781" s="12"/>
      <c r="G1781" s="36"/>
      <c r="H1781" s="36"/>
      <c r="I1781" s="27"/>
      <c r="J1781" s="2"/>
      <c r="K1781" s="2"/>
    </row>
    <row r="1782">
      <c r="A1782" s="2"/>
      <c r="B1782" s="2"/>
      <c r="C1782" s="34"/>
      <c r="E1782" s="12"/>
      <c r="F1782" s="12"/>
      <c r="G1782" s="36"/>
      <c r="H1782" s="36"/>
      <c r="I1782" s="27"/>
      <c r="J1782" s="2"/>
      <c r="K1782" s="2"/>
    </row>
    <row r="1783">
      <c r="A1783" s="2"/>
      <c r="B1783" s="2"/>
      <c r="C1783" s="34"/>
      <c r="E1783" s="12"/>
      <c r="F1783" s="12"/>
      <c r="G1783" s="36"/>
      <c r="H1783" s="36"/>
      <c r="I1783" s="27"/>
      <c r="J1783" s="2"/>
      <c r="K1783" s="2"/>
    </row>
    <row r="1784">
      <c r="A1784" s="2"/>
      <c r="B1784" s="2"/>
      <c r="C1784" s="34"/>
      <c r="E1784" s="12"/>
      <c r="F1784" s="12"/>
      <c r="G1784" s="36"/>
      <c r="H1784" s="36"/>
      <c r="I1784" s="27"/>
      <c r="J1784" s="2"/>
      <c r="K1784" s="2"/>
    </row>
    <row r="1785">
      <c r="A1785" s="2"/>
      <c r="B1785" s="2"/>
      <c r="C1785" s="34"/>
      <c r="E1785" s="12"/>
      <c r="F1785" s="12"/>
      <c r="G1785" s="36"/>
      <c r="H1785" s="36"/>
      <c r="I1785" s="27"/>
      <c r="J1785" s="2"/>
      <c r="K1785" s="2"/>
    </row>
    <row r="1786">
      <c r="A1786" s="2"/>
      <c r="B1786" s="2"/>
      <c r="C1786" s="34"/>
      <c r="E1786" s="12"/>
      <c r="F1786" s="12"/>
      <c r="G1786" s="36"/>
      <c r="H1786" s="36"/>
      <c r="I1786" s="27"/>
      <c r="J1786" s="2"/>
      <c r="K1786" s="2"/>
    </row>
    <row r="1787">
      <c r="A1787" s="2"/>
      <c r="B1787" s="2"/>
      <c r="C1787" s="34"/>
      <c r="E1787" s="12"/>
      <c r="F1787" s="12"/>
      <c r="G1787" s="36"/>
      <c r="H1787" s="36"/>
      <c r="I1787" s="27"/>
      <c r="J1787" s="2"/>
      <c r="K1787" s="2"/>
    </row>
    <row r="1788">
      <c r="A1788" s="2"/>
      <c r="B1788" s="2"/>
      <c r="C1788" s="34"/>
      <c r="E1788" s="12"/>
      <c r="F1788" s="12"/>
      <c r="G1788" s="36"/>
      <c r="H1788" s="36"/>
      <c r="I1788" s="27"/>
      <c r="J1788" s="2"/>
      <c r="K1788" s="2"/>
    </row>
    <row r="1789">
      <c r="A1789" s="2"/>
      <c r="B1789" s="2"/>
      <c r="C1789" s="34"/>
      <c r="E1789" s="12"/>
      <c r="F1789" s="12"/>
      <c r="G1789" s="36"/>
      <c r="H1789" s="36"/>
      <c r="I1789" s="27"/>
      <c r="J1789" s="2"/>
      <c r="K1789" s="2"/>
    </row>
    <row r="1790">
      <c r="A1790" s="2"/>
      <c r="B1790" s="2"/>
      <c r="C1790" s="34"/>
      <c r="E1790" s="12"/>
      <c r="F1790" s="12"/>
      <c r="G1790" s="36"/>
      <c r="H1790" s="36"/>
      <c r="I1790" s="27"/>
      <c r="J1790" s="2"/>
      <c r="K1790" s="2"/>
    </row>
    <row r="1791">
      <c r="A1791" s="2"/>
      <c r="B1791" s="2"/>
      <c r="C1791" s="34"/>
      <c r="E1791" s="12"/>
      <c r="F1791" s="12"/>
      <c r="G1791" s="36"/>
      <c r="H1791" s="36"/>
      <c r="I1791" s="27"/>
      <c r="J1791" s="2"/>
      <c r="K1791" s="2"/>
    </row>
    <row r="1792">
      <c r="A1792" s="2"/>
      <c r="B1792" s="2"/>
      <c r="C1792" s="34"/>
      <c r="E1792" s="12"/>
      <c r="F1792" s="12"/>
      <c r="G1792" s="36"/>
      <c r="H1792" s="36"/>
      <c r="I1792" s="27"/>
      <c r="J1792" s="2"/>
      <c r="K1792" s="2"/>
    </row>
    <row r="1793">
      <c r="A1793" s="2"/>
      <c r="B1793" s="2"/>
      <c r="C1793" s="34"/>
      <c r="E1793" s="12"/>
      <c r="F1793" s="12"/>
      <c r="G1793" s="36"/>
      <c r="H1793" s="36"/>
      <c r="I1793" s="27"/>
      <c r="J1793" s="2"/>
      <c r="K1793" s="2"/>
    </row>
    <row r="1794">
      <c r="A1794" s="2"/>
      <c r="B1794" s="2"/>
      <c r="C1794" s="34"/>
      <c r="E1794" s="12"/>
      <c r="F1794" s="12"/>
      <c r="G1794" s="36"/>
      <c r="H1794" s="36"/>
      <c r="I1794" s="27"/>
      <c r="J1794" s="2"/>
      <c r="K1794" s="2"/>
    </row>
    <row r="1795">
      <c r="A1795" s="2"/>
      <c r="B1795" s="2"/>
      <c r="C1795" s="34"/>
      <c r="E1795" s="12"/>
      <c r="F1795" s="12"/>
      <c r="G1795" s="36"/>
      <c r="H1795" s="36"/>
      <c r="I1795" s="27"/>
      <c r="J1795" s="2"/>
      <c r="K1795" s="2"/>
    </row>
    <row r="1796">
      <c r="A1796" s="2"/>
      <c r="B1796" s="2"/>
      <c r="C1796" s="34"/>
      <c r="E1796" s="12"/>
      <c r="F1796" s="12"/>
      <c r="G1796" s="36"/>
      <c r="H1796" s="36"/>
      <c r="I1796" s="27"/>
      <c r="J1796" s="2"/>
      <c r="K1796" s="2"/>
    </row>
    <row r="1797">
      <c r="A1797" s="2"/>
      <c r="B1797" s="2"/>
      <c r="C1797" s="34"/>
      <c r="E1797" s="12"/>
      <c r="F1797" s="12"/>
      <c r="G1797" s="36"/>
      <c r="H1797" s="36"/>
      <c r="I1797" s="27"/>
      <c r="J1797" s="2"/>
      <c r="K1797" s="2"/>
    </row>
    <row r="1798">
      <c r="A1798" s="2"/>
      <c r="B1798" s="2"/>
      <c r="C1798" s="34"/>
      <c r="E1798" s="12"/>
      <c r="F1798" s="12"/>
      <c r="G1798" s="36"/>
      <c r="H1798" s="36"/>
      <c r="I1798" s="27"/>
      <c r="J1798" s="2"/>
      <c r="K1798" s="2"/>
    </row>
    <row r="1799">
      <c r="A1799" s="2"/>
      <c r="B1799" s="2"/>
      <c r="C1799" s="34"/>
      <c r="E1799" s="12"/>
      <c r="F1799" s="12"/>
      <c r="G1799" s="36"/>
      <c r="H1799" s="36"/>
      <c r="I1799" s="27"/>
      <c r="J1799" s="2"/>
      <c r="K1799" s="2"/>
    </row>
    <row r="1800">
      <c r="A1800" s="2"/>
      <c r="B1800" s="2"/>
      <c r="C1800" s="34"/>
      <c r="E1800" s="12"/>
      <c r="F1800" s="12"/>
      <c r="G1800" s="36"/>
      <c r="H1800" s="36"/>
      <c r="I1800" s="27"/>
      <c r="J1800" s="2"/>
      <c r="K1800" s="2"/>
    </row>
    <row r="1801">
      <c r="A1801" s="2"/>
      <c r="B1801" s="2"/>
      <c r="C1801" s="34"/>
      <c r="E1801" s="12"/>
      <c r="F1801" s="12"/>
      <c r="G1801" s="36"/>
      <c r="H1801" s="36"/>
      <c r="I1801" s="27"/>
      <c r="J1801" s="2"/>
      <c r="K1801" s="2"/>
    </row>
    <row r="1802">
      <c r="A1802" s="2"/>
      <c r="B1802" s="2"/>
      <c r="C1802" s="34"/>
      <c r="E1802" s="12"/>
      <c r="F1802" s="12"/>
      <c r="G1802" s="36"/>
      <c r="H1802" s="36"/>
      <c r="I1802" s="27"/>
      <c r="J1802" s="2"/>
      <c r="K1802" s="2"/>
    </row>
    <row r="1803">
      <c r="A1803" s="2"/>
      <c r="B1803" s="2"/>
      <c r="C1803" s="34"/>
      <c r="E1803" s="12"/>
      <c r="F1803" s="12"/>
      <c r="G1803" s="36"/>
      <c r="H1803" s="36"/>
      <c r="I1803" s="27"/>
      <c r="J1803" s="2"/>
      <c r="K1803" s="2"/>
    </row>
    <row r="1804">
      <c r="A1804" s="2"/>
      <c r="B1804" s="2"/>
      <c r="C1804" s="34"/>
      <c r="E1804" s="12"/>
      <c r="F1804" s="12"/>
      <c r="G1804" s="36"/>
      <c r="H1804" s="36"/>
      <c r="I1804" s="27"/>
      <c r="J1804" s="2"/>
      <c r="K1804" s="2"/>
    </row>
    <row r="1805">
      <c r="A1805" s="2"/>
      <c r="B1805" s="2"/>
      <c r="C1805" s="34"/>
      <c r="E1805" s="12"/>
      <c r="F1805" s="12"/>
      <c r="G1805" s="36"/>
      <c r="H1805" s="36"/>
      <c r="I1805" s="27"/>
      <c r="J1805" s="2"/>
      <c r="K1805" s="2"/>
    </row>
    <row r="1806">
      <c r="A1806" s="2"/>
      <c r="B1806" s="2"/>
      <c r="C1806" s="34"/>
      <c r="E1806" s="12"/>
      <c r="F1806" s="12"/>
      <c r="G1806" s="36"/>
      <c r="H1806" s="36"/>
      <c r="I1806" s="27"/>
      <c r="J1806" s="2"/>
      <c r="K1806" s="2"/>
    </row>
    <row r="1807">
      <c r="A1807" s="2"/>
      <c r="B1807" s="2"/>
      <c r="C1807" s="34"/>
      <c r="E1807" s="12"/>
      <c r="F1807" s="12"/>
      <c r="G1807" s="36"/>
      <c r="H1807" s="36"/>
      <c r="I1807" s="27"/>
      <c r="J1807" s="2"/>
      <c r="K1807" s="2"/>
    </row>
    <row r="1808">
      <c r="A1808" s="2"/>
      <c r="B1808" s="2"/>
      <c r="C1808" s="34"/>
      <c r="E1808" s="12"/>
      <c r="F1808" s="12"/>
      <c r="G1808" s="36"/>
      <c r="H1808" s="36"/>
      <c r="I1808" s="27"/>
      <c r="J1808" s="2"/>
      <c r="K1808" s="2"/>
    </row>
    <row r="1809">
      <c r="A1809" s="2"/>
      <c r="B1809" s="2"/>
      <c r="C1809" s="34"/>
      <c r="E1809" s="12"/>
      <c r="F1809" s="12"/>
      <c r="G1809" s="36"/>
      <c r="H1809" s="36"/>
      <c r="I1809" s="27"/>
      <c r="J1809" s="2"/>
      <c r="K1809" s="2"/>
    </row>
    <row r="1810">
      <c r="A1810" s="2"/>
      <c r="B1810" s="2"/>
      <c r="C1810" s="34"/>
      <c r="E1810" s="12"/>
      <c r="F1810" s="12"/>
      <c r="G1810" s="36"/>
      <c r="H1810" s="36"/>
      <c r="I1810" s="27"/>
      <c r="J1810" s="2"/>
      <c r="K1810" s="2"/>
    </row>
    <row r="1811">
      <c r="A1811" s="2"/>
      <c r="B1811" s="2"/>
      <c r="C1811" s="34"/>
      <c r="E1811" s="12"/>
      <c r="F1811" s="12"/>
      <c r="G1811" s="36"/>
      <c r="H1811" s="36"/>
      <c r="I1811" s="27"/>
      <c r="J1811" s="2"/>
      <c r="K1811" s="2"/>
    </row>
    <row r="1812">
      <c r="A1812" s="2"/>
      <c r="B1812" s="2"/>
      <c r="C1812" s="34"/>
      <c r="E1812" s="12"/>
      <c r="F1812" s="12"/>
      <c r="G1812" s="36"/>
      <c r="H1812" s="36"/>
      <c r="I1812" s="27"/>
      <c r="J1812" s="2"/>
      <c r="K1812" s="2"/>
    </row>
    <row r="1813">
      <c r="A1813" s="2"/>
      <c r="B1813" s="2"/>
      <c r="C1813" s="34"/>
      <c r="E1813" s="12"/>
      <c r="F1813" s="12"/>
      <c r="G1813" s="36"/>
      <c r="H1813" s="36"/>
      <c r="I1813" s="27"/>
      <c r="J1813" s="2"/>
      <c r="K1813" s="2"/>
    </row>
    <row r="1814">
      <c r="A1814" s="2"/>
      <c r="B1814" s="2"/>
      <c r="C1814" s="34"/>
      <c r="E1814" s="12"/>
      <c r="F1814" s="12"/>
      <c r="G1814" s="36"/>
      <c r="H1814" s="36"/>
      <c r="I1814" s="27"/>
      <c r="J1814" s="2"/>
      <c r="K1814" s="2"/>
    </row>
    <row r="1815">
      <c r="A1815" s="2"/>
      <c r="B1815" s="2"/>
      <c r="C1815" s="34"/>
      <c r="E1815" s="12"/>
      <c r="F1815" s="12"/>
      <c r="G1815" s="36"/>
      <c r="H1815" s="36"/>
      <c r="I1815" s="27"/>
      <c r="J1815" s="2"/>
      <c r="K1815" s="2"/>
    </row>
    <row r="1816">
      <c r="A1816" s="2"/>
      <c r="B1816" s="2"/>
      <c r="C1816" s="34"/>
      <c r="E1816" s="12"/>
      <c r="F1816" s="12"/>
      <c r="G1816" s="36"/>
      <c r="H1816" s="36"/>
      <c r="I1816" s="27"/>
      <c r="J1816" s="2"/>
      <c r="K1816" s="2"/>
    </row>
    <row r="1817">
      <c r="A1817" s="2"/>
      <c r="B1817" s="2"/>
      <c r="C1817" s="34"/>
      <c r="E1817" s="12"/>
      <c r="F1817" s="12"/>
      <c r="G1817" s="36"/>
      <c r="H1817" s="36"/>
      <c r="I1817" s="27"/>
      <c r="J1817" s="2"/>
      <c r="K1817" s="2"/>
    </row>
    <row r="1818">
      <c r="A1818" s="2"/>
      <c r="B1818" s="2"/>
      <c r="C1818" s="34"/>
      <c r="E1818" s="12"/>
      <c r="F1818" s="12"/>
      <c r="G1818" s="36"/>
      <c r="H1818" s="36"/>
      <c r="I1818" s="27"/>
      <c r="J1818" s="2"/>
      <c r="K1818" s="2"/>
    </row>
    <row r="1819">
      <c r="A1819" s="2"/>
      <c r="B1819" s="2"/>
      <c r="C1819" s="34"/>
      <c r="E1819" s="12"/>
      <c r="F1819" s="12"/>
      <c r="G1819" s="36"/>
      <c r="H1819" s="36"/>
      <c r="I1819" s="27"/>
      <c r="J1819" s="2"/>
      <c r="K1819" s="2"/>
    </row>
    <row r="1820">
      <c r="A1820" s="2"/>
      <c r="B1820" s="2"/>
      <c r="C1820" s="34"/>
      <c r="E1820" s="12"/>
      <c r="F1820" s="12"/>
      <c r="G1820" s="36"/>
      <c r="H1820" s="36"/>
      <c r="I1820" s="27"/>
      <c r="J1820" s="2"/>
      <c r="K1820" s="2"/>
    </row>
    <row r="1821">
      <c r="A1821" s="2"/>
      <c r="B1821" s="2"/>
      <c r="C1821" s="34"/>
      <c r="E1821" s="12"/>
      <c r="F1821" s="12"/>
      <c r="G1821" s="36"/>
      <c r="H1821" s="36"/>
      <c r="I1821" s="27"/>
      <c r="J1821" s="2"/>
      <c r="K1821" s="2"/>
    </row>
    <row r="1822">
      <c r="A1822" s="2"/>
      <c r="B1822" s="2"/>
      <c r="C1822" s="34"/>
      <c r="E1822" s="12"/>
      <c r="F1822" s="12"/>
      <c r="G1822" s="36"/>
      <c r="H1822" s="36"/>
      <c r="I1822" s="27"/>
      <c r="J1822" s="2"/>
      <c r="K1822" s="2"/>
    </row>
    <row r="1823">
      <c r="A1823" s="2"/>
      <c r="B1823" s="2"/>
      <c r="C1823" s="34"/>
      <c r="E1823" s="12"/>
      <c r="F1823" s="12"/>
      <c r="G1823" s="36"/>
      <c r="H1823" s="36"/>
      <c r="I1823" s="27"/>
      <c r="J1823" s="2"/>
      <c r="K1823" s="2"/>
    </row>
    <row r="1824">
      <c r="A1824" s="2"/>
      <c r="B1824" s="2"/>
      <c r="C1824" s="34"/>
      <c r="E1824" s="12"/>
      <c r="F1824" s="12"/>
      <c r="G1824" s="36"/>
      <c r="H1824" s="36"/>
      <c r="I1824" s="27"/>
      <c r="J1824" s="2"/>
      <c r="K1824" s="2"/>
    </row>
    <row r="1825">
      <c r="A1825" s="2"/>
      <c r="B1825" s="2"/>
      <c r="C1825" s="34"/>
      <c r="E1825" s="12"/>
      <c r="F1825" s="12"/>
      <c r="G1825" s="36"/>
      <c r="H1825" s="36"/>
      <c r="I1825" s="27"/>
      <c r="J1825" s="2"/>
      <c r="K1825" s="2"/>
    </row>
    <row r="1826">
      <c r="A1826" s="2"/>
      <c r="B1826" s="2"/>
      <c r="C1826" s="34"/>
      <c r="E1826" s="12"/>
      <c r="F1826" s="12"/>
      <c r="G1826" s="36"/>
      <c r="H1826" s="36"/>
      <c r="I1826" s="27"/>
      <c r="J1826" s="2"/>
      <c r="K1826" s="2"/>
    </row>
    <row r="1827">
      <c r="A1827" s="2"/>
      <c r="B1827" s="2"/>
      <c r="C1827" s="34"/>
      <c r="E1827" s="12"/>
      <c r="F1827" s="12"/>
      <c r="G1827" s="36"/>
      <c r="H1827" s="36"/>
      <c r="I1827" s="27"/>
      <c r="J1827" s="2"/>
      <c r="K1827" s="2"/>
    </row>
    <row r="1828">
      <c r="A1828" s="2"/>
      <c r="B1828" s="2"/>
      <c r="C1828" s="34"/>
      <c r="E1828" s="12"/>
      <c r="F1828" s="12"/>
      <c r="G1828" s="36"/>
      <c r="H1828" s="36"/>
      <c r="I1828" s="27"/>
      <c r="J1828" s="2"/>
      <c r="K1828" s="2"/>
    </row>
    <row r="1829">
      <c r="A1829" s="2"/>
      <c r="B1829" s="2"/>
      <c r="C1829" s="34"/>
      <c r="E1829" s="12"/>
      <c r="F1829" s="12"/>
      <c r="G1829" s="36"/>
      <c r="H1829" s="36"/>
      <c r="I1829" s="27"/>
      <c r="J1829" s="2"/>
      <c r="K1829" s="2"/>
    </row>
    <row r="1830">
      <c r="A1830" s="2"/>
      <c r="B1830" s="2"/>
      <c r="C1830" s="34"/>
      <c r="E1830" s="12"/>
      <c r="F1830" s="12"/>
      <c r="G1830" s="36"/>
      <c r="H1830" s="36"/>
      <c r="I1830" s="27"/>
      <c r="J1830" s="2"/>
      <c r="K1830" s="2"/>
    </row>
    <row r="1831">
      <c r="A1831" s="2"/>
      <c r="B1831" s="2"/>
      <c r="C1831" s="34"/>
      <c r="E1831" s="12"/>
      <c r="F1831" s="12"/>
      <c r="G1831" s="36"/>
      <c r="H1831" s="36"/>
      <c r="I1831" s="27"/>
      <c r="J1831" s="2"/>
      <c r="K1831" s="2"/>
    </row>
    <row r="1832">
      <c r="A1832" s="2"/>
      <c r="B1832" s="2"/>
      <c r="C1832" s="34"/>
      <c r="E1832" s="12"/>
      <c r="F1832" s="12"/>
      <c r="G1832" s="36"/>
      <c r="H1832" s="36"/>
      <c r="I1832" s="27"/>
      <c r="J1832" s="2"/>
      <c r="K1832" s="2"/>
    </row>
    <row r="1833">
      <c r="A1833" s="2"/>
      <c r="B1833" s="2"/>
      <c r="C1833" s="34"/>
      <c r="E1833" s="12"/>
      <c r="F1833" s="12"/>
      <c r="G1833" s="36"/>
      <c r="H1833" s="36"/>
      <c r="I1833" s="27"/>
      <c r="J1833" s="2"/>
      <c r="K1833" s="2"/>
    </row>
    <row r="1834">
      <c r="A1834" s="2"/>
      <c r="B1834" s="2"/>
      <c r="C1834" s="34"/>
      <c r="E1834" s="12"/>
      <c r="F1834" s="12"/>
      <c r="G1834" s="36"/>
      <c r="H1834" s="36"/>
      <c r="I1834" s="27"/>
      <c r="J1834" s="2"/>
      <c r="K1834" s="2"/>
    </row>
    <row r="1835">
      <c r="A1835" s="2"/>
      <c r="B1835" s="2"/>
      <c r="C1835" s="34"/>
      <c r="E1835" s="12"/>
      <c r="F1835" s="12"/>
      <c r="G1835" s="36"/>
      <c r="H1835" s="36"/>
      <c r="I1835" s="27"/>
      <c r="J1835" s="2"/>
      <c r="K1835" s="2"/>
    </row>
    <row r="1836">
      <c r="A1836" s="2"/>
      <c r="B1836" s="2"/>
      <c r="C1836" s="34"/>
      <c r="E1836" s="12"/>
      <c r="F1836" s="12"/>
      <c r="G1836" s="36"/>
      <c r="H1836" s="36"/>
      <c r="I1836" s="27"/>
      <c r="J1836" s="2"/>
      <c r="K1836" s="2"/>
    </row>
    <row r="1837">
      <c r="A1837" s="2"/>
      <c r="B1837" s="2"/>
      <c r="C1837" s="34"/>
      <c r="E1837" s="12"/>
      <c r="F1837" s="12"/>
      <c r="G1837" s="36"/>
      <c r="H1837" s="36"/>
      <c r="I1837" s="27"/>
      <c r="J1837" s="2"/>
      <c r="K1837" s="2"/>
    </row>
    <row r="1838">
      <c r="A1838" s="2"/>
      <c r="B1838" s="2"/>
      <c r="C1838" s="34"/>
      <c r="E1838" s="12"/>
      <c r="F1838" s="12"/>
      <c r="G1838" s="36"/>
      <c r="H1838" s="36"/>
      <c r="I1838" s="27"/>
      <c r="J1838" s="2"/>
      <c r="K1838" s="2"/>
    </row>
    <row r="1839">
      <c r="A1839" s="2"/>
      <c r="B1839" s="2"/>
      <c r="C1839" s="34"/>
      <c r="E1839" s="12"/>
      <c r="F1839" s="12"/>
      <c r="G1839" s="36"/>
      <c r="H1839" s="36"/>
      <c r="I1839" s="27"/>
      <c r="J1839" s="2"/>
      <c r="K1839" s="2"/>
    </row>
    <row r="1840">
      <c r="A1840" s="2"/>
      <c r="B1840" s="2"/>
      <c r="C1840" s="34"/>
      <c r="E1840" s="12"/>
      <c r="F1840" s="12"/>
      <c r="G1840" s="36"/>
      <c r="H1840" s="36"/>
      <c r="I1840" s="27"/>
      <c r="J1840" s="2"/>
      <c r="K1840" s="2"/>
    </row>
    <row r="1841">
      <c r="A1841" s="2"/>
      <c r="B1841" s="2"/>
      <c r="C1841" s="34"/>
      <c r="E1841" s="12"/>
      <c r="F1841" s="12"/>
      <c r="G1841" s="36"/>
      <c r="H1841" s="36"/>
      <c r="I1841" s="27"/>
      <c r="J1841" s="2"/>
      <c r="K1841" s="2"/>
    </row>
    <row r="1842">
      <c r="A1842" s="2"/>
      <c r="B1842" s="2"/>
      <c r="C1842" s="34"/>
      <c r="E1842" s="12"/>
      <c r="F1842" s="12"/>
      <c r="G1842" s="36"/>
      <c r="H1842" s="36"/>
      <c r="I1842" s="27"/>
      <c r="J1842" s="2"/>
      <c r="K1842" s="2"/>
    </row>
    <row r="1843">
      <c r="A1843" s="2"/>
      <c r="B1843" s="2"/>
      <c r="C1843" s="34"/>
      <c r="E1843" s="12"/>
      <c r="F1843" s="12"/>
      <c r="G1843" s="36"/>
      <c r="H1843" s="36"/>
      <c r="I1843" s="27"/>
      <c r="J1843" s="2"/>
      <c r="K1843" s="2"/>
    </row>
    <row r="1844">
      <c r="A1844" s="2"/>
      <c r="B1844" s="2"/>
      <c r="C1844" s="34"/>
      <c r="E1844" s="12"/>
      <c r="F1844" s="12"/>
      <c r="G1844" s="36"/>
      <c r="H1844" s="36"/>
      <c r="I1844" s="27"/>
      <c r="J1844" s="2"/>
      <c r="K1844" s="2"/>
    </row>
    <row r="1845">
      <c r="A1845" s="2"/>
      <c r="B1845" s="2"/>
      <c r="C1845" s="34"/>
      <c r="E1845" s="12"/>
      <c r="F1845" s="12"/>
      <c r="G1845" s="36"/>
      <c r="H1845" s="36"/>
      <c r="I1845" s="27"/>
      <c r="J1845" s="2"/>
      <c r="K1845" s="2"/>
    </row>
    <row r="1846">
      <c r="A1846" s="2"/>
      <c r="B1846" s="2"/>
      <c r="C1846" s="34"/>
      <c r="E1846" s="12"/>
      <c r="F1846" s="12"/>
      <c r="G1846" s="36"/>
      <c r="H1846" s="36"/>
      <c r="I1846" s="27"/>
      <c r="J1846" s="2"/>
      <c r="K1846" s="2"/>
    </row>
    <row r="1847">
      <c r="A1847" s="2"/>
      <c r="B1847" s="2"/>
      <c r="C1847" s="34"/>
      <c r="E1847" s="12"/>
      <c r="F1847" s="12"/>
      <c r="G1847" s="36"/>
      <c r="H1847" s="36"/>
      <c r="I1847" s="27"/>
      <c r="J1847" s="2"/>
      <c r="K1847" s="2"/>
    </row>
    <row r="1848">
      <c r="A1848" s="2"/>
      <c r="B1848" s="2"/>
      <c r="C1848" s="34"/>
      <c r="E1848" s="12"/>
      <c r="F1848" s="12"/>
      <c r="G1848" s="36"/>
      <c r="H1848" s="36"/>
      <c r="I1848" s="27"/>
      <c r="J1848" s="2"/>
      <c r="K1848" s="2"/>
    </row>
    <row r="1849">
      <c r="A1849" s="2"/>
      <c r="B1849" s="2"/>
      <c r="C1849" s="34"/>
      <c r="E1849" s="12"/>
      <c r="F1849" s="12"/>
      <c r="G1849" s="36"/>
      <c r="H1849" s="36"/>
      <c r="I1849" s="27"/>
      <c r="J1849" s="2"/>
      <c r="K1849" s="2"/>
    </row>
    <row r="1850">
      <c r="A1850" s="2"/>
      <c r="B1850" s="2"/>
      <c r="C1850" s="34"/>
      <c r="E1850" s="12"/>
      <c r="F1850" s="12"/>
      <c r="G1850" s="36"/>
      <c r="H1850" s="36"/>
      <c r="I1850" s="27"/>
      <c r="J1850" s="2"/>
      <c r="K1850" s="2"/>
    </row>
    <row r="1851">
      <c r="A1851" s="2"/>
      <c r="B1851" s="2"/>
      <c r="C1851" s="34"/>
      <c r="E1851" s="12"/>
      <c r="F1851" s="12"/>
      <c r="G1851" s="36"/>
      <c r="H1851" s="36"/>
      <c r="I1851" s="27"/>
      <c r="J1851" s="2"/>
      <c r="K1851" s="2"/>
    </row>
    <row r="1852">
      <c r="A1852" s="2"/>
      <c r="B1852" s="2"/>
      <c r="C1852" s="34"/>
      <c r="E1852" s="12"/>
      <c r="F1852" s="12"/>
      <c r="G1852" s="36"/>
      <c r="H1852" s="36"/>
      <c r="I1852" s="27"/>
      <c r="J1852" s="2"/>
      <c r="K1852" s="2"/>
    </row>
    <row r="1853">
      <c r="A1853" s="2"/>
      <c r="B1853" s="2"/>
      <c r="C1853" s="34"/>
      <c r="E1853" s="12"/>
      <c r="F1853" s="12"/>
      <c r="G1853" s="36"/>
      <c r="H1853" s="36"/>
      <c r="I1853" s="27"/>
      <c r="J1853" s="2"/>
      <c r="K1853" s="2"/>
    </row>
    <row r="1854">
      <c r="A1854" s="2"/>
      <c r="B1854" s="2"/>
      <c r="C1854" s="34"/>
      <c r="E1854" s="12"/>
      <c r="F1854" s="12"/>
      <c r="G1854" s="36"/>
      <c r="H1854" s="36"/>
      <c r="I1854" s="27"/>
      <c r="J1854" s="2"/>
      <c r="K1854" s="2"/>
    </row>
    <row r="1855">
      <c r="A1855" s="2"/>
      <c r="B1855" s="2"/>
      <c r="C1855" s="34"/>
      <c r="E1855" s="12"/>
      <c r="F1855" s="12"/>
      <c r="G1855" s="36"/>
      <c r="H1855" s="36"/>
      <c r="I1855" s="27"/>
      <c r="J1855" s="2"/>
      <c r="K1855" s="2"/>
    </row>
    <row r="1856">
      <c r="A1856" s="2"/>
      <c r="B1856" s="2"/>
      <c r="C1856" s="34"/>
      <c r="E1856" s="12"/>
      <c r="F1856" s="12"/>
      <c r="G1856" s="36"/>
      <c r="H1856" s="36"/>
      <c r="I1856" s="27"/>
      <c r="J1856" s="2"/>
      <c r="K1856" s="2"/>
    </row>
    <row r="1857">
      <c r="A1857" s="2"/>
      <c r="B1857" s="2"/>
      <c r="C1857" s="34"/>
      <c r="E1857" s="12"/>
      <c r="F1857" s="12"/>
      <c r="G1857" s="36"/>
      <c r="H1857" s="36"/>
      <c r="I1857" s="27"/>
      <c r="J1857" s="2"/>
      <c r="K1857" s="2"/>
    </row>
    <row r="1858">
      <c r="A1858" s="2"/>
      <c r="B1858" s="2"/>
      <c r="C1858" s="34"/>
      <c r="E1858" s="12"/>
      <c r="F1858" s="12"/>
      <c r="G1858" s="36"/>
      <c r="H1858" s="36"/>
      <c r="I1858" s="27"/>
      <c r="J1858" s="2"/>
      <c r="K1858" s="2"/>
    </row>
    <row r="1859">
      <c r="A1859" s="2"/>
      <c r="B1859" s="2"/>
      <c r="C1859" s="34"/>
      <c r="E1859" s="12"/>
      <c r="F1859" s="12"/>
      <c r="G1859" s="36"/>
      <c r="H1859" s="36"/>
      <c r="I1859" s="27"/>
      <c r="J1859" s="2"/>
      <c r="K1859" s="2"/>
    </row>
    <row r="1860">
      <c r="A1860" s="2"/>
      <c r="B1860" s="2"/>
      <c r="C1860" s="34"/>
      <c r="E1860" s="12"/>
      <c r="F1860" s="12"/>
      <c r="G1860" s="36"/>
      <c r="H1860" s="36"/>
      <c r="I1860" s="27"/>
      <c r="J1860" s="2"/>
      <c r="K1860" s="2"/>
    </row>
    <row r="1861">
      <c r="A1861" s="2"/>
      <c r="B1861" s="2"/>
      <c r="C1861" s="34"/>
      <c r="E1861" s="12"/>
      <c r="F1861" s="12"/>
      <c r="G1861" s="36"/>
      <c r="H1861" s="36"/>
      <c r="I1861" s="27"/>
      <c r="J1861" s="2"/>
      <c r="K1861" s="2"/>
    </row>
    <row r="1862">
      <c r="A1862" s="2"/>
      <c r="B1862" s="2"/>
      <c r="C1862" s="34"/>
      <c r="E1862" s="12"/>
      <c r="F1862" s="12"/>
      <c r="G1862" s="36"/>
      <c r="H1862" s="36"/>
      <c r="I1862" s="27"/>
      <c r="J1862" s="2"/>
      <c r="K1862" s="2"/>
    </row>
    <row r="1863">
      <c r="A1863" s="2"/>
      <c r="B1863" s="2"/>
      <c r="C1863" s="34"/>
      <c r="E1863" s="12"/>
      <c r="F1863" s="12"/>
      <c r="G1863" s="36"/>
      <c r="H1863" s="36"/>
      <c r="I1863" s="27"/>
      <c r="J1863" s="2"/>
      <c r="K1863" s="2"/>
    </row>
    <row r="1864">
      <c r="A1864" s="2"/>
      <c r="B1864" s="2"/>
      <c r="C1864" s="34"/>
      <c r="E1864" s="12"/>
      <c r="F1864" s="12"/>
      <c r="G1864" s="36"/>
      <c r="H1864" s="36"/>
      <c r="I1864" s="27"/>
      <c r="J1864" s="2"/>
      <c r="K1864" s="2"/>
    </row>
    <row r="1865">
      <c r="A1865" s="2"/>
      <c r="B1865" s="2"/>
      <c r="C1865" s="34"/>
      <c r="E1865" s="12"/>
      <c r="F1865" s="12"/>
      <c r="G1865" s="36"/>
      <c r="H1865" s="36"/>
      <c r="I1865" s="27"/>
      <c r="J1865" s="2"/>
      <c r="K1865" s="2"/>
    </row>
    <row r="1866">
      <c r="A1866" s="2"/>
      <c r="B1866" s="2"/>
      <c r="C1866" s="34"/>
      <c r="E1866" s="12"/>
      <c r="F1866" s="12"/>
      <c r="G1866" s="36"/>
      <c r="H1866" s="36"/>
      <c r="I1866" s="27"/>
      <c r="J1866" s="2"/>
      <c r="K1866" s="2"/>
    </row>
    <row r="1867">
      <c r="A1867" s="2"/>
      <c r="B1867" s="2"/>
      <c r="C1867" s="34"/>
      <c r="E1867" s="12"/>
      <c r="F1867" s="12"/>
      <c r="G1867" s="36"/>
      <c r="H1867" s="36"/>
      <c r="I1867" s="27"/>
      <c r="J1867" s="2"/>
      <c r="K1867" s="2"/>
    </row>
    <row r="1868">
      <c r="A1868" s="2"/>
      <c r="B1868" s="2"/>
      <c r="C1868" s="34"/>
      <c r="E1868" s="12"/>
      <c r="F1868" s="12"/>
      <c r="G1868" s="36"/>
      <c r="H1868" s="36"/>
      <c r="I1868" s="27"/>
      <c r="J1868" s="2"/>
      <c r="K1868" s="2"/>
    </row>
    <row r="1869">
      <c r="A1869" s="2"/>
      <c r="B1869" s="2"/>
      <c r="C1869" s="34"/>
      <c r="E1869" s="12"/>
      <c r="F1869" s="12"/>
      <c r="G1869" s="36"/>
      <c r="H1869" s="36"/>
      <c r="I1869" s="27"/>
      <c r="J1869" s="2"/>
      <c r="K1869" s="2"/>
    </row>
    <row r="1870">
      <c r="A1870" s="2"/>
      <c r="B1870" s="2"/>
      <c r="C1870" s="34"/>
      <c r="E1870" s="12"/>
      <c r="F1870" s="12"/>
      <c r="G1870" s="36"/>
      <c r="H1870" s="36"/>
      <c r="I1870" s="27"/>
      <c r="J1870" s="2"/>
      <c r="K1870" s="2"/>
    </row>
    <row r="1871">
      <c r="A1871" s="2"/>
      <c r="B1871" s="2"/>
      <c r="C1871" s="34"/>
      <c r="E1871" s="12"/>
      <c r="F1871" s="12"/>
      <c r="G1871" s="36"/>
      <c r="H1871" s="36"/>
      <c r="I1871" s="27"/>
      <c r="J1871" s="2"/>
      <c r="K1871" s="2"/>
    </row>
    <row r="1872">
      <c r="A1872" s="2"/>
      <c r="B1872" s="2"/>
      <c r="C1872" s="34"/>
      <c r="E1872" s="12"/>
      <c r="F1872" s="12"/>
      <c r="G1872" s="36"/>
      <c r="H1872" s="36"/>
      <c r="I1872" s="27"/>
      <c r="J1872" s="2"/>
      <c r="K1872" s="2"/>
    </row>
    <row r="1873">
      <c r="A1873" s="2"/>
      <c r="B1873" s="2"/>
      <c r="C1873" s="34"/>
      <c r="E1873" s="12"/>
      <c r="F1873" s="12"/>
      <c r="G1873" s="36"/>
      <c r="H1873" s="36"/>
      <c r="I1873" s="27"/>
      <c r="J1873" s="2"/>
      <c r="K1873" s="2"/>
    </row>
    <row r="1874">
      <c r="A1874" s="2"/>
      <c r="B1874" s="2"/>
      <c r="C1874" s="34"/>
      <c r="E1874" s="12"/>
      <c r="F1874" s="12"/>
      <c r="G1874" s="36"/>
      <c r="H1874" s="36"/>
      <c r="I1874" s="27"/>
      <c r="J1874" s="2"/>
      <c r="K1874" s="2"/>
    </row>
    <row r="1875">
      <c r="A1875" s="2"/>
      <c r="B1875" s="2"/>
      <c r="C1875" s="34"/>
      <c r="E1875" s="12"/>
      <c r="F1875" s="12"/>
      <c r="G1875" s="36"/>
      <c r="H1875" s="36"/>
      <c r="I1875" s="27"/>
      <c r="J1875" s="2"/>
      <c r="K1875" s="2"/>
    </row>
    <row r="1876">
      <c r="A1876" s="2"/>
      <c r="B1876" s="2"/>
      <c r="C1876" s="34"/>
      <c r="E1876" s="12"/>
      <c r="F1876" s="12"/>
      <c r="G1876" s="36"/>
      <c r="H1876" s="36"/>
      <c r="I1876" s="27"/>
      <c r="J1876" s="2"/>
      <c r="K1876" s="2"/>
    </row>
    <row r="1877">
      <c r="A1877" s="2"/>
      <c r="B1877" s="2"/>
      <c r="C1877" s="34"/>
      <c r="E1877" s="12"/>
      <c r="F1877" s="12"/>
      <c r="G1877" s="36"/>
      <c r="H1877" s="36"/>
      <c r="I1877" s="27"/>
      <c r="J1877" s="2"/>
      <c r="K1877" s="2"/>
    </row>
    <row r="1878">
      <c r="A1878" s="2"/>
      <c r="B1878" s="2"/>
      <c r="C1878" s="34"/>
      <c r="E1878" s="12"/>
      <c r="F1878" s="12"/>
      <c r="G1878" s="36"/>
      <c r="H1878" s="36"/>
      <c r="I1878" s="27"/>
      <c r="J1878" s="2"/>
      <c r="K1878" s="2"/>
    </row>
    <row r="1879">
      <c r="A1879" s="2"/>
      <c r="B1879" s="2"/>
      <c r="C1879" s="34"/>
      <c r="E1879" s="12"/>
      <c r="F1879" s="12"/>
      <c r="G1879" s="36"/>
      <c r="H1879" s="36"/>
      <c r="I1879" s="27"/>
      <c r="J1879" s="2"/>
      <c r="K1879" s="2"/>
    </row>
    <row r="1880">
      <c r="A1880" s="2"/>
      <c r="B1880" s="2"/>
      <c r="C1880" s="34"/>
      <c r="E1880" s="12"/>
      <c r="F1880" s="12"/>
      <c r="G1880" s="36"/>
      <c r="H1880" s="36"/>
      <c r="I1880" s="27"/>
      <c r="J1880" s="2"/>
      <c r="K1880" s="2"/>
    </row>
    <row r="1881">
      <c r="A1881" s="2"/>
      <c r="B1881" s="2"/>
      <c r="C1881" s="34"/>
      <c r="E1881" s="12"/>
      <c r="F1881" s="12"/>
      <c r="G1881" s="36"/>
      <c r="H1881" s="36"/>
      <c r="I1881" s="27"/>
      <c r="J1881" s="2"/>
      <c r="K1881" s="2"/>
    </row>
    <row r="1882">
      <c r="A1882" s="2"/>
      <c r="B1882" s="2"/>
      <c r="C1882" s="34"/>
      <c r="E1882" s="12"/>
      <c r="F1882" s="12"/>
      <c r="G1882" s="36"/>
      <c r="H1882" s="36"/>
      <c r="I1882" s="27"/>
      <c r="J1882" s="2"/>
      <c r="K1882" s="2"/>
    </row>
    <row r="1883">
      <c r="A1883" s="2"/>
      <c r="B1883" s="2"/>
      <c r="C1883" s="34"/>
      <c r="E1883" s="12"/>
      <c r="F1883" s="12"/>
      <c r="G1883" s="36"/>
      <c r="H1883" s="36"/>
      <c r="I1883" s="27"/>
      <c r="J1883" s="2"/>
      <c r="K1883" s="2"/>
    </row>
    <row r="1884">
      <c r="A1884" s="2"/>
      <c r="B1884" s="2"/>
      <c r="C1884" s="34"/>
      <c r="E1884" s="12"/>
      <c r="F1884" s="12"/>
      <c r="G1884" s="36"/>
      <c r="H1884" s="36"/>
      <c r="I1884" s="27"/>
      <c r="J1884" s="2"/>
      <c r="K1884" s="2"/>
    </row>
    <row r="1885">
      <c r="A1885" s="2"/>
      <c r="B1885" s="2"/>
      <c r="C1885" s="34"/>
      <c r="E1885" s="12"/>
      <c r="F1885" s="12"/>
      <c r="G1885" s="36"/>
      <c r="H1885" s="36"/>
      <c r="I1885" s="27"/>
      <c r="J1885" s="2"/>
      <c r="K1885" s="2"/>
    </row>
    <row r="1886">
      <c r="A1886" s="2"/>
      <c r="B1886" s="2"/>
      <c r="C1886" s="34"/>
      <c r="E1886" s="12"/>
      <c r="F1886" s="12"/>
      <c r="G1886" s="36"/>
      <c r="H1886" s="36"/>
      <c r="I1886" s="27"/>
      <c r="J1886" s="2"/>
      <c r="K1886" s="2"/>
    </row>
    <row r="1887">
      <c r="A1887" s="2"/>
      <c r="B1887" s="2"/>
      <c r="C1887" s="34"/>
      <c r="E1887" s="12"/>
      <c r="F1887" s="12"/>
      <c r="G1887" s="36"/>
      <c r="H1887" s="36"/>
      <c r="I1887" s="27"/>
      <c r="J1887" s="2"/>
      <c r="K1887" s="2"/>
    </row>
    <row r="1888">
      <c r="A1888" s="2"/>
      <c r="B1888" s="2"/>
      <c r="C1888" s="34"/>
      <c r="E1888" s="12"/>
      <c r="F1888" s="12"/>
      <c r="G1888" s="36"/>
      <c r="H1888" s="36"/>
      <c r="I1888" s="27"/>
      <c r="J1888" s="2"/>
      <c r="K1888" s="2"/>
    </row>
    <row r="1889">
      <c r="A1889" s="2"/>
      <c r="B1889" s="2"/>
      <c r="C1889" s="34"/>
      <c r="E1889" s="12"/>
      <c r="F1889" s="12"/>
      <c r="G1889" s="36"/>
      <c r="H1889" s="36"/>
      <c r="I1889" s="27"/>
      <c r="J1889" s="2"/>
      <c r="K1889" s="2"/>
    </row>
    <row r="1890">
      <c r="A1890" s="2"/>
      <c r="B1890" s="2"/>
      <c r="C1890" s="34"/>
      <c r="E1890" s="12"/>
      <c r="F1890" s="12"/>
      <c r="G1890" s="36"/>
      <c r="H1890" s="36"/>
      <c r="I1890" s="27"/>
      <c r="J1890" s="2"/>
      <c r="K1890" s="2"/>
    </row>
    <row r="1891">
      <c r="A1891" s="2"/>
      <c r="B1891" s="2"/>
      <c r="C1891" s="34"/>
      <c r="E1891" s="12"/>
      <c r="F1891" s="12"/>
      <c r="G1891" s="36"/>
      <c r="H1891" s="36"/>
      <c r="I1891" s="27"/>
      <c r="J1891" s="2"/>
      <c r="K1891" s="2"/>
    </row>
    <row r="1892">
      <c r="A1892" s="2"/>
      <c r="B1892" s="2"/>
      <c r="C1892" s="34"/>
      <c r="E1892" s="12"/>
      <c r="F1892" s="12"/>
      <c r="G1892" s="36"/>
      <c r="H1892" s="36"/>
      <c r="I1892" s="27"/>
      <c r="J1892" s="2"/>
      <c r="K1892" s="2"/>
    </row>
    <row r="1893">
      <c r="A1893" s="2"/>
      <c r="B1893" s="2"/>
      <c r="C1893" s="34"/>
      <c r="E1893" s="12"/>
      <c r="F1893" s="12"/>
      <c r="G1893" s="36"/>
      <c r="H1893" s="36"/>
      <c r="I1893" s="27"/>
      <c r="J1893" s="2"/>
      <c r="K1893" s="2"/>
    </row>
    <row r="1894">
      <c r="A1894" s="2"/>
      <c r="B1894" s="2"/>
      <c r="C1894" s="34"/>
      <c r="E1894" s="12"/>
      <c r="F1894" s="12"/>
      <c r="G1894" s="36"/>
      <c r="H1894" s="36"/>
      <c r="I1894" s="27"/>
      <c r="J1894" s="2"/>
      <c r="K1894" s="2"/>
    </row>
    <row r="1895">
      <c r="A1895" s="2"/>
      <c r="B1895" s="2"/>
      <c r="C1895" s="34"/>
      <c r="E1895" s="12"/>
      <c r="F1895" s="12"/>
      <c r="G1895" s="36"/>
      <c r="H1895" s="36"/>
      <c r="I1895" s="27"/>
      <c r="J1895" s="2"/>
      <c r="K1895" s="2"/>
    </row>
    <row r="1896">
      <c r="A1896" s="2"/>
      <c r="B1896" s="2"/>
      <c r="C1896" s="34"/>
      <c r="E1896" s="12"/>
      <c r="F1896" s="12"/>
      <c r="G1896" s="36"/>
      <c r="H1896" s="36"/>
      <c r="I1896" s="27"/>
      <c r="J1896" s="2"/>
      <c r="K1896" s="2"/>
    </row>
    <row r="1897">
      <c r="A1897" s="2"/>
      <c r="B1897" s="2"/>
      <c r="C1897" s="34"/>
      <c r="E1897" s="12"/>
      <c r="F1897" s="12"/>
      <c r="G1897" s="36"/>
      <c r="H1897" s="36"/>
      <c r="I1897" s="27"/>
      <c r="J1897" s="2"/>
      <c r="K1897" s="2"/>
    </row>
    <row r="1898">
      <c r="A1898" s="2"/>
      <c r="B1898" s="2"/>
      <c r="C1898" s="34"/>
      <c r="E1898" s="12"/>
      <c r="F1898" s="12"/>
      <c r="G1898" s="36"/>
      <c r="H1898" s="36"/>
      <c r="I1898" s="27"/>
      <c r="J1898" s="2"/>
      <c r="K1898" s="2"/>
    </row>
    <row r="1899">
      <c r="A1899" s="2"/>
      <c r="B1899" s="2"/>
      <c r="C1899" s="34"/>
      <c r="E1899" s="12"/>
      <c r="F1899" s="12"/>
      <c r="G1899" s="36"/>
      <c r="H1899" s="36"/>
      <c r="I1899" s="27"/>
      <c r="J1899" s="2"/>
      <c r="K1899" s="2"/>
    </row>
    <row r="1900">
      <c r="A1900" s="2"/>
      <c r="B1900" s="2"/>
      <c r="C1900" s="34"/>
      <c r="E1900" s="12"/>
      <c r="F1900" s="12"/>
      <c r="G1900" s="36"/>
      <c r="H1900" s="36"/>
      <c r="I1900" s="27"/>
      <c r="J1900" s="2"/>
      <c r="K1900" s="2"/>
    </row>
    <row r="1901">
      <c r="A1901" s="2"/>
      <c r="B1901" s="2"/>
      <c r="C1901" s="34"/>
      <c r="E1901" s="12"/>
      <c r="F1901" s="12"/>
      <c r="G1901" s="36"/>
      <c r="H1901" s="36"/>
      <c r="I1901" s="27"/>
      <c r="J1901" s="2"/>
      <c r="K1901" s="2"/>
    </row>
    <row r="1902">
      <c r="A1902" s="2"/>
      <c r="B1902" s="2"/>
      <c r="C1902" s="34"/>
      <c r="E1902" s="12"/>
      <c r="F1902" s="12"/>
      <c r="G1902" s="36"/>
      <c r="H1902" s="36"/>
      <c r="I1902" s="27"/>
      <c r="J1902" s="2"/>
      <c r="K1902" s="2"/>
    </row>
    <row r="1903">
      <c r="A1903" s="2"/>
      <c r="B1903" s="2"/>
      <c r="C1903" s="34"/>
      <c r="E1903" s="12"/>
      <c r="F1903" s="12"/>
      <c r="G1903" s="36"/>
      <c r="H1903" s="36"/>
      <c r="I1903" s="27"/>
      <c r="J1903" s="2"/>
      <c r="K1903" s="2"/>
    </row>
    <row r="1904">
      <c r="A1904" s="2"/>
      <c r="B1904" s="2"/>
      <c r="C1904" s="34"/>
      <c r="E1904" s="12"/>
      <c r="F1904" s="12"/>
      <c r="G1904" s="36"/>
      <c r="H1904" s="36"/>
      <c r="I1904" s="27"/>
      <c r="J1904" s="2"/>
      <c r="K1904" s="2"/>
    </row>
    <row r="1905">
      <c r="A1905" s="2"/>
      <c r="B1905" s="2"/>
      <c r="C1905" s="34"/>
      <c r="E1905" s="12"/>
      <c r="F1905" s="12"/>
      <c r="G1905" s="36"/>
      <c r="H1905" s="36"/>
      <c r="I1905" s="27"/>
      <c r="J1905" s="2"/>
      <c r="K1905" s="2"/>
    </row>
    <row r="1906">
      <c r="A1906" s="2"/>
      <c r="B1906" s="2"/>
      <c r="C1906" s="34"/>
      <c r="E1906" s="12"/>
      <c r="F1906" s="12"/>
      <c r="G1906" s="36"/>
      <c r="H1906" s="36"/>
      <c r="I1906" s="27"/>
      <c r="J1906" s="2"/>
      <c r="K1906" s="2"/>
    </row>
    <row r="1907">
      <c r="A1907" s="2"/>
      <c r="B1907" s="2"/>
      <c r="C1907" s="34"/>
      <c r="E1907" s="12"/>
      <c r="F1907" s="12"/>
      <c r="G1907" s="36"/>
      <c r="H1907" s="36"/>
      <c r="I1907" s="27"/>
      <c r="J1907" s="2"/>
      <c r="K1907" s="2"/>
    </row>
    <row r="1908">
      <c r="A1908" s="2"/>
      <c r="B1908" s="2"/>
      <c r="C1908" s="34"/>
      <c r="E1908" s="12"/>
      <c r="F1908" s="12"/>
      <c r="G1908" s="36"/>
      <c r="H1908" s="36"/>
      <c r="I1908" s="27"/>
      <c r="J1908" s="2"/>
      <c r="K1908" s="2"/>
    </row>
    <row r="1909">
      <c r="A1909" s="2"/>
      <c r="B1909" s="2"/>
      <c r="C1909" s="34"/>
      <c r="E1909" s="12"/>
      <c r="F1909" s="12"/>
      <c r="G1909" s="36"/>
      <c r="H1909" s="36"/>
      <c r="I1909" s="27"/>
      <c r="J1909" s="2"/>
      <c r="K1909" s="2"/>
    </row>
    <row r="1910">
      <c r="A1910" s="2"/>
      <c r="B1910" s="2"/>
      <c r="C1910" s="34"/>
      <c r="E1910" s="12"/>
      <c r="F1910" s="12"/>
      <c r="G1910" s="36"/>
      <c r="H1910" s="36"/>
      <c r="I1910" s="27"/>
      <c r="J1910" s="2"/>
      <c r="K1910" s="2"/>
    </row>
    <row r="1911">
      <c r="A1911" s="2"/>
      <c r="B1911" s="2"/>
      <c r="C1911" s="34"/>
      <c r="E1911" s="12"/>
      <c r="F1911" s="12"/>
      <c r="G1911" s="36"/>
      <c r="H1911" s="36"/>
      <c r="I1911" s="27"/>
      <c r="J1911" s="2"/>
      <c r="K1911" s="2"/>
    </row>
    <row r="1912">
      <c r="A1912" s="2"/>
      <c r="B1912" s="2"/>
      <c r="C1912" s="34"/>
      <c r="E1912" s="12"/>
      <c r="F1912" s="12"/>
      <c r="G1912" s="36"/>
      <c r="H1912" s="36"/>
      <c r="I1912" s="27"/>
      <c r="J1912" s="2"/>
      <c r="K1912" s="2"/>
    </row>
    <row r="1913">
      <c r="A1913" s="2"/>
      <c r="B1913" s="2"/>
      <c r="C1913" s="34"/>
      <c r="E1913" s="12"/>
      <c r="F1913" s="12"/>
      <c r="G1913" s="36"/>
      <c r="H1913" s="36"/>
      <c r="I1913" s="27"/>
      <c r="J1913" s="2"/>
      <c r="K1913" s="2"/>
    </row>
    <row r="1914">
      <c r="A1914" s="2"/>
      <c r="B1914" s="2"/>
      <c r="C1914" s="34"/>
      <c r="E1914" s="12"/>
      <c r="F1914" s="12"/>
      <c r="G1914" s="36"/>
      <c r="H1914" s="36"/>
      <c r="I1914" s="27"/>
      <c r="J1914" s="2"/>
      <c r="K1914" s="2"/>
    </row>
    <row r="1915">
      <c r="A1915" s="2"/>
      <c r="B1915" s="2"/>
      <c r="C1915" s="34"/>
      <c r="E1915" s="12"/>
      <c r="F1915" s="12"/>
      <c r="G1915" s="36"/>
      <c r="H1915" s="36"/>
      <c r="I1915" s="27"/>
      <c r="J1915" s="2"/>
      <c r="K1915" s="2"/>
    </row>
    <row r="1916">
      <c r="A1916" s="2"/>
      <c r="B1916" s="2"/>
      <c r="C1916" s="34"/>
      <c r="E1916" s="12"/>
      <c r="F1916" s="12"/>
      <c r="G1916" s="36"/>
      <c r="H1916" s="36"/>
      <c r="I1916" s="27"/>
      <c r="J1916" s="2"/>
      <c r="K1916" s="2"/>
    </row>
    <row r="1917">
      <c r="A1917" s="2"/>
      <c r="B1917" s="2"/>
      <c r="C1917" s="34"/>
      <c r="E1917" s="12"/>
      <c r="F1917" s="12"/>
      <c r="G1917" s="36"/>
      <c r="H1917" s="36"/>
      <c r="I1917" s="27"/>
      <c r="J1917" s="2"/>
      <c r="K1917" s="2"/>
    </row>
    <row r="1918">
      <c r="A1918" s="2"/>
      <c r="B1918" s="2"/>
      <c r="C1918" s="34"/>
      <c r="E1918" s="12"/>
      <c r="F1918" s="12"/>
      <c r="G1918" s="36"/>
      <c r="H1918" s="36"/>
      <c r="I1918" s="27"/>
      <c r="J1918" s="2"/>
      <c r="K1918" s="2"/>
    </row>
    <row r="1919">
      <c r="A1919" s="2"/>
      <c r="B1919" s="2"/>
      <c r="C1919" s="34"/>
      <c r="E1919" s="12"/>
      <c r="F1919" s="12"/>
      <c r="G1919" s="36"/>
      <c r="H1919" s="36"/>
      <c r="I1919" s="27"/>
      <c r="J1919" s="2"/>
      <c r="K1919" s="2"/>
    </row>
    <row r="1920">
      <c r="A1920" s="2"/>
      <c r="B1920" s="2"/>
      <c r="C1920" s="34"/>
      <c r="E1920" s="12"/>
      <c r="F1920" s="12"/>
      <c r="G1920" s="36"/>
      <c r="H1920" s="36"/>
      <c r="I1920" s="27"/>
      <c r="J1920" s="2"/>
      <c r="K1920" s="2"/>
    </row>
    <row r="1921">
      <c r="A1921" s="2"/>
      <c r="B1921" s="2"/>
      <c r="C1921" s="34"/>
      <c r="E1921" s="12"/>
      <c r="F1921" s="12"/>
      <c r="G1921" s="36"/>
      <c r="H1921" s="36"/>
      <c r="I1921" s="27"/>
      <c r="J1921" s="2"/>
      <c r="K1921" s="2"/>
    </row>
    <row r="1922">
      <c r="A1922" s="2"/>
      <c r="B1922" s="2"/>
      <c r="C1922" s="34"/>
      <c r="E1922" s="12"/>
      <c r="F1922" s="12"/>
      <c r="G1922" s="36"/>
      <c r="H1922" s="36"/>
      <c r="I1922" s="27"/>
      <c r="J1922" s="2"/>
      <c r="K1922" s="2"/>
    </row>
    <row r="1923">
      <c r="A1923" s="2"/>
      <c r="B1923" s="2"/>
      <c r="C1923" s="34"/>
      <c r="E1923" s="12"/>
      <c r="F1923" s="12"/>
      <c r="G1923" s="36"/>
      <c r="H1923" s="36"/>
      <c r="I1923" s="27"/>
      <c r="J1923" s="2"/>
      <c r="K1923" s="2"/>
    </row>
    <row r="1924">
      <c r="A1924" s="2"/>
      <c r="B1924" s="2"/>
      <c r="C1924" s="34"/>
      <c r="E1924" s="12"/>
      <c r="F1924" s="12"/>
      <c r="G1924" s="36"/>
      <c r="H1924" s="36"/>
      <c r="I1924" s="27"/>
      <c r="J1924" s="2"/>
      <c r="K1924" s="2"/>
    </row>
    <row r="1925">
      <c r="A1925" s="2"/>
      <c r="B1925" s="2"/>
      <c r="C1925" s="34"/>
      <c r="E1925" s="12"/>
      <c r="F1925" s="12"/>
      <c r="G1925" s="36"/>
      <c r="H1925" s="36"/>
      <c r="I1925" s="27"/>
      <c r="J1925" s="2"/>
      <c r="K1925" s="2"/>
    </row>
    <row r="1926">
      <c r="A1926" s="2"/>
      <c r="B1926" s="2"/>
      <c r="C1926" s="34"/>
      <c r="E1926" s="12"/>
      <c r="F1926" s="12"/>
      <c r="G1926" s="36"/>
      <c r="H1926" s="36"/>
      <c r="I1926" s="27"/>
      <c r="J1926" s="2"/>
      <c r="K1926" s="2"/>
    </row>
    <row r="1927">
      <c r="A1927" s="2"/>
      <c r="B1927" s="2"/>
      <c r="C1927" s="34"/>
      <c r="E1927" s="12"/>
      <c r="F1927" s="12"/>
      <c r="G1927" s="36"/>
      <c r="H1927" s="36"/>
      <c r="I1927" s="27"/>
      <c r="J1927" s="2"/>
      <c r="K1927" s="2"/>
    </row>
    <row r="1928">
      <c r="A1928" s="2"/>
      <c r="B1928" s="2"/>
      <c r="C1928" s="34"/>
      <c r="E1928" s="12"/>
      <c r="F1928" s="12"/>
      <c r="G1928" s="36"/>
      <c r="H1928" s="36"/>
      <c r="I1928" s="27"/>
      <c r="J1928" s="2"/>
      <c r="K1928" s="2"/>
    </row>
    <row r="1929">
      <c r="A1929" s="2"/>
      <c r="B1929" s="2"/>
      <c r="C1929" s="34"/>
      <c r="E1929" s="12"/>
      <c r="F1929" s="12"/>
      <c r="G1929" s="36"/>
      <c r="H1929" s="36"/>
      <c r="I1929" s="27"/>
      <c r="J1929" s="2"/>
      <c r="K1929" s="2"/>
    </row>
    <row r="1930">
      <c r="A1930" s="2"/>
      <c r="B1930" s="2"/>
      <c r="C1930" s="34"/>
      <c r="E1930" s="12"/>
      <c r="F1930" s="12"/>
      <c r="G1930" s="36"/>
      <c r="H1930" s="36"/>
      <c r="I1930" s="27"/>
      <c r="J1930" s="2"/>
      <c r="K1930" s="2"/>
    </row>
    <row r="1931">
      <c r="A1931" s="2"/>
      <c r="B1931" s="2"/>
      <c r="C1931" s="34"/>
      <c r="E1931" s="12"/>
      <c r="F1931" s="12"/>
      <c r="G1931" s="36"/>
      <c r="H1931" s="36"/>
      <c r="I1931" s="27"/>
      <c r="J1931" s="2"/>
      <c r="K1931" s="2"/>
    </row>
    <row r="1932">
      <c r="A1932" s="2"/>
      <c r="B1932" s="2"/>
      <c r="C1932" s="34"/>
      <c r="E1932" s="12"/>
      <c r="F1932" s="12"/>
      <c r="G1932" s="36"/>
      <c r="H1932" s="36"/>
      <c r="I1932" s="27"/>
      <c r="J1932" s="2"/>
      <c r="K1932" s="2"/>
    </row>
    <row r="1933">
      <c r="A1933" s="2"/>
      <c r="B1933" s="2"/>
      <c r="C1933" s="34"/>
      <c r="E1933" s="12"/>
      <c r="F1933" s="12"/>
      <c r="G1933" s="36"/>
      <c r="H1933" s="36"/>
      <c r="I1933" s="27"/>
      <c r="J1933" s="2"/>
      <c r="K1933" s="2"/>
    </row>
    <row r="1934">
      <c r="A1934" s="2"/>
      <c r="B1934" s="2"/>
      <c r="C1934" s="34"/>
      <c r="E1934" s="12"/>
      <c r="F1934" s="12"/>
      <c r="G1934" s="36"/>
      <c r="H1934" s="36"/>
      <c r="I1934" s="27"/>
      <c r="J1934" s="2"/>
      <c r="K1934" s="2"/>
    </row>
    <row r="1935">
      <c r="A1935" s="2"/>
      <c r="B1935" s="2"/>
      <c r="C1935" s="34"/>
      <c r="E1935" s="12"/>
      <c r="F1935" s="12"/>
      <c r="G1935" s="36"/>
      <c r="H1935" s="36"/>
      <c r="I1935" s="27"/>
      <c r="J1935" s="2"/>
      <c r="K1935" s="2"/>
    </row>
    <row r="1936">
      <c r="A1936" s="2"/>
      <c r="B1936" s="2"/>
      <c r="C1936" s="34"/>
      <c r="E1936" s="12"/>
      <c r="F1936" s="12"/>
      <c r="G1936" s="36"/>
      <c r="H1936" s="36"/>
      <c r="I1936" s="27"/>
      <c r="J1936" s="2"/>
      <c r="K1936" s="2"/>
    </row>
    <row r="1937">
      <c r="A1937" s="2"/>
      <c r="B1937" s="2"/>
      <c r="C1937" s="34"/>
      <c r="E1937" s="12"/>
      <c r="F1937" s="12"/>
      <c r="G1937" s="36"/>
      <c r="H1937" s="36"/>
      <c r="I1937" s="27"/>
      <c r="J1937" s="2"/>
      <c r="K1937" s="2"/>
    </row>
    <row r="1938">
      <c r="A1938" s="2"/>
      <c r="B1938" s="2"/>
      <c r="C1938" s="34"/>
      <c r="E1938" s="12"/>
      <c r="F1938" s="12"/>
      <c r="G1938" s="36"/>
      <c r="H1938" s="36"/>
      <c r="I1938" s="27"/>
      <c r="J1938" s="2"/>
      <c r="K1938" s="2"/>
    </row>
    <row r="1939">
      <c r="A1939" s="2"/>
      <c r="B1939" s="2"/>
      <c r="C1939" s="34"/>
      <c r="E1939" s="12"/>
      <c r="F1939" s="12"/>
      <c r="G1939" s="36"/>
      <c r="H1939" s="36"/>
      <c r="I1939" s="27"/>
      <c r="J1939" s="2"/>
      <c r="K1939" s="2"/>
    </row>
    <row r="1940">
      <c r="A1940" s="2"/>
      <c r="B1940" s="2"/>
      <c r="C1940" s="34"/>
      <c r="E1940" s="12"/>
      <c r="F1940" s="12"/>
      <c r="G1940" s="36"/>
      <c r="H1940" s="36"/>
      <c r="I1940" s="27"/>
      <c r="J1940" s="2"/>
      <c r="K1940" s="2"/>
    </row>
    <row r="1941">
      <c r="A1941" s="2"/>
      <c r="B1941" s="2"/>
      <c r="C1941" s="34"/>
      <c r="E1941" s="12"/>
      <c r="F1941" s="12"/>
      <c r="G1941" s="36"/>
      <c r="H1941" s="36"/>
      <c r="I1941" s="27"/>
      <c r="J1941" s="2"/>
      <c r="K1941" s="2"/>
    </row>
    <row r="1942">
      <c r="A1942" s="2"/>
      <c r="B1942" s="2"/>
      <c r="C1942" s="34"/>
      <c r="E1942" s="12"/>
      <c r="F1942" s="12"/>
      <c r="G1942" s="36"/>
      <c r="H1942" s="36"/>
      <c r="I1942" s="27"/>
      <c r="J1942" s="2"/>
      <c r="K1942" s="2"/>
    </row>
    <row r="1943">
      <c r="A1943" s="2"/>
      <c r="B1943" s="2"/>
      <c r="C1943" s="34"/>
      <c r="E1943" s="12"/>
      <c r="F1943" s="12"/>
      <c r="G1943" s="36"/>
      <c r="H1943" s="36"/>
      <c r="I1943" s="27"/>
      <c r="J1943" s="2"/>
      <c r="K1943" s="2"/>
    </row>
    <row r="1944">
      <c r="A1944" s="2"/>
      <c r="B1944" s="2"/>
      <c r="C1944" s="34"/>
      <c r="E1944" s="12"/>
      <c r="F1944" s="12"/>
      <c r="G1944" s="36"/>
      <c r="H1944" s="36"/>
      <c r="I1944" s="27"/>
      <c r="J1944" s="2"/>
      <c r="K1944" s="2"/>
    </row>
    <row r="1945">
      <c r="A1945" s="2"/>
      <c r="B1945" s="2"/>
      <c r="C1945" s="34"/>
      <c r="E1945" s="12"/>
      <c r="F1945" s="12"/>
      <c r="G1945" s="36"/>
      <c r="H1945" s="36"/>
      <c r="I1945" s="27"/>
      <c r="J1945" s="2"/>
      <c r="K1945" s="2"/>
    </row>
    <row r="1946">
      <c r="A1946" s="2"/>
      <c r="B1946" s="2"/>
      <c r="C1946" s="34"/>
      <c r="E1946" s="12"/>
      <c r="F1946" s="12"/>
      <c r="G1946" s="36"/>
      <c r="H1946" s="36"/>
      <c r="I1946" s="27"/>
      <c r="J1946" s="2"/>
      <c r="K1946" s="2"/>
    </row>
    <row r="1947">
      <c r="A1947" s="2"/>
      <c r="B1947" s="2"/>
      <c r="C1947" s="34"/>
      <c r="E1947" s="12"/>
      <c r="F1947" s="12"/>
      <c r="G1947" s="36"/>
      <c r="H1947" s="36"/>
      <c r="I1947" s="27"/>
      <c r="J1947" s="2"/>
      <c r="K1947" s="2"/>
    </row>
    <row r="1948">
      <c r="A1948" s="2"/>
      <c r="B1948" s="2"/>
      <c r="C1948" s="34"/>
      <c r="E1948" s="12"/>
      <c r="F1948" s="12"/>
      <c r="G1948" s="36"/>
      <c r="H1948" s="36"/>
      <c r="I1948" s="27"/>
      <c r="J1948" s="2"/>
      <c r="K1948" s="2"/>
    </row>
    <row r="1949">
      <c r="A1949" s="2"/>
      <c r="B1949" s="2"/>
      <c r="C1949" s="34"/>
      <c r="E1949" s="12"/>
      <c r="F1949" s="12"/>
      <c r="G1949" s="36"/>
      <c r="H1949" s="36"/>
      <c r="I1949" s="27"/>
      <c r="J1949" s="2"/>
      <c r="K1949" s="2"/>
    </row>
    <row r="1950">
      <c r="A1950" s="2"/>
      <c r="B1950" s="2"/>
      <c r="C1950" s="34"/>
      <c r="E1950" s="12"/>
      <c r="F1950" s="12"/>
      <c r="G1950" s="36"/>
      <c r="H1950" s="36"/>
      <c r="I1950" s="27"/>
      <c r="J1950" s="2"/>
      <c r="K1950" s="2"/>
    </row>
    <row r="1951">
      <c r="A1951" s="2"/>
      <c r="B1951" s="2"/>
      <c r="C1951" s="34"/>
      <c r="E1951" s="12"/>
      <c r="F1951" s="12"/>
      <c r="G1951" s="36"/>
      <c r="H1951" s="36"/>
      <c r="I1951" s="27"/>
      <c r="J1951" s="2"/>
      <c r="K1951" s="2"/>
    </row>
    <row r="1952">
      <c r="A1952" s="2"/>
      <c r="B1952" s="2"/>
      <c r="C1952" s="34"/>
      <c r="E1952" s="12"/>
      <c r="F1952" s="12"/>
      <c r="G1952" s="36"/>
      <c r="H1952" s="36"/>
      <c r="I1952" s="27"/>
      <c r="J1952" s="2"/>
      <c r="K1952" s="2"/>
    </row>
    <row r="1953">
      <c r="A1953" s="2"/>
      <c r="B1953" s="2"/>
      <c r="C1953" s="34"/>
      <c r="E1953" s="12"/>
      <c r="F1953" s="12"/>
      <c r="G1953" s="36"/>
      <c r="H1953" s="36"/>
      <c r="I1953" s="27"/>
      <c r="J1953" s="2"/>
      <c r="K1953" s="2"/>
    </row>
    <row r="1954">
      <c r="A1954" s="2"/>
      <c r="B1954" s="2"/>
      <c r="C1954" s="34"/>
      <c r="E1954" s="12"/>
      <c r="F1954" s="12"/>
      <c r="G1954" s="36"/>
      <c r="H1954" s="36"/>
      <c r="I1954" s="27"/>
      <c r="J1954" s="2"/>
      <c r="K1954" s="2"/>
    </row>
    <row r="1955">
      <c r="A1955" s="2"/>
      <c r="B1955" s="2"/>
      <c r="C1955" s="34"/>
      <c r="E1955" s="12"/>
      <c r="F1955" s="12"/>
      <c r="G1955" s="36"/>
      <c r="H1955" s="36"/>
      <c r="I1955" s="27"/>
      <c r="J1955" s="2"/>
      <c r="K1955" s="2"/>
    </row>
    <row r="1956">
      <c r="A1956" s="2"/>
      <c r="B1956" s="2"/>
      <c r="C1956" s="34"/>
      <c r="E1956" s="12"/>
      <c r="F1956" s="12"/>
      <c r="G1956" s="36"/>
      <c r="H1956" s="36"/>
      <c r="I1956" s="27"/>
      <c r="J1956" s="2"/>
      <c r="K1956" s="2"/>
    </row>
    <row r="1957">
      <c r="A1957" s="2"/>
      <c r="B1957" s="2"/>
      <c r="C1957" s="34"/>
      <c r="E1957" s="12"/>
      <c r="F1957" s="12"/>
      <c r="G1957" s="36"/>
      <c r="H1957" s="36"/>
      <c r="I1957" s="27"/>
      <c r="J1957" s="2"/>
      <c r="K1957" s="2"/>
    </row>
    <row r="1958">
      <c r="A1958" s="2"/>
      <c r="B1958" s="2"/>
      <c r="C1958" s="34"/>
      <c r="E1958" s="12"/>
      <c r="F1958" s="12"/>
      <c r="G1958" s="36"/>
      <c r="H1958" s="36"/>
      <c r="I1958" s="27"/>
      <c r="J1958" s="2"/>
      <c r="K1958" s="2"/>
    </row>
    <row r="1959">
      <c r="A1959" s="2"/>
      <c r="B1959" s="2"/>
      <c r="C1959" s="34"/>
      <c r="E1959" s="12"/>
      <c r="F1959" s="12"/>
      <c r="G1959" s="36"/>
      <c r="H1959" s="36"/>
      <c r="I1959" s="27"/>
      <c r="J1959" s="2"/>
      <c r="K1959" s="2"/>
    </row>
    <row r="1960">
      <c r="A1960" s="2"/>
      <c r="B1960" s="2"/>
      <c r="C1960" s="34"/>
      <c r="E1960" s="12"/>
      <c r="F1960" s="12"/>
      <c r="G1960" s="36"/>
      <c r="H1960" s="36"/>
      <c r="I1960" s="27"/>
      <c r="J1960" s="2"/>
      <c r="K1960" s="2"/>
    </row>
    <row r="1961">
      <c r="A1961" s="2"/>
      <c r="B1961" s="2"/>
      <c r="C1961" s="34"/>
      <c r="E1961" s="12"/>
      <c r="F1961" s="12"/>
      <c r="G1961" s="36"/>
      <c r="H1961" s="36"/>
      <c r="I1961" s="27"/>
      <c r="J1961" s="2"/>
      <c r="K1961" s="2"/>
    </row>
    <row r="1962">
      <c r="A1962" s="2"/>
      <c r="B1962" s="2"/>
      <c r="C1962" s="34"/>
      <c r="E1962" s="12"/>
      <c r="F1962" s="12"/>
      <c r="G1962" s="36"/>
      <c r="H1962" s="36"/>
      <c r="I1962" s="27"/>
      <c r="J1962" s="2"/>
      <c r="K1962" s="2"/>
    </row>
    <row r="1963">
      <c r="A1963" s="2"/>
      <c r="B1963" s="2"/>
      <c r="C1963" s="34"/>
      <c r="E1963" s="12"/>
      <c r="F1963" s="12"/>
      <c r="G1963" s="36"/>
      <c r="H1963" s="36"/>
      <c r="I1963" s="27"/>
      <c r="J1963" s="2"/>
      <c r="K1963" s="2"/>
    </row>
    <row r="1964">
      <c r="A1964" s="2"/>
      <c r="B1964" s="2"/>
      <c r="C1964" s="34"/>
      <c r="E1964" s="12"/>
      <c r="F1964" s="12"/>
      <c r="G1964" s="36"/>
      <c r="H1964" s="36"/>
      <c r="I1964" s="27"/>
      <c r="J1964" s="2"/>
      <c r="K1964" s="2"/>
    </row>
    <row r="1965">
      <c r="A1965" s="2"/>
      <c r="B1965" s="2"/>
      <c r="C1965" s="34"/>
      <c r="E1965" s="12"/>
      <c r="F1965" s="12"/>
      <c r="G1965" s="36"/>
      <c r="H1965" s="36"/>
      <c r="I1965" s="27"/>
      <c r="J1965" s="2"/>
      <c r="K1965" s="2"/>
    </row>
    <row r="1966">
      <c r="A1966" s="2"/>
      <c r="B1966" s="2"/>
      <c r="C1966" s="34"/>
      <c r="E1966" s="12"/>
      <c r="F1966" s="12"/>
      <c r="G1966" s="36"/>
      <c r="H1966" s="36"/>
      <c r="I1966" s="27"/>
      <c r="J1966" s="2"/>
      <c r="K1966" s="2"/>
    </row>
    <row r="1967">
      <c r="A1967" s="2"/>
      <c r="B1967" s="2"/>
      <c r="C1967" s="34"/>
      <c r="E1967" s="12"/>
      <c r="F1967" s="12"/>
      <c r="G1967" s="36"/>
      <c r="H1967" s="36"/>
      <c r="I1967" s="27"/>
      <c r="J1967" s="2"/>
      <c r="K1967" s="2"/>
    </row>
    <row r="1968">
      <c r="A1968" s="2"/>
      <c r="B1968" s="2"/>
      <c r="C1968" s="34"/>
      <c r="E1968" s="12"/>
      <c r="F1968" s="12"/>
      <c r="G1968" s="36"/>
      <c r="H1968" s="36"/>
      <c r="I1968" s="27"/>
      <c r="J1968" s="2"/>
      <c r="K1968" s="2"/>
    </row>
    <row r="1969">
      <c r="A1969" s="2"/>
      <c r="B1969" s="2"/>
      <c r="C1969" s="34"/>
      <c r="E1969" s="12"/>
      <c r="F1969" s="12"/>
      <c r="G1969" s="36"/>
      <c r="H1969" s="36"/>
      <c r="I1969" s="27"/>
      <c r="J1969" s="2"/>
      <c r="K1969" s="2"/>
    </row>
    <row r="1970">
      <c r="A1970" s="2"/>
      <c r="B1970" s="2"/>
      <c r="C1970" s="34"/>
      <c r="E1970" s="12"/>
      <c r="F1970" s="12"/>
      <c r="G1970" s="36"/>
      <c r="H1970" s="36"/>
      <c r="I1970" s="27"/>
      <c r="J1970" s="2"/>
      <c r="K1970" s="2"/>
    </row>
    <row r="1971">
      <c r="A1971" s="2"/>
      <c r="B1971" s="2"/>
      <c r="C1971" s="34"/>
      <c r="E1971" s="12"/>
      <c r="F1971" s="12"/>
      <c r="G1971" s="36"/>
      <c r="H1971" s="36"/>
      <c r="I1971" s="27"/>
      <c r="J1971" s="2"/>
      <c r="K1971" s="2"/>
    </row>
    <row r="1972">
      <c r="A1972" s="2"/>
      <c r="B1972" s="2"/>
      <c r="C1972" s="34"/>
      <c r="E1972" s="12"/>
      <c r="F1972" s="12"/>
      <c r="G1972" s="36"/>
      <c r="H1972" s="36"/>
      <c r="I1972" s="27"/>
      <c r="J1972" s="2"/>
      <c r="K1972" s="2"/>
    </row>
    <row r="1973">
      <c r="A1973" s="2"/>
      <c r="B1973" s="2"/>
      <c r="C1973" s="34"/>
      <c r="E1973" s="12"/>
      <c r="F1973" s="12"/>
      <c r="G1973" s="36"/>
      <c r="H1973" s="36"/>
      <c r="I1973" s="27"/>
      <c r="J1973" s="2"/>
      <c r="K1973" s="2"/>
    </row>
    <row r="1974">
      <c r="A1974" s="2"/>
      <c r="B1974" s="2"/>
      <c r="C1974" s="34"/>
      <c r="E1974" s="12"/>
      <c r="F1974" s="12"/>
      <c r="G1974" s="36"/>
      <c r="H1974" s="36"/>
      <c r="I1974" s="27"/>
      <c r="J1974" s="2"/>
      <c r="K1974" s="2"/>
    </row>
    <row r="1975">
      <c r="A1975" s="2"/>
      <c r="B1975" s="2"/>
      <c r="C1975" s="34"/>
      <c r="E1975" s="12"/>
      <c r="F1975" s="12"/>
      <c r="G1975" s="36"/>
      <c r="H1975" s="36"/>
      <c r="I1975" s="27"/>
      <c r="J1975" s="2"/>
      <c r="K1975" s="2"/>
    </row>
    <row r="1976">
      <c r="A1976" s="2"/>
      <c r="B1976" s="2"/>
      <c r="C1976" s="34"/>
      <c r="E1976" s="12"/>
      <c r="F1976" s="12"/>
      <c r="G1976" s="36"/>
      <c r="H1976" s="36"/>
      <c r="I1976" s="27"/>
      <c r="J1976" s="2"/>
      <c r="K1976" s="2"/>
    </row>
    <row r="1977">
      <c r="A1977" s="2"/>
      <c r="B1977" s="2"/>
      <c r="C1977" s="34"/>
      <c r="E1977" s="12"/>
      <c r="F1977" s="12"/>
      <c r="G1977" s="36"/>
      <c r="H1977" s="36"/>
      <c r="I1977" s="27"/>
      <c r="J1977" s="2"/>
      <c r="K1977" s="2"/>
    </row>
    <row r="1978">
      <c r="A1978" s="2"/>
      <c r="B1978" s="2"/>
      <c r="C1978" s="34"/>
      <c r="E1978" s="12"/>
      <c r="F1978" s="12"/>
      <c r="G1978" s="36"/>
      <c r="H1978" s="36"/>
      <c r="I1978" s="27"/>
      <c r="J1978" s="2"/>
      <c r="K1978" s="2"/>
    </row>
    <row r="1979">
      <c r="A1979" s="2"/>
      <c r="B1979" s="2"/>
      <c r="C1979" s="34"/>
      <c r="E1979" s="12"/>
      <c r="F1979" s="12"/>
      <c r="G1979" s="36"/>
      <c r="H1979" s="36"/>
      <c r="I1979" s="27"/>
      <c r="J1979" s="2"/>
      <c r="K1979" s="2"/>
    </row>
    <row r="1980">
      <c r="A1980" s="2"/>
      <c r="B1980" s="2"/>
      <c r="C1980" s="34"/>
      <c r="E1980" s="12"/>
      <c r="F1980" s="12"/>
      <c r="G1980" s="36"/>
      <c r="H1980" s="36"/>
      <c r="I1980" s="27"/>
      <c r="J1980" s="2"/>
      <c r="K1980" s="2"/>
    </row>
    <row r="1981">
      <c r="A1981" s="2"/>
      <c r="B1981" s="2"/>
      <c r="C1981" s="34"/>
      <c r="E1981" s="12"/>
      <c r="F1981" s="12"/>
      <c r="G1981" s="36"/>
      <c r="H1981" s="36"/>
      <c r="I1981" s="27"/>
      <c r="J1981" s="2"/>
      <c r="K1981" s="2"/>
    </row>
    <row r="1982">
      <c r="A1982" s="2"/>
      <c r="B1982" s="2"/>
      <c r="C1982" s="34"/>
      <c r="E1982" s="12"/>
      <c r="F1982" s="12"/>
      <c r="G1982" s="36"/>
      <c r="H1982" s="36"/>
      <c r="I1982" s="27"/>
      <c r="J1982" s="2"/>
      <c r="K1982" s="2"/>
    </row>
    <row r="1983">
      <c r="A1983" s="2"/>
      <c r="B1983" s="2"/>
      <c r="C1983" s="34"/>
      <c r="E1983" s="12"/>
      <c r="F1983" s="12"/>
      <c r="G1983" s="36"/>
      <c r="H1983" s="36"/>
      <c r="I1983" s="27"/>
      <c r="J1983" s="2"/>
      <c r="K1983" s="2"/>
    </row>
    <row r="1984">
      <c r="A1984" s="2"/>
      <c r="B1984" s="2"/>
      <c r="C1984" s="34"/>
      <c r="E1984" s="12"/>
      <c r="F1984" s="12"/>
      <c r="G1984" s="36"/>
      <c r="H1984" s="36"/>
      <c r="I1984" s="27"/>
      <c r="J1984" s="2"/>
      <c r="K1984" s="2"/>
    </row>
    <row r="1985">
      <c r="A1985" s="2"/>
      <c r="B1985" s="2"/>
      <c r="C1985" s="34"/>
      <c r="E1985" s="12"/>
      <c r="F1985" s="12"/>
      <c r="G1985" s="36"/>
      <c r="H1985" s="36"/>
      <c r="I1985" s="27"/>
      <c r="J1985" s="2"/>
      <c r="K1985" s="2"/>
    </row>
    <row r="1986">
      <c r="A1986" s="2"/>
      <c r="B1986" s="2"/>
      <c r="C1986" s="34"/>
      <c r="E1986" s="12"/>
      <c r="F1986" s="12"/>
      <c r="G1986" s="36"/>
      <c r="H1986" s="36"/>
      <c r="I1986" s="27"/>
      <c r="J1986" s="2"/>
      <c r="K1986" s="2"/>
    </row>
  </sheetData>
  <mergeCells count="3">
    <mergeCell ref="A1:J1"/>
    <mergeCell ref="A2:J2"/>
    <mergeCell ref="A3:J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2" max="2" width="4.29"/>
    <col customWidth="1" min="3" max="3" width="24.29"/>
    <col customWidth="1" min="4" max="4" width="45.43"/>
    <col customWidth="1" min="5" max="5" width="11.86"/>
    <col customWidth="1" min="6" max="6" width="9.71"/>
    <col customWidth="1" min="7" max="7" width="19.0"/>
    <col customWidth="1" min="8" max="8" width="19.29"/>
    <col customWidth="1" min="9" max="9" width="17.57"/>
  </cols>
  <sheetData>
    <row r="1">
      <c r="A1" s="69" t="s">
        <v>741</v>
      </c>
      <c r="K1" s="2"/>
    </row>
    <row r="2">
      <c r="A2" s="1" t="s">
        <v>1</v>
      </c>
      <c r="K2" s="2"/>
    </row>
    <row r="3">
      <c r="A3" s="1" t="s">
        <v>2</v>
      </c>
      <c r="K3" s="2"/>
    </row>
    <row r="4">
      <c r="A4" s="3"/>
      <c r="B4" s="3"/>
      <c r="C4" s="3"/>
      <c r="D4" s="3"/>
      <c r="E4" s="3"/>
      <c r="F4" s="3"/>
      <c r="G4" s="7"/>
      <c r="H4" s="7"/>
      <c r="I4" s="7"/>
      <c r="J4" s="3"/>
      <c r="K4" s="2"/>
    </row>
    <row r="5">
      <c r="A5" s="3"/>
      <c r="B5" s="3"/>
      <c r="C5" s="3"/>
      <c r="D5" s="3"/>
      <c r="E5" s="3"/>
      <c r="F5" s="3"/>
      <c r="G5" s="7"/>
      <c r="H5" s="7"/>
      <c r="I5" s="7"/>
      <c r="J5" s="3"/>
      <c r="K5" s="2"/>
    </row>
    <row r="6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37" t="s">
        <v>13</v>
      </c>
      <c r="B7" s="14"/>
      <c r="C7" s="14"/>
      <c r="D7" s="14"/>
      <c r="E7" s="14"/>
      <c r="F7" s="14"/>
      <c r="G7" s="28"/>
      <c r="H7" s="17" t="s">
        <v>11</v>
      </c>
      <c r="I7" s="17">
        <f t="shared" ref="I7:J7" si="1">sum(I8:I17)</f>
        <v>1547500</v>
      </c>
      <c r="J7" s="17">
        <f t="shared" si="1"/>
        <v>5000</v>
      </c>
      <c r="K7" s="2"/>
    </row>
    <row r="8">
      <c r="A8" s="2"/>
      <c r="B8" s="2"/>
      <c r="C8" s="70" t="s">
        <v>742</v>
      </c>
      <c r="D8" s="71" t="s">
        <v>743</v>
      </c>
      <c r="E8" s="71" t="s">
        <v>48</v>
      </c>
      <c r="F8" s="72">
        <v>5.0</v>
      </c>
      <c r="G8" s="73">
        <v>32500.0</v>
      </c>
      <c r="H8" s="21">
        <f t="shared" ref="H8:H17" si="2">F8*G8</f>
        <v>162500</v>
      </c>
      <c r="I8" s="24"/>
      <c r="J8" s="2"/>
      <c r="K8" s="2"/>
    </row>
    <row r="9">
      <c r="A9" s="2"/>
      <c r="B9" s="2"/>
      <c r="C9" s="70"/>
      <c r="D9" s="71" t="s">
        <v>744</v>
      </c>
      <c r="E9" s="71" t="s">
        <v>90</v>
      </c>
      <c r="F9" s="72">
        <v>10.0</v>
      </c>
      <c r="G9" s="73">
        <v>9000.0</v>
      </c>
      <c r="H9" s="21">
        <f t="shared" si="2"/>
        <v>90000</v>
      </c>
      <c r="I9" s="24"/>
      <c r="J9" s="2"/>
      <c r="K9" s="2"/>
    </row>
    <row r="10">
      <c r="A10" s="2"/>
      <c r="B10" s="2"/>
      <c r="C10" s="70"/>
      <c r="D10" s="71" t="s">
        <v>745</v>
      </c>
      <c r="E10" s="71" t="s">
        <v>48</v>
      </c>
      <c r="F10" s="72">
        <v>15.0</v>
      </c>
      <c r="G10" s="73">
        <v>20000.0</v>
      </c>
      <c r="H10" s="21">
        <f t="shared" si="2"/>
        <v>300000</v>
      </c>
      <c r="I10" s="24"/>
      <c r="J10" s="2"/>
      <c r="K10" s="2"/>
    </row>
    <row r="11">
      <c r="A11" s="2"/>
      <c r="B11" s="2"/>
      <c r="C11" s="70"/>
      <c r="D11" s="71" t="s">
        <v>746</v>
      </c>
      <c r="E11" s="71" t="s">
        <v>90</v>
      </c>
      <c r="F11" s="72">
        <v>1.0</v>
      </c>
      <c r="G11" s="73">
        <v>15000.0</v>
      </c>
      <c r="H11" s="21">
        <f t="shared" si="2"/>
        <v>15000</v>
      </c>
      <c r="I11" s="21"/>
      <c r="J11" s="2"/>
      <c r="K11" s="2"/>
    </row>
    <row r="12">
      <c r="A12" s="2"/>
      <c r="B12" s="2"/>
      <c r="C12" s="70"/>
      <c r="D12" s="71" t="s">
        <v>747</v>
      </c>
      <c r="E12" s="71" t="s">
        <v>54</v>
      </c>
      <c r="F12" s="72">
        <v>3.0</v>
      </c>
      <c r="G12" s="73">
        <v>53000.0</v>
      </c>
      <c r="H12" s="21">
        <f t="shared" si="2"/>
        <v>159000</v>
      </c>
      <c r="I12" s="24">
        <f>sum(H8:H12)</f>
        <v>726500</v>
      </c>
      <c r="J12" s="2"/>
      <c r="K12" s="22" t="s">
        <v>17</v>
      </c>
    </row>
    <row r="13">
      <c r="A13" s="2"/>
      <c r="B13" s="2"/>
      <c r="C13" s="70" t="s">
        <v>748</v>
      </c>
      <c r="D13" s="71" t="s">
        <v>749</v>
      </c>
      <c r="E13" s="71" t="s">
        <v>90</v>
      </c>
      <c r="F13" s="72">
        <v>8.0</v>
      </c>
      <c r="G13" s="73">
        <v>16000.0</v>
      </c>
      <c r="H13" s="21">
        <f t="shared" si="2"/>
        <v>128000</v>
      </c>
      <c r="I13" s="24"/>
      <c r="J13" s="2"/>
      <c r="K13" s="2"/>
    </row>
    <row r="14">
      <c r="A14" s="2"/>
      <c r="B14" s="2"/>
      <c r="C14" s="70"/>
      <c r="D14" s="71" t="s">
        <v>750</v>
      </c>
      <c r="E14" s="71" t="s">
        <v>90</v>
      </c>
      <c r="F14" s="72">
        <v>11.0</v>
      </c>
      <c r="G14" s="73">
        <v>11000.0</v>
      </c>
      <c r="H14" s="21">
        <f t="shared" si="2"/>
        <v>121000</v>
      </c>
      <c r="I14" s="24"/>
      <c r="J14" s="2"/>
      <c r="K14" s="2"/>
    </row>
    <row r="15">
      <c r="A15" s="2"/>
      <c r="B15" s="2"/>
      <c r="C15" s="70"/>
      <c r="D15" s="71" t="s">
        <v>751</v>
      </c>
      <c r="E15" s="71" t="s">
        <v>90</v>
      </c>
      <c r="F15" s="72">
        <v>4.0</v>
      </c>
      <c r="G15" s="73">
        <v>13000.0</v>
      </c>
      <c r="H15" s="21">
        <f t="shared" si="2"/>
        <v>52000</v>
      </c>
      <c r="I15" s="24"/>
      <c r="J15" s="2"/>
      <c r="K15" s="2"/>
    </row>
    <row r="16">
      <c r="A16" s="2"/>
      <c r="B16" s="2"/>
      <c r="C16" s="70"/>
      <c r="D16" s="71" t="s">
        <v>752</v>
      </c>
      <c r="E16" s="71" t="s">
        <v>90</v>
      </c>
      <c r="F16" s="72">
        <v>40.0</v>
      </c>
      <c r="G16" s="73">
        <v>13000.0</v>
      </c>
      <c r="H16" s="21">
        <f t="shared" si="2"/>
        <v>520000</v>
      </c>
      <c r="I16" s="21">
        <f>sum(H13:H16)</f>
        <v>821000</v>
      </c>
      <c r="J16" s="2"/>
      <c r="K16" s="22" t="s">
        <v>17</v>
      </c>
    </row>
    <row r="17">
      <c r="A17" s="2"/>
      <c r="B17" s="2"/>
      <c r="C17" s="2"/>
      <c r="D17" s="22" t="s">
        <v>12</v>
      </c>
      <c r="E17" s="2"/>
      <c r="F17" s="22">
        <v>2.0</v>
      </c>
      <c r="G17" s="33">
        <v>2500.0</v>
      </c>
      <c r="H17" s="27">
        <f t="shared" si="2"/>
        <v>5000</v>
      </c>
      <c r="I17" s="27"/>
      <c r="J17" s="27">
        <f>H17</f>
        <v>5000</v>
      </c>
      <c r="K17" s="2"/>
    </row>
    <row r="18">
      <c r="A18" s="37" t="s">
        <v>64</v>
      </c>
      <c r="B18" s="14"/>
      <c r="C18" s="14"/>
      <c r="D18" s="14"/>
      <c r="E18" s="14"/>
      <c r="F18" s="14"/>
      <c r="G18" s="28"/>
      <c r="H18" s="17" t="s">
        <v>11</v>
      </c>
      <c r="I18" s="17">
        <f t="shared" ref="I18:J18" si="3">sum(I19:I34)</f>
        <v>4838400</v>
      </c>
      <c r="J18" s="17">
        <f t="shared" si="3"/>
        <v>12500</v>
      </c>
      <c r="K18" s="2"/>
    </row>
    <row r="19">
      <c r="A19" s="2"/>
      <c r="B19" s="2"/>
      <c r="C19" s="70" t="s">
        <v>753</v>
      </c>
      <c r="D19" s="71" t="s">
        <v>754</v>
      </c>
      <c r="E19" s="71" t="s">
        <v>50</v>
      </c>
      <c r="F19" s="72">
        <v>8.0</v>
      </c>
      <c r="G19" s="73">
        <v>6000.0</v>
      </c>
      <c r="H19" s="27">
        <f t="shared" ref="H19:H34" si="4">F19*G19</f>
        <v>48000</v>
      </c>
      <c r="I19" s="27"/>
      <c r="J19" s="2"/>
      <c r="K19" s="2"/>
    </row>
    <row r="20">
      <c r="A20" s="2"/>
      <c r="B20" s="2"/>
      <c r="C20" s="70"/>
      <c r="D20" s="71" t="s">
        <v>755</v>
      </c>
      <c r="E20" s="71" t="s">
        <v>50</v>
      </c>
      <c r="F20" s="72">
        <v>1.0</v>
      </c>
      <c r="G20" s="73">
        <v>20000.0</v>
      </c>
      <c r="H20" s="27">
        <f t="shared" si="4"/>
        <v>20000</v>
      </c>
      <c r="I20" s="21"/>
      <c r="J20" s="2"/>
      <c r="K20" s="2"/>
    </row>
    <row r="21">
      <c r="A21" s="2"/>
      <c r="B21" s="2"/>
      <c r="C21" s="70"/>
      <c r="D21" s="71" t="s">
        <v>756</v>
      </c>
      <c r="E21" s="71" t="s">
        <v>50</v>
      </c>
      <c r="F21" s="72">
        <v>5.0</v>
      </c>
      <c r="G21" s="73">
        <v>96700.0</v>
      </c>
      <c r="H21" s="27">
        <f t="shared" si="4"/>
        <v>483500</v>
      </c>
      <c r="I21" s="27"/>
      <c r="J21" s="2"/>
      <c r="K21" s="2"/>
    </row>
    <row r="22">
      <c r="A22" s="2"/>
      <c r="B22" s="2"/>
      <c r="C22" s="70"/>
      <c r="D22" s="71" t="s">
        <v>757</v>
      </c>
      <c r="E22" s="71" t="s">
        <v>50</v>
      </c>
      <c r="F22" s="72">
        <v>4.0</v>
      </c>
      <c r="G22" s="73">
        <v>10000.0</v>
      </c>
      <c r="H22" s="27">
        <f t="shared" si="4"/>
        <v>40000</v>
      </c>
      <c r="I22" s="27"/>
      <c r="J22" s="2"/>
      <c r="K22" s="2"/>
    </row>
    <row r="23">
      <c r="A23" s="2"/>
      <c r="B23" s="2"/>
      <c r="C23" s="70"/>
      <c r="D23" s="71" t="s">
        <v>758</v>
      </c>
      <c r="E23" s="71" t="s">
        <v>50</v>
      </c>
      <c r="F23" s="72">
        <v>5.0</v>
      </c>
      <c r="G23" s="73">
        <v>25500.0</v>
      </c>
      <c r="H23" s="27">
        <f t="shared" si="4"/>
        <v>127500</v>
      </c>
      <c r="I23" s="27">
        <f>sum(H19:H23)</f>
        <v>719000</v>
      </c>
      <c r="J23" s="2"/>
      <c r="K23" s="22" t="s">
        <v>17</v>
      </c>
    </row>
    <row r="24">
      <c r="A24" s="2"/>
      <c r="B24" s="2"/>
      <c r="C24" s="74" t="s">
        <v>759</v>
      </c>
      <c r="D24" s="71" t="s">
        <v>760</v>
      </c>
      <c r="E24" s="71" t="s">
        <v>761</v>
      </c>
      <c r="F24" s="72">
        <v>1.0</v>
      </c>
      <c r="G24" s="73">
        <v>470000.0</v>
      </c>
      <c r="H24" s="27">
        <f t="shared" si="4"/>
        <v>470000</v>
      </c>
      <c r="I24" s="27">
        <f>H24</f>
        <v>470000</v>
      </c>
      <c r="J24" s="2"/>
      <c r="K24" s="22" t="s">
        <v>17</v>
      </c>
    </row>
    <row r="25">
      <c r="A25" s="2"/>
      <c r="B25" s="2"/>
      <c r="C25" s="70" t="s">
        <v>762</v>
      </c>
      <c r="D25" s="71" t="s">
        <v>763</v>
      </c>
      <c r="E25" s="71" t="s">
        <v>90</v>
      </c>
      <c r="F25" s="72">
        <v>10.3</v>
      </c>
      <c r="G25" s="73">
        <v>48000.0</v>
      </c>
      <c r="H25" s="27">
        <f t="shared" si="4"/>
        <v>494400</v>
      </c>
      <c r="I25" s="27"/>
      <c r="J25" s="2"/>
      <c r="K25" s="2"/>
    </row>
    <row r="26">
      <c r="A26" s="2"/>
      <c r="B26" s="2"/>
      <c r="C26" s="70"/>
      <c r="D26" s="71" t="s">
        <v>764</v>
      </c>
      <c r="E26" s="71" t="s">
        <v>765</v>
      </c>
      <c r="F26" s="72">
        <v>2.0</v>
      </c>
      <c r="G26" s="73">
        <v>505000.0</v>
      </c>
      <c r="H26" s="27">
        <f t="shared" si="4"/>
        <v>1010000</v>
      </c>
      <c r="I26" s="27"/>
      <c r="J26" s="2"/>
      <c r="K26" s="2"/>
    </row>
    <row r="27">
      <c r="A27" s="2"/>
      <c r="B27" s="2"/>
      <c r="C27" s="70"/>
      <c r="D27" s="71" t="s">
        <v>766</v>
      </c>
      <c r="E27" s="71" t="s">
        <v>90</v>
      </c>
      <c r="F27" s="72">
        <v>14.0</v>
      </c>
      <c r="G27" s="73">
        <v>26500.0</v>
      </c>
      <c r="H27" s="27">
        <f t="shared" si="4"/>
        <v>371000</v>
      </c>
      <c r="I27" s="27"/>
      <c r="J27" s="2"/>
      <c r="K27" s="2"/>
    </row>
    <row r="28">
      <c r="A28" s="2"/>
      <c r="B28" s="2"/>
      <c r="C28" s="70"/>
      <c r="D28" s="71" t="s">
        <v>767</v>
      </c>
      <c r="E28" s="71" t="s">
        <v>768</v>
      </c>
      <c r="F28" s="72">
        <v>20.0</v>
      </c>
      <c r="G28" s="73">
        <v>39500.0</v>
      </c>
      <c r="H28" s="27">
        <f t="shared" si="4"/>
        <v>790000</v>
      </c>
      <c r="I28" s="27"/>
      <c r="J28" s="2"/>
      <c r="K28" s="2"/>
    </row>
    <row r="29">
      <c r="A29" s="2"/>
      <c r="B29" s="2"/>
      <c r="C29" s="70"/>
      <c r="D29" s="71" t="s">
        <v>769</v>
      </c>
      <c r="E29" s="71" t="s">
        <v>768</v>
      </c>
      <c r="F29" s="72">
        <v>5.0</v>
      </c>
      <c r="G29" s="73">
        <v>39500.0</v>
      </c>
      <c r="H29" s="27">
        <f t="shared" si="4"/>
        <v>197500</v>
      </c>
      <c r="I29" s="27"/>
      <c r="J29" s="2"/>
      <c r="K29" s="2"/>
    </row>
    <row r="30">
      <c r="A30" s="2"/>
      <c r="B30" s="2"/>
      <c r="C30" s="70"/>
      <c r="D30" s="71" t="s">
        <v>770</v>
      </c>
      <c r="E30" s="71" t="s">
        <v>90</v>
      </c>
      <c r="F30" s="72">
        <v>5.0</v>
      </c>
      <c r="G30" s="73">
        <v>15000.0</v>
      </c>
      <c r="H30" s="27">
        <f t="shared" si="4"/>
        <v>75000</v>
      </c>
      <c r="I30" s="27"/>
      <c r="J30" s="2"/>
      <c r="K30" s="2"/>
    </row>
    <row r="31">
      <c r="A31" s="2"/>
      <c r="B31" s="2"/>
      <c r="C31" s="70"/>
      <c r="D31" s="71" t="s">
        <v>771</v>
      </c>
      <c r="E31" s="71" t="s">
        <v>90</v>
      </c>
      <c r="F31" s="72">
        <v>1.0</v>
      </c>
      <c r="G31" s="73">
        <v>43000.0</v>
      </c>
      <c r="H31" s="27">
        <f t="shared" si="4"/>
        <v>43000</v>
      </c>
      <c r="I31" s="27">
        <f>sum(H25:H31)</f>
        <v>2980900</v>
      </c>
      <c r="J31" s="2"/>
      <c r="K31" s="22" t="s">
        <v>17</v>
      </c>
    </row>
    <row r="32">
      <c r="A32" s="2"/>
      <c r="B32" s="2"/>
      <c r="C32" s="70" t="s">
        <v>772</v>
      </c>
      <c r="D32" s="71" t="s">
        <v>773</v>
      </c>
      <c r="E32" s="71" t="s">
        <v>774</v>
      </c>
      <c r="F32" s="72">
        <v>1.0</v>
      </c>
      <c r="G32" s="73">
        <v>28500.0</v>
      </c>
      <c r="H32" s="27">
        <f t="shared" si="4"/>
        <v>28500</v>
      </c>
      <c r="I32" s="27">
        <f t="shared" ref="I32:I33" si="5">H32</f>
        <v>28500</v>
      </c>
      <c r="J32" s="2"/>
      <c r="K32" s="22" t="s">
        <v>17</v>
      </c>
    </row>
    <row r="33">
      <c r="A33" s="2"/>
      <c r="B33" s="2"/>
      <c r="C33" s="70" t="s">
        <v>775</v>
      </c>
      <c r="D33" s="71" t="s">
        <v>776</v>
      </c>
      <c r="E33" s="71" t="s">
        <v>50</v>
      </c>
      <c r="F33" s="72">
        <v>16.0</v>
      </c>
      <c r="G33" s="73">
        <v>40000.0</v>
      </c>
      <c r="H33" s="27">
        <f t="shared" si="4"/>
        <v>640000</v>
      </c>
      <c r="I33" s="27">
        <f t="shared" si="5"/>
        <v>640000</v>
      </c>
      <c r="J33" s="2"/>
      <c r="K33" s="22" t="s">
        <v>17</v>
      </c>
    </row>
    <row r="34">
      <c r="A34" s="2"/>
      <c r="B34" s="2"/>
      <c r="C34" s="2"/>
      <c r="D34" s="22" t="s">
        <v>12</v>
      </c>
      <c r="E34" s="2"/>
      <c r="F34" s="22">
        <v>5.0</v>
      </c>
      <c r="G34" s="33">
        <v>2500.0</v>
      </c>
      <c r="H34" s="27">
        <f t="shared" si="4"/>
        <v>12500</v>
      </c>
      <c r="I34" s="27"/>
      <c r="J34" s="27">
        <f>H34</f>
        <v>12500</v>
      </c>
      <c r="K34" s="2"/>
    </row>
    <row r="35">
      <c r="A35" s="37" t="s">
        <v>129</v>
      </c>
      <c r="B35" s="14"/>
      <c r="C35" s="14"/>
      <c r="D35" s="14"/>
      <c r="E35" s="14"/>
      <c r="F35" s="14"/>
      <c r="G35" s="28"/>
      <c r="H35" s="17" t="s">
        <v>11</v>
      </c>
      <c r="I35" s="17">
        <f>sum(I36:I42)</f>
        <v>3678000</v>
      </c>
      <c r="J35" s="17">
        <f>sum(J36:J51)</f>
        <v>7500</v>
      </c>
      <c r="K35" s="2"/>
    </row>
    <row r="36">
      <c r="A36" s="2"/>
      <c r="B36" s="2"/>
      <c r="C36" s="22" t="s">
        <v>777</v>
      </c>
      <c r="D36" s="22" t="s">
        <v>778</v>
      </c>
      <c r="E36" s="22" t="s">
        <v>779</v>
      </c>
      <c r="F36" s="22">
        <v>1.0</v>
      </c>
      <c r="G36" s="33">
        <v>1125000.0</v>
      </c>
      <c r="H36" s="27">
        <f t="shared" ref="H36:H37" si="6">F36*G36</f>
        <v>1125000</v>
      </c>
      <c r="I36" s="27"/>
      <c r="J36" s="2"/>
      <c r="K36" s="2"/>
    </row>
    <row r="37">
      <c r="A37" s="2"/>
      <c r="B37" s="2"/>
      <c r="C37" s="22" t="s">
        <v>777</v>
      </c>
      <c r="D37" s="22" t="s">
        <v>780</v>
      </c>
      <c r="E37" s="22" t="s">
        <v>779</v>
      </c>
      <c r="F37" s="22">
        <v>2.0</v>
      </c>
      <c r="G37" s="33">
        <v>1125000.0</v>
      </c>
      <c r="H37" s="27">
        <f t="shared" si="6"/>
        <v>2250000</v>
      </c>
      <c r="I37" s="27">
        <f>sum(H36:H37)</f>
        <v>3375000</v>
      </c>
      <c r="J37" s="2"/>
      <c r="K37" s="22" t="s">
        <v>17</v>
      </c>
    </row>
    <row r="38">
      <c r="A38" s="2"/>
      <c r="B38" s="2"/>
      <c r="C38" s="22" t="s">
        <v>781</v>
      </c>
      <c r="D38" s="22" t="s">
        <v>782</v>
      </c>
      <c r="E38" s="2"/>
      <c r="F38" s="22">
        <v>1.0</v>
      </c>
      <c r="G38" s="33">
        <v>30000.0</v>
      </c>
      <c r="H38" s="27"/>
      <c r="I38" s="27"/>
      <c r="J38" s="2"/>
      <c r="K38" s="2"/>
    </row>
    <row r="39">
      <c r="A39" s="2"/>
      <c r="B39" s="2"/>
      <c r="C39" s="2"/>
      <c r="D39" s="22" t="s">
        <v>783</v>
      </c>
      <c r="E39" s="2"/>
      <c r="F39" s="22">
        <v>1.0</v>
      </c>
      <c r="G39" s="33">
        <v>15000.0</v>
      </c>
      <c r="H39" s="27"/>
      <c r="I39" s="27"/>
      <c r="J39" s="2"/>
      <c r="K39" s="2"/>
    </row>
    <row r="40">
      <c r="A40" s="2"/>
      <c r="B40" s="2"/>
      <c r="C40" s="2"/>
      <c r="D40" s="22" t="s">
        <v>784</v>
      </c>
      <c r="E40" s="2"/>
      <c r="F40" s="22">
        <v>4.0</v>
      </c>
      <c r="G40" s="33">
        <v>180000.0</v>
      </c>
      <c r="H40" s="27"/>
      <c r="I40" s="27"/>
      <c r="J40" s="2"/>
      <c r="K40" s="2"/>
    </row>
    <row r="41">
      <c r="A41" s="2"/>
      <c r="B41" s="2"/>
      <c r="C41" s="2"/>
      <c r="D41" s="22" t="s">
        <v>785</v>
      </c>
      <c r="E41" s="2"/>
      <c r="F41" s="22">
        <v>12.0</v>
      </c>
      <c r="G41" s="33">
        <v>78000.0</v>
      </c>
      <c r="H41" s="27">
        <f>SUM(G38:G41)</f>
        <v>303000</v>
      </c>
      <c r="I41" s="27">
        <f>H41</f>
        <v>303000</v>
      </c>
      <c r="J41" s="2"/>
      <c r="K41" s="22" t="s">
        <v>17</v>
      </c>
    </row>
    <row r="42">
      <c r="A42" s="2"/>
      <c r="B42" s="2"/>
      <c r="C42" s="2"/>
      <c r="D42" s="22" t="s">
        <v>12</v>
      </c>
      <c r="E42" s="2"/>
      <c r="F42" s="22">
        <v>2.0</v>
      </c>
      <c r="G42" s="33">
        <v>2500.0</v>
      </c>
      <c r="H42" s="27">
        <f>F42*G42</f>
        <v>5000</v>
      </c>
      <c r="I42" s="27"/>
      <c r="J42" s="27">
        <f>H42</f>
        <v>5000</v>
      </c>
      <c r="K42" s="2"/>
    </row>
    <row r="43">
      <c r="A43" s="75" t="s">
        <v>164</v>
      </c>
      <c r="B43" s="64"/>
      <c r="C43" s="64"/>
      <c r="D43" s="64"/>
      <c r="E43" s="64"/>
      <c r="F43" s="64"/>
      <c r="G43" s="66"/>
      <c r="H43" s="76" t="s">
        <v>11</v>
      </c>
      <c r="I43" s="76">
        <f t="shared" ref="I43:J43" si="7">sum(I44:I53)</f>
        <v>14010000</v>
      </c>
      <c r="J43" s="76">
        <f t="shared" si="7"/>
        <v>2500</v>
      </c>
      <c r="K43" s="2"/>
    </row>
    <row r="44">
      <c r="A44" s="2"/>
      <c r="B44" s="2"/>
      <c r="C44" s="39" t="s">
        <v>189</v>
      </c>
      <c r="D44" s="39" t="s">
        <v>786</v>
      </c>
      <c r="E44" s="39" t="s">
        <v>779</v>
      </c>
      <c r="F44" s="39">
        <v>2.0</v>
      </c>
      <c r="G44" s="38">
        <v>1125000.0</v>
      </c>
      <c r="H44" s="27">
        <f t="shared" ref="H44:H53" si="8">F44*G44</f>
        <v>2250000</v>
      </c>
      <c r="I44" s="27"/>
      <c r="J44" s="2"/>
      <c r="K44" s="2"/>
    </row>
    <row r="45">
      <c r="A45" s="2"/>
      <c r="B45" s="2"/>
      <c r="D45" s="39" t="s">
        <v>778</v>
      </c>
      <c r="E45" s="39" t="s">
        <v>779</v>
      </c>
      <c r="F45" s="39">
        <v>1.0</v>
      </c>
      <c r="G45" s="38">
        <v>1125000.0</v>
      </c>
      <c r="H45" s="27">
        <f t="shared" si="8"/>
        <v>1125000</v>
      </c>
      <c r="I45" s="27"/>
      <c r="J45" s="2"/>
      <c r="K45" s="2"/>
    </row>
    <row r="46">
      <c r="A46" s="2"/>
      <c r="B46" s="2"/>
      <c r="D46" s="39" t="s">
        <v>787</v>
      </c>
      <c r="E46" s="39" t="s">
        <v>779</v>
      </c>
      <c r="F46" s="39">
        <v>1.0</v>
      </c>
      <c r="G46" s="38">
        <v>1125000.0</v>
      </c>
      <c r="H46" s="27">
        <f t="shared" si="8"/>
        <v>1125000</v>
      </c>
      <c r="I46" s="27"/>
      <c r="J46" s="2"/>
      <c r="K46" s="2"/>
    </row>
    <row r="47">
      <c r="A47" s="2"/>
      <c r="B47" s="2"/>
      <c r="D47" s="39" t="s">
        <v>786</v>
      </c>
      <c r="E47" s="39" t="s">
        <v>779</v>
      </c>
      <c r="F47" s="39">
        <v>1.0</v>
      </c>
      <c r="G47" s="38">
        <v>1125000.0</v>
      </c>
      <c r="H47" s="27">
        <f t="shared" si="8"/>
        <v>1125000</v>
      </c>
      <c r="I47" s="27"/>
      <c r="J47" s="2"/>
      <c r="K47" s="2"/>
    </row>
    <row r="48">
      <c r="A48" s="2"/>
      <c r="B48" s="2"/>
      <c r="D48" s="39" t="s">
        <v>787</v>
      </c>
      <c r="E48" s="39" t="s">
        <v>779</v>
      </c>
      <c r="F48" s="39">
        <v>2.0</v>
      </c>
      <c r="G48" s="38">
        <v>1125000.0</v>
      </c>
      <c r="H48" s="27">
        <f t="shared" si="8"/>
        <v>2250000</v>
      </c>
      <c r="I48" s="27"/>
      <c r="J48" s="2"/>
      <c r="K48" s="2"/>
    </row>
    <row r="49">
      <c r="A49" s="2"/>
      <c r="B49" s="2"/>
      <c r="D49" s="39" t="s">
        <v>788</v>
      </c>
      <c r="E49" s="39" t="s">
        <v>779</v>
      </c>
      <c r="F49" s="39">
        <v>2.0</v>
      </c>
      <c r="G49" s="38">
        <v>1125000.0</v>
      </c>
      <c r="H49" s="27">
        <f t="shared" si="8"/>
        <v>2250000</v>
      </c>
      <c r="I49" s="27"/>
      <c r="J49" s="2"/>
      <c r="K49" s="2"/>
    </row>
    <row r="50">
      <c r="A50" s="2"/>
      <c r="B50" s="2"/>
      <c r="D50" s="39" t="s">
        <v>789</v>
      </c>
      <c r="E50" s="39" t="s">
        <v>779</v>
      </c>
      <c r="F50" s="39">
        <v>2.0</v>
      </c>
      <c r="G50" s="38">
        <v>255000.0</v>
      </c>
      <c r="H50" s="27">
        <f t="shared" si="8"/>
        <v>510000</v>
      </c>
      <c r="I50" s="27"/>
      <c r="J50" s="2"/>
      <c r="K50" s="2"/>
    </row>
    <row r="51">
      <c r="A51" s="2"/>
      <c r="B51" s="2"/>
      <c r="D51" s="39" t="s">
        <v>778</v>
      </c>
      <c r="E51" s="39" t="s">
        <v>779</v>
      </c>
      <c r="F51" s="39">
        <v>1.0</v>
      </c>
      <c r="G51" s="38">
        <v>1125000.0</v>
      </c>
      <c r="H51" s="27">
        <f t="shared" si="8"/>
        <v>1125000</v>
      </c>
      <c r="I51" s="27"/>
      <c r="J51" s="2"/>
      <c r="K51" s="2"/>
    </row>
    <row r="52">
      <c r="A52" s="2"/>
      <c r="B52" s="2"/>
      <c r="D52" s="39" t="s">
        <v>780</v>
      </c>
      <c r="E52" s="39" t="s">
        <v>779</v>
      </c>
      <c r="F52" s="39">
        <v>2.0</v>
      </c>
      <c r="G52" s="38">
        <v>1125000.0</v>
      </c>
      <c r="H52" s="27">
        <f t="shared" si="8"/>
        <v>2250000</v>
      </c>
      <c r="I52" s="41">
        <f>SUM(H44:H52)</f>
        <v>14010000</v>
      </c>
      <c r="J52" s="2"/>
      <c r="K52" s="22" t="s">
        <v>17</v>
      </c>
    </row>
    <row r="53">
      <c r="A53" s="2"/>
      <c r="B53" s="2"/>
      <c r="C53" s="2"/>
      <c r="D53" s="22" t="s">
        <v>12</v>
      </c>
      <c r="E53" s="2"/>
      <c r="F53" s="22">
        <v>1.0</v>
      </c>
      <c r="G53" s="33">
        <v>2500.0</v>
      </c>
      <c r="H53" s="27">
        <f t="shared" si="8"/>
        <v>2500</v>
      </c>
      <c r="I53" s="27"/>
      <c r="J53" s="27">
        <f>H53</f>
        <v>2500</v>
      </c>
      <c r="K53" s="2"/>
    </row>
    <row r="54">
      <c r="A54" s="75" t="s">
        <v>790</v>
      </c>
      <c r="B54" s="64"/>
      <c r="C54" s="64"/>
      <c r="D54" s="64"/>
      <c r="E54" s="64"/>
      <c r="F54" s="64"/>
      <c r="G54" s="66"/>
      <c r="H54" s="76" t="s">
        <v>11</v>
      </c>
      <c r="I54" s="76">
        <f t="shared" ref="I54:J54" si="9">sum(I55:I68)</f>
        <v>13604500</v>
      </c>
      <c r="J54" s="76">
        <f t="shared" si="9"/>
        <v>10000</v>
      </c>
      <c r="K54" s="2"/>
    </row>
    <row r="55">
      <c r="A55" s="2"/>
      <c r="B55" s="2"/>
      <c r="C55" s="39" t="s">
        <v>189</v>
      </c>
      <c r="D55" s="39" t="s">
        <v>791</v>
      </c>
      <c r="E55" s="39" t="s">
        <v>779</v>
      </c>
      <c r="F55" s="39">
        <v>1.0</v>
      </c>
      <c r="G55" s="38">
        <v>1125000.0</v>
      </c>
      <c r="H55" s="27">
        <f t="shared" ref="H55:H60" si="10">G55*F55</f>
        <v>1125000</v>
      </c>
      <c r="I55" s="27"/>
      <c r="J55" s="2"/>
      <c r="K55" s="2"/>
    </row>
    <row r="56">
      <c r="A56" s="2"/>
      <c r="B56" s="2"/>
      <c r="D56" s="39" t="s">
        <v>792</v>
      </c>
      <c r="E56" s="39" t="s">
        <v>779</v>
      </c>
      <c r="F56" s="39">
        <v>2.0</v>
      </c>
      <c r="G56" s="38">
        <v>1125000.0</v>
      </c>
      <c r="H56" s="27">
        <f t="shared" si="10"/>
        <v>2250000</v>
      </c>
      <c r="I56" s="27"/>
      <c r="J56" s="2"/>
      <c r="K56" s="2"/>
    </row>
    <row r="57">
      <c r="A57" s="2"/>
      <c r="B57" s="2"/>
      <c r="D57" s="39" t="s">
        <v>793</v>
      </c>
      <c r="E57" s="39" t="s">
        <v>779</v>
      </c>
      <c r="F57" s="39">
        <v>3.0</v>
      </c>
      <c r="G57" s="38">
        <v>1125000.0</v>
      </c>
      <c r="H57" s="27">
        <f t="shared" si="10"/>
        <v>3375000</v>
      </c>
      <c r="I57" s="27"/>
      <c r="J57" s="2"/>
      <c r="K57" s="2"/>
    </row>
    <row r="58">
      <c r="A58" s="2"/>
      <c r="B58" s="2"/>
      <c r="D58" s="39" t="s">
        <v>794</v>
      </c>
      <c r="E58" s="39" t="s">
        <v>779</v>
      </c>
      <c r="F58" s="39">
        <v>2.0</v>
      </c>
      <c r="G58" s="38">
        <v>1125000.0</v>
      </c>
      <c r="H58" s="27">
        <f t="shared" si="10"/>
        <v>2250000</v>
      </c>
      <c r="I58" s="27">
        <f>SUM(H55:H58)</f>
        <v>9000000</v>
      </c>
      <c r="J58" s="2"/>
      <c r="K58" s="22" t="s">
        <v>17</v>
      </c>
    </row>
    <row r="59">
      <c r="A59" s="2"/>
      <c r="B59" s="2"/>
      <c r="C59" s="22" t="s">
        <v>795</v>
      </c>
      <c r="D59" s="22" t="s">
        <v>796</v>
      </c>
      <c r="E59" s="22" t="s">
        <v>282</v>
      </c>
      <c r="F59" s="22">
        <v>27.0</v>
      </c>
      <c r="G59" s="33">
        <v>9000.0</v>
      </c>
      <c r="H59" s="27">
        <f t="shared" si="10"/>
        <v>243000</v>
      </c>
      <c r="I59" s="27"/>
      <c r="J59" s="2"/>
      <c r="K59" s="2"/>
    </row>
    <row r="60">
      <c r="A60" s="2"/>
      <c r="B60" s="2"/>
      <c r="C60" s="2"/>
      <c r="D60" s="22" t="s">
        <v>797</v>
      </c>
      <c r="E60" s="22" t="s">
        <v>798</v>
      </c>
      <c r="F60" s="22">
        <v>5.0</v>
      </c>
      <c r="G60" s="33">
        <v>28500.0</v>
      </c>
      <c r="H60" s="27">
        <f t="shared" si="10"/>
        <v>142500</v>
      </c>
      <c r="I60" s="27"/>
      <c r="J60" s="2"/>
      <c r="K60" s="2"/>
    </row>
    <row r="61">
      <c r="A61" s="2"/>
      <c r="B61" s="2"/>
      <c r="C61" s="2"/>
      <c r="D61" s="22" t="s">
        <v>799</v>
      </c>
      <c r="E61" s="22" t="s">
        <v>800</v>
      </c>
      <c r="F61" s="22">
        <v>5.0</v>
      </c>
      <c r="G61" s="33">
        <v>2000.0</v>
      </c>
      <c r="H61" s="27">
        <f t="shared" ref="H61:H68" si="11">F61*G61</f>
        <v>10000</v>
      </c>
      <c r="I61" s="27">
        <f>SUM(H59:H61)</f>
        <v>395500</v>
      </c>
      <c r="J61" s="2"/>
      <c r="K61" s="2"/>
    </row>
    <row r="62">
      <c r="A62" s="2"/>
      <c r="B62" s="2"/>
      <c r="C62" s="22" t="s">
        <v>801</v>
      </c>
      <c r="D62" s="22" t="s">
        <v>802</v>
      </c>
      <c r="E62" s="22" t="s">
        <v>186</v>
      </c>
      <c r="F62" s="22">
        <v>5.0</v>
      </c>
      <c r="G62" s="33">
        <v>290000.0</v>
      </c>
      <c r="H62" s="27">
        <f t="shared" si="11"/>
        <v>1450000</v>
      </c>
      <c r="I62" s="27"/>
      <c r="J62" s="2"/>
      <c r="K62" s="2"/>
    </row>
    <row r="63">
      <c r="A63" s="2"/>
      <c r="B63" s="2"/>
      <c r="C63" s="2"/>
      <c r="D63" s="22" t="s">
        <v>802</v>
      </c>
      <c r="E63" s="22" t="s">
        <v>186</v>
      </c>
      <c r="F63" s="22">
        <v>2.0</v>
      </c>
      <c r="G63" s="33">
        <v>14500.0</v>
      </c>
      <c r="H63" s="27">
        <f t="shared" si="11"/>
        <v>29000</v>
      </c>
      <c r="I63" s="27"/>
      <c r="J63" s="2"/>
      <c r="K63" s="2"/>
    </row>
    <row r="64">
      <c r="A64" s="2"/>
      <c r="B64" s="2"/>
      <c r="C64" s="2"/>
      <c r="D64" s="22" t="s">
        <v>803</v>
      </c>
      <c r="E64" s="22" t="s">
        <v>16</v>
      </c>
      <c r="F64" s="22">
        <v>5.0</v>
      </c>
      <c r="G64" s="33">
        <v>42000.0</v>
      </c>
      <c r="H64" s="27">
        <f t="shared" si="11"/>
        <v>210000</v>
      </c>
      <c r="I64" s="27"/>
      <c r="J64" s="2"/>
      <c r="K64" s="2"/>
    </row>
    <row r="65">
      <c r="A65" s="2"/>
      <c r="B65" s="2"/>
      <c r="C65" s="2"/>
      <c r="D65" s="22" t="s">
        <v>804</v>
      </c>
      <c r="E65" s="22" t="s">
        <v>186</v>
      </c>
      <c r="F65" s="22">
        <v>1.0</v>
      </c>
      <c r="G65" s="33">
        <v>1000000.0</v>
      </c>
      <c r="H65" s="27">
        <f t="shared" si="11"/>
        <v>1000000</v>
      </c>
      <c r="I65" s="27"/>
      <c r="J65" s="2"/>
      <c r="K65" s="2"/>
    </row>
    <row r="66">
      <c r="A66" s="2"/>
      <c r="B66" s="2"/>
      <c r="C66" s="2"/>
      <c r="D66" s="22" t="s">
        <v>805</v>
      </c>
      <c r="E66" s="22" t="s">
        <v>90</v>
      </c>
      <c r="F66" s="22">
        <v>90.0</v>
      </c>
      <c r="G66" s="33">
        <v>12500.0</v>
      </c>
      <c r="H66" s="27">
        <f t="shared" si="11"/>
        <v>1125000</v>
      </c>
      <c r="I66" s="27">
        <f>SUM(H62:H66)</f>
        <v>3814000</v>
      </c>
      <c r="J66" s="2"/>
      <c r="K66" s="2"/>
    </row>
    <row r="67">
      <c r="A67" s="2"/>
      <c r="B67" s="2"/>
      <c r="C67" s="22" t="s">
        <v>806</v>
      </c>
      <c r="D67" s="22" t="s">
        <v>807</v>
      </c>
      <c r="E67" s="22" t="s">
        <v>90</v>
      </c>
      <c r="F67" s="22">
        <v>10.0</v>
      </c>
      <c r="G67" s="33">
        <v>39500.0</v>
      </c>
      <c r="H67" s="27">
        <f t="shared" si="11"/>
        <v>395000</v>
      </c>
      <c r="I67" s="27">
        <f>H67</f>
        <v>395000</v>
      </c>
      <c r="J67" s="2"/>
      <c r="K67" s="2"/>
    </row>
    <row r="68">
      <c r="A68" s="2"/>
      <c r="B68" s="2"/>
      <c r="C68" s="2"/>
      <c r="D68" s="22" t="s">
        <v>12</v>
      </c>
      <c r="E68" s="2"/>
      <c r="F68" s="22">
        <v>4.0</v>
      </c>
      <c r="G68" s="33">
        <v>2500.0</v>
      </c>
      <c r="H68" s="27">
        <f t="shared" si="11"/>
        <v>10000</v>
      </c>
      <c r="I68" s="27"/>
      <c r="J68" s="27">
        <f>H68</f>
        <v>10000</v>
      </c>
      <c r="K68" s="2"/>
    </row>
    <row r="69">
      <c r="A69" s="46" t="s">
        <v>267</v>
      </c>
      <c r="B69" s="47"/>
      <c r="C69" s="47"/>
      <c r="D69" s="47"/>
      <c r="E69" s="47"/>
      <c r="F69" s="47"/>
      <c r="G69" s="49"/>
      <c r="H69" s="50" t="s">
        <v>11</v>
      </c>
      <c r="I69" s="51">
        <f t="shared" ref="I69:J69" si="12">SUM(I70:I94)</f>
        <v>4464020</v>
      </c>
      <c r="J69" s="51">
        <f t="shared" si="12"/>
        <v>17500</v>
      </c>
      <c r="K69" s="2"/>
    </row>
    <row r="70">
      <c r="A70" s="2"/>
      <c r="B70" s="2"/>
      <c r="C70" s="22" t="s">
        <v>808</v>
      </c>
      <c r="D70" s="22" t="s">
        <v>809</v>
      </c>
      <c r="E70" s="22" t="s">
        <v>90</v>
      </c>
      <c r="F70" s="22">
        <v>5.0</v>
      </c>
      <c r="G70" s="27">
        <f>H70/F70</f>
        <v>85000</v>
      </c>
      <c r="H70" s="33">
        <v>425000.0</v>
      </c>
      <c r="I70" s="27">
        <f t="shared" ref="I70:I71" si="13">H70</f>
        <v>425000</v>
      </c>
      <c r="J70" s="2"/>
      <c r="K70" s="2"/>
    </row>
    <row r="71">
      <c r="A71" s="2"/>
      <c r="B71" s="2"/>
      <c r="C71" s="22" t="s">
        <v>810</v>
      </c>
      <c r="D71" s="22" t="s">
        <v>811</v>
      </c>
      <c r="E71" s="39" t="s">
        <v>774</v>
      </c>
      <c r="F71" s="22">
        <v>1.0</v>
      </c>
      <c r="G71" s="33">
        <v>28500.0</v>
      </c>
      <c r="H71" s="27">
        <f t="shared" ref="H71:H94" si="14">F71*G71</f>
        <v>28500</v>
      </c>
      <c r="I71" s="27">
        <f t="shared" si="13"/>
        <v>28500</v>
      </c>
      <c r="J71" s="2"/>
      <c r="K71" s="2"/>
    </row>
    <row r="72">
      <c r="A72" s="2"/>
      <c r="B72" s="2"/>
      <c r="C72" s="22" t="s">
        <v>812</v>
      </c>
      <c r="D72" s="22" t="s">
        <v>813</v>
      </c>
      <c r="E72" s="22" t="s">
        <v>50</v>
      </c>
      <c r="F72" s="22">
        <v>2.0</v>
      </c>
      <c r="G72" s="33">
        <v>25000.0</v>
      </c>
      <c r="H72" s="27">
        <f t="shared" si="14"/>
        <v>50000</v>
      </c>
      <c r="I72" s="27"/>
      <c r="J72" s="2"/>
      <c r="K72" s="2"/>
    </row>
    <row r="73">
      <c r="A73" s="2"/>
      <c r="B73" s="2"/>
      <c r="C73" s="2"/>
      <c r="D73" s="39" t="s">
        <v>814</v>
      </c>
      <c r="E73" s="22" t="s">
        <v>50</v>
      </c>
      <c r="F73" s="22">
        <v>2.0</v>
      </c>
      <c r="G73" s="33">
        <v>12500.0</v>
      </c>
      <c r="H73" s="27">
        <f t="shared" si="14"/>
        <v>25000</v>
      </c>
      <c r="I73" s="27"/>
      <c r="J73" s="2"/>
      <c r="K73" s="2"/>
    </row>
    <row r="74">
      <c r="A74" s="2"/>
      <c r="B74" s="2"/>
      <c r="C74" s="2"/>
      <c r="D74" s="22" t="s">
        <v>815</v>
      </c>
      <c r="E74" s="22" t="s">
        <v>50</v>
      </c>
      <c r="F74" s="22">
        <v>2.0</v>
      </c>
      <c r="G74" s="33">
        <v>25000.0</v>
      </c>
      <c r="H74" s="27">
        <f t="shared" si="14"/>
        <v>50000</v>
      </c>
      <c r="I74" s="27"/>
      <c r="J74" s="2"/>
      <c r="K74" s="2"/>
    </row>
    <row r="75">
      <c r="A75" s="2"/>
      <c r="B75" s="2"/>
      <c r="C75" s="2"/>
      <c r="D75" s="22" t="s">
        <v>816</v>
      </c>
      <c r="E75" s="22" t="s">
        <v>50</v>
      </c>
      <c r="F75" s="22">
        <v>12.0</v>
      </c>
      <c r="G75" s="33">
        <v>5000.0</v>
      </c>
      <c r="H75" s="27">
        <f t="shared" si="14"/>
        <v>60000</v>
      </c>
      <c r="I75" s="27">
        <f>SUM(H72:H75)</f>
        <v>185000</v>
      </c>
      <c r="J75" s="2"/>
      <c r="K75" s="2"/>
    </row>
    <row r="76">
      <c r="A76" s="2"/>
      <c r="B76" s="2"/>
      <c r="C76" s="31" t="s">
        <v>795</v>
      </c>
      <c r="D76" s="22" t="s">
        <v>817</v>
      </c>
      <c r="E76" s="32" t="s">
        <v>16</v>
      </c>
      <c r="F76" s="32">
        <v>7.74</v>
      </c>
      <c r="G76" s="35">
        <v>48000.0</v>
      </c>
      <c r="H76" s="36">
        <f t="shared" si="14"/>
        <v>371520</v>
      </c>
      <c r="I76" s="27"/>
      <c r="J76" s="2"/>
      <c r="K76" s="2"/>
    </row>
    <row r="77">
      <c r="A77" s="2"/>
      <c r="B77" s="2"/>
      <c r="C77" s="34"/>
      <c r="D77" s="22" t="s">
        <v>818</v>
      </c>
      <c r="E77" s="32" t="s">
        <v>257</v>
      </c>
      <c r="F77" s="32">
        <v>1.0</v>
      </c>
      <c r="G77" s="35">
        <v>450000.0</v>
      </c>
      <c r="H77" s="36">
        <f t="shared" si="14"/>
        <v>450000</v>
      </c>
      <c r="I77" s="27"/>
      <c r="J77" s="2"/>
      <c r="K77" s="2"/>
    </row>
    <row r="78">
      <c r="A78" s="2"/>
      <c r="B78" s="2"/>
      <c r="C78" s="34"/>
      <c r="D78" s="22" t="s">
        <v>819</v>
      </c>
      <c r="E78" s="32" t="s">
        <v>768</v>
      </c>
      <c r="F78" s="32">
        <v>1.0</v>
      </c>
      <c r="G78" s="35">
        <v>47500.0</v>
      </c>
      <c r="H78" s="36">
        <f t="shared" si="14"/>
        <v>47500</v>
      </c>
      <c r="I78" s="27"/>
      <c r="J78" s="2"/>
      <c r="K78" s="2"/>
    </row>
    <row r="79">
      <c r="A79" s="2"/>
      <c r="B79" s="2"/>
      <c r="C79" s="34"/>
      <c r="D79" s="22" t="s">
        <v>820</v>
      </c>
      <c r="E79" s="32" t="s">
        <v>90</v>
      </c>
      <c r="F79" s="32">
        <v>2.0</v>
      </c>
      <c r="G79" s="35">
        <v>15500.0</v>
      </c>
      <c r="H79" s="36">
        <f t="shared" si="14"/>
        <v>31000</v>
      </c>
      <c r="I79" s="27"/>
      <c r="J79" s="2"/>
      <c r="K79" s="2"/>
    </row>
    <row r="80">
      <c r="A80" s="2"/>
      <c r="B80" s="2"/>
      <c r="C80" s="34"/>
      <c r="D80" s="22" t="s">
        <v>821</v>
      </c>
      <c r="E80" s="32" t="s">
        <v>90</v>
      </c>
      <c r="F80" s="32">
        <v>2.0</v>
      </c>
      <c r="G80" s="35">
        <v>11000.0</v>
      </c>
      <c r="H80" s="36">
        <f t="shared" si="14"/>
        <v>22000</v>
      </c>
      <c r="I80" s="27">
        <f>SUM(H76:H80)</f>
        <v>922020</v>
      </c>
      <c r="J80" s="2"/>
      <c r="K80" s="2"/>
    </row>
    <row r="81">
      <c r="A81" s="2"/>
      <c r="B81" s="2"/>
      <c r="C81" s="31" t="s">
        <v>822</v>
      </c>
      <c r="D81" s="22" t="s">
        <v>823</v>
      </c>
      <c r="E81" s="32" t="s">
        <v>50</v>
      </c>
      <c r="F81" s="32">
        <v>10.0</v>
      </c>
      <c r="G81" s="35">
        <v>27000.0</v>
      </c>
      <c r="H81" s="35">
        <f t="shared" si="14"/>
        <v>270000</v>
      </c>
      <c r="I81" s="27">
        <f>H81</f>
        <v>270000</v>
      </c>
      <c r="J81" s="2"/>
      <c r="K81" s="2"/>
    </row>
    <row r="82">
      <c r="A82" s="2"/>
      <c r="B82" s="2"/>
      <c r="C82" s="2"/>
      <c r="D82" s="22" t="s">
        <v>743</v>
      </c>
      <c r="E82" s="32" t="s">
        <v>50</v>
      </c>
      <c r="F82" s="22">
        <v>7.0</v>
      </c>
      <c r="G82" s="33">
        <v>32500.0</v>
      </c>
      <c r="H82" s="35">
        <f t="shared" si="14"/>
        <v>227500</v>
      </c>
      <c r="I82" s="27"/>
      <c r="J82" s="2"/>
      <c r="K82" s="2"/>
    </row>
    <row r="83">
      <c r="A83" s="2"/>
      <c r="B83" s="2"/>
      <c r="C83" s="2"/>
      <c r="D83" s="22" t="s">
        <v>824</v>
      </c>
      <c r="E83" s="32" t="s">
        <v>50</v>
      </c>
      <c r="F83" s="22">
        <v>5.0</v>
      </c>
      <c r="G83" s="33">
        <v>10000.0</v>
      </c>
      <c r="H83" s="35">
        <f t="shared" si="14"/>
        <v>50000</v>
      </c>
      <c r="I83" s="27"/>
      <c r="J83" s="2"/>
      <c r="K83" s="2"/>
    </row>
    <row r="84">
      <c r="A84" s="2"/>
      <c r="B84" s="2"/>
      <c r="C84" s="2"/>
      <c r="D84" s="22" t="s">
        <v>825</v>
      </c>
      <c r="E84" s="32" t="s">
        <v>50</v>
      </c>
      <c r="F84" s="22">
        <v>16.0</v>
      </c>
      <c r="G84" s="33">
        <v>27000.0</v>
      </c>
      <c r="H84" s="35">
        <f t="shared" si="14"/>
        <v>432000</v>
      </c>
      <c r="I84" s="27"/>
      <c r="J84" s="2"/>
      <c r="K84" s="2"/>
    </row>
    <row r="85">
      <c r="A85" s="2"/>
      <c r="B85" s="2"/>
      <c r="C85" s="2"/>
      <c r="D85" s="22" t="s">
        <v>826</v>
      </c>
      <c r="E85" s="32" t="s">
        <v>50</v>
      </c>
      <c r="F85" s="22">
        <v>1.0</v>
      </c>
      <c r="G85" s="33">
        <v>15000.0</v>
      </c>
      <c r="H85" s="35">
        <f t="shared" si="14"/>
        <v>15000</v>
      </c>
      <c r="I85" s="27"/>
      <c r="J85" s="2"/>
      <c r="K85" s="2"/>
    </row>
    <row r="86">
      <c r="A86" s="2"/>
      <c r="B86" s="2"/>
      <c r="C86" s="2"/>
      <c r="D86" s="22" t="s">
        <v>827</v>
      </c>
      <c r="E86" s="32" t="s">
        <v>50</v>
      </c>
      <c r="F86" s="22">
        <v>2.0</v>
      </c>
      <c r="G86" s="33">
        <v>107000.0</v>
      </c>
      <c r="H86" s="35">
        <f t="shared" si="14"/>
        <v>214000</v>
      </c>
      <c r="I86" s="27"/>
      <c r="J86" s="2"/>
      <c r="K86" s="2"/>
    </row>
    <row r="87">
      <c r="A87" s="2"/>
      <c r="B87" s="2"/>
      <c r="C87" s="2"/>
      <c r="D87" s="22" t="s">
        <v>828</v>
      </c>
      <c r="E87" s="32" t="s">
        <v>50</v>
      </c>
      <c r="F87" s="22">
        <v>2.0</v>
      </c>
      <c r="G87" s="33">
        <v>57000.0</v>
      </c>
      <c r="H87" s="35">
        <f t="shared" si="14"/>
        <v>114000</v>
      </c>
      <c r="I87" s="27"/>
      <c r="J87" s="2"/>
      <c r="K87" s="2"/>
    </row>
    <row r="88">
      <c r="A88" s="2"/>
      <c r="B88" s="2"/>
      <c r="C88" s="2"/>
      <c r="D88" s="22" t="s">
        <v>829</v>
      </c>
      <c r="E88" s="32" t="s">
        <v>186</v>
      </c>
      <c r="F88" s="22">
        <v>1.0</v>
      </c>
      <c r="G88" s="33">
        <v>230000.0</v>
      </c>
      <c r="H88" s="35">
        <f t="shared" si="14"/>
        <v>230000</v>
      </c>
      <c r="I88" s="27"/>
      <c r="J88" s="2"/>
      <c r="K88" s="2"/>
    </row>
    <row r="89">
      <c r="A89" s="2"/>
      <c r="B89" s="2"/>
      <c r="C89" s="2"/>
      <c r="D89" s="22" t="s">
        <v>830</v>
      </c>
      <c r="E89" s="32" t="s">
        <v>186</v>
      </c>
      <c r="F89" s="22">
        <v>1.0</v>
      </c>
      <c r="G89" s="33">
        <v>302000.0</v>
      </c>
      <c r="H89" s="35">
        <f t="shared" si="14"/>
        <v>302000</v>
      </c>
      <c r="I89" s="27"/>
      <c r="J89" s="2"/>
      <c r="K89" s="2"/>
    </row>
    <row r="90">
      <c r="A90" s="2"/>
      <c r="B90" s="2"/>
      <c r="C90" s="2"/>
      <c r="D90" s="22" t="s">
        <v>831</v>
      </c>
      <c r="E90" s="32" t="s">
        <v>186</v>
      </c>
      <c r="F90" s="22">
        <v>1.0</v>
      </c>
      <c r="G90" s="33">
        <v>124000.0</v>
      </c>
      <c r="H90" s="35">
        <f t="shared" si="14"/>
        <v>124000</v>
      </c>
      <c r="I90" s="27"/>
      <c r="J90" s="2"/>
      <c r="K90" s="2"/>
    </row>
    <row r="91">
      <c r="A91" s="2"/>
      <c r="B91" s="2"/>
      <c r="C91" s="2"/>
      <c r="D91" s="22" t="s">
        <v>832</v>
      </c>
      <c r="E91" s="32" t="s">
        <v>186</v>
      </c>
      <c r="F91" s="22">
        <v>1.0</v>
      </c>
      <c r="G91" s="33">
        <v>225000.0</v>
      </c>
      <c r="H91" s="35">
        <f t="shared" si="14"/>
        <v>225000</v>
      </c>
      <c r="I91" s="27"/>
      <c r="J91" s="2"/>
      <c r="K91" s="2"/>
    </row>
    <row r="92">
      <c r="A92" s="2"/>
      <c r="B92" s="2"/>
      <c r="C92" s="2"/>
      <c r="D92" s="22" t="s">
        <v>833</v>
      </c>
      <c r="E92" s="32" t="s">
        <v>50</v>
      </c>
      <c r="F92" s="22">
        <v>2.0</v>
      </c>
      <c r="G92" s="33">
        <v>35000.0</v>
      </c>
      <c r="H92" s="35">
        <f t="shared" si="14"/>
        <v>70000</v>
      </c>
      <c r="I92" s="27">
        <f>SUM(H82:H92)</f>
        <v>2003500</v>
      </c>
      <c r="J92" s="2"/>
      <c r="K92" s="2"/>
    </row>
    <row r="93">
      <c r="A93" s="2"/>
      <c r="B93" s="2"/>
      <c r="C93" s="22" t="s">
        <v>834</v>
      </c>
      <c r="D93" s="22" t="s">
        <v>835</v>
      </c>
      <c r="E93" s="2"/>
      <c r="F93" s="22">
        <v>6.0</v>
      </c>
      <c r="G93" s="33">
        <v>105000.0</v>
      </c>
      <c r="H93" s="27">
        <f t="shared" si="14"/>
        <v>630000</v>
      </c>
      <c r="I93" s="27">
        <f>H93</f>
        <v>630000</v>
      </c>
      <c r="J93" s="2"/>
      <c r="K93" s="2"/>
    </row>
    <row r="94">
      <c r="A94" s="2"/>
      <c r="B94" s="2"/>
      <c r="C94" s="2"/>
      <c r="D94" s="22" t="s">
        <v>12</v>
      </c>
      <c r="E94" s="2"/>
      <c r="F94" s="22">
        <v>7.0</v>
      </c>
      <c r="G94" s="33">
        <v>2500.0</v>
      </c>
      <c r="H94" s="27">
        <f t="shared" si="14"/>
        <v>17500</v>
      </c>
      <c r="I94" s="27"/>
      <c r="J94" s="27">
        <f>H94</f>
        <v>17500</v>
      </c>
      <c r="K94" s="2"/>
    </row>
    <row r="95">
      <c r="A95" s="46" t="s">
        <v>280</v>
      </c>
      <c r="B95" s="47"/>
      <c r="C95" s="47"/>
      <c r="D95" s="47"/>
      <c r="E95" s="47"/>
      <c r="F95" s="48"/>
      <c r="G95" s="49"/>
      <c r="H95" s="50" t="s">
        <v>11</v>
      </c>
      <c r="I95" s="51">
        <f t="shared" ref="I95:J95" si="15">SUM(I96:I103)</f>
        <v>2466000</v>
      </c>
      <c r="J95" s="51">
        <f t="shared" si="15"/>
        <v>7500</v>
      </c>
      <c r="K95" s="2"/>
    </row>
    <row r="96">
      <c r="A96" s="2"/>
      <c r="B96" s="2"/>
      <c r="C96" s="22" t="s">
        <v>795</v>
      </c>
      <c r="D96" s="22" t="s">
        <v>836</v>
      </c>
      <c r="E96" s="22" t="s">
        <v>768</v>
      </c>
      <c r="F96" s="22">
        <v>10.0</v>
      </c>
      <c r="G96" s="33">
        <v>39500.0</v>
      </c>
      <c r="H96" s="27">
        <f t="shared" ref="H96:H103" si="16">F96*G96</f>
        <v>395000</v>
      </c>
      <c r="I96" s="27"/>
      <c r="J96" s="2"/>
      <c r="K96" s="2"/>
    </row>
    <row r="97">
      <c r="A97" s="2"/>
      <c r="B97" s="2"/>
      <c r="C97" s="2"/>
      <c r="D97" s="22" t="s">
        <v>837</v>
      </c>
      <c r="E97" s="22" t="s">
        <v>186</v>
      </c>
      <c r="F97" s="22">
        <v>5.0</v>
      </c>
      <c r="G97" s="33">
        <v>270000.0</v>
      </c>
      <c r="H97" s="27">
        <f t="shared" si="16"/>
        <v>1350000</v>
      </c>
      <c r="I97" s="27"/>
      <c r="J97" s="2"/>
      <c r="K97" s="2"/>
    </row>
    <row r="98">
      <c r="A98" s="2"/>
      <c r="B98" s="2"/>
      <c r="C98" s="22"/>
      <c r="D98" s="22" t="s">
        <v>838</v>
      </c>
      <c r="E98" s="22" t="s">
        <v>50</v>
      </c>
      <c r="F98" s="22">
        <v>24.0</v>
      </c>
      <c r="G98" s="33">
        <v>2000.0</v>
      </c>
      <c r="H98" s="27">
        <f t="shared" si="16"/>
        <v>48000</v>
      </c>
      <c r="I98" s="41">
        <f>SUM(H96:H98)</f>
        <v>1793000</v>
      </c>
      <c r="J98" s="2"/>
      <c r="K98" s="2"/>
    </row>
    <row r="99">
      <c r="A99" s="2"/>
      <c r="B99" s="2"/>
      <c r="C99" s="22" t="s">
        <v>795</v>
      </c>
      <c r="D99" s="22" t="s">
        <v>839</v>
      </c>
      <c r="E99" s="22" t="s">
        <v>186</v>
      </c>
      <c r="F99" s="22">
        <v>1.0</v>
      </c>
      <c r="G99" s="33">
        <v>305000.0</v>
      </c>
      <c r="H99" s="27">
        <f t="shared" si="16"/>
        <v>305000</v>
      </c>
      <c r="I99" s="27"/>
      <c r="J99" s="2"/>
      <c r="K99" s="2"/>
    </row>
    <row r="100">
      <c r="A100" s="2"/>
      <c r="B100" s="2"/>
      <c r="C100" s="2"/>
      <c r="D100" s="22" t="s">
        <v>839</v>
      </c>
      <c r="E100" s="22" t="s">
        <v>282</v>
      </c>
      <c r="F100" s="22">
        <v>12.0</v>
      </c>
      <c r="G100" s="33">
        <v>9000.0</v>
      </c>
      <c r="H100" s="27">
        <f t="shared" si="16"/>
        <v>108000</v>
      </c>
      <c r="I100" s="41">
        <f>SUM(H99:H100)</f>
        <v>413000</v>
      </c>
      <c r="J100" s="2"/>
      <c r="K100" s="2"/>
    </row>
    <row r="101">
      <c r="A101" s="2"/>
      <c r="B101" s="2"/>
      <c r="C101" s="22" t="s">
        <v>840</v>
      </c>
      <c r="D101" s="22" t="s">
        <v>841</v>
      </c>
      <c r="E101" s="22" t="s">
        <v>16</v>
      </c>
      <c r="F101" s="22">
        <v>5.0</v>
      </c>
      <c r="G101" s="33">
        <v>10000.0</v>
      </c>
      <c r="H101" s="27">
        <f t="shared" si="16"/>
        <v>50000</v>
      </c>
      <c r="J101" s="2"/>
      <c r="K101" s="2"/>
    </row>
    <row r="102">
      <c r="A102" s="2"/>
      <c r="B102" s="2"/>
      <c r="C102" s="2"/>
      <c r="D102" s="22" t="s">
        <v>842</v>
      </c>
      <c r="E102" s="22" t="s">
        <v>50</v>
      </c>
      <c r="F102" s="22">
        <v>5.0</v>
      </c>
      <c r="G102" s="33">
        <v>42000.0</v>
      </c>
      <c r="H102" s="27">
        <f t="shared" si="16"/>
        <v>210000</v>
      </c>
      <c r="I102" s="54">
        <f>SUM(H101:H102)</f>
        <v>260000</v>
      </c>
      <c r="J102" s="2"/>
      <c r="K102" s="2"/>
    </row>
    <row r="103">
      <c r="A103" s="2"/>
      <c r="B103" s="2"/>
      <c r="C103" s="2"/>
      <c r="D103" s="22" t="s">
        <v>12</v>
      </c>
      <c r="E103" s="2"/>
      <c r="F103" s="22">
        <v>3.0</v>
      </c>
      <c r="G103" s="33">
        <v>2500.0</v>
      </c>
      <c r="H103" s="27">
        <f t="shared" si="16"/>
        <v>7500</v>
      </c>
      <c r="I103" s="27"/>
      <c r="J103" s="27">
        <f>H103</f>
        <v>7500</v>
      </c>
      <c r="K103" s="2"/>
    </row>
    <row r="104">
      <c r="A104" s="46" t="s">
        <v>299</v>
      </c>
      <c r="B104" s="47"/>
      <c r="C104" s="47"/>
      <c r="D104" s="47"/>
      <c r="E104" s="47"/>
      <c r="F104" s="48"/>
      <c r="G104" s="49"/>
      <c r="H104" s="50" t="s">
        <v>11</v>
      </c>
      <c r="I104" s="51">
        <f t="shared" ref="I104:J104" si="17">sum(I105:I109)</f>
        <v>1150000</v>
      </c>
      <c r="J104" s="51">
        <f t="shared" si="17"/>
        <v>7500</v>
      </c>
      <c r="K104" s="2"/>
    </row>
    <row r="105">
      <c r="A105" s="2"/>
      <c r="B105" s="2"/>
      <c r="C105" s="22" t="s">
        <v>812</v>
      </c>
      <c r="D105" s="22" t="s">
        <v>843</v>
      </c>
      <c r="E105" s="22" t="s">
        <v>50</v>
      </c>
      <c r="F105" s="22">
        <v>2.0</v>
      </c>
      <c r="G105" s="33">
        <v>35000.0</v>
      </c>
      <c r="H105" s="27">
        <f t="shared" ref="H105:H109" si="18">F105*G105</f>
        <v>70000</v>
      </c>
      <c r="I105" s="27"/>
      <c r="J105" s="2"/>
      <c r="K105" s="2"/>
    </row>
    <row r="106">
      <c r="A106" s="2"/>
      <c r="B106" s="2"/>
      <c r="C106" s="2"/>
      <c r="D106" s="22" t="s">
        <v>844</v>
      </c>
      <c r="E106" s="22" t="s">
        <v>50</v>
      </c>
      <c r="F106" s="22">
        <v>2.0</v>
      </c>
      <c r="G106" s="33">
        <v>60000.0</v>
      </c>
      <c r="H106" s="27">
        <f t="shared" si="18"/>
        <v>120000</v>
      </c>
      <c r="I106" s="41">
        <f>SUM(H105:H106)</f>
        <v>190000</v>
      </c>
      <c r="J106" s="2"/>
      <c r="K106" s="2"/>
    </row>
    <row r="107">
      <c r="A107" s="2"/>
      <c r="B107" s="2"/>
      <c r="C107" s="22" t="s">
        <v>845</v>
      </c>
      <c r="D107" s="22" t="s">
        <v>846</v>
      </c>
      <c r="E107" s="22" t="s">
        <v>50</v>
      </c>
      <c r="F107" s="22">
        <v>10.0</v>
      </c>
      <c r="G107" s="33">
        <v>85000.0</v>
      </c>
      <c r="H107" s="27">
        <f t="shared" si="18"/>
        <v>850000</v>
      </c>
      <c r="I107" s="41">
        <f t="shared" ref="I107:I108" si="19">H107</f>
        <v>850000</v>
      </c>
      <c r="J107" s="2"/>
      <c r="K107" s="2"/>
    </row>
    <row r="108">
      <c r="A108" s="2"/>
      <c r="B108" s="2"/>
      <c r="C108" s="22" t="s">
        <v>847</v>
      </c>
      <c r="D108" s="22" t="s">
        <v>848</v>
      </c>
      <c r="E108" s="22" t="s">
        <v>90</v>
      </c>
      <c r="F108" s="22">
        <v>2.0</v>
      </c>
      <c r="G108" s="33">
        <v>55000.0</v>
      </c>
      <c r="H108" s="27">
        <f t="shared" si="18"/>
        <v>110000</v>
      </c>
      <c r="I108" s="41">
        <f t="shared" si="19"/>
        <v>110000</v>
      </c>
      <c r="J108" s="2"/>
      <c r="K108" s="2"/>
    </row>
    <row r="109">
      <c r="A109" s="2"/>
      <c r="B109" s="2"/>
      <c r="C109" s="2"/>
      <c r="D109" s="22" t="s">
        <v>12</v>
      </c>
      <c r="E109" s="2"/>
      <c r="F109" s="22">
        <v>3.0</v>
      </c>
      <c r="G109" s="33">
        <v>2500.0</v>
      </c>
      <c r="H109" s="27">
        <f t="shared" si="18"/>
        <v>7500</v>
      </c>
      <c r="I109" s="27"/>
      <c r="J109" s="27">
        <f>H109</f>
        <v>7500</v>
      </c>
      <c r="K109" s="2"/>
    </row>
    <row r="110">
      <c r="A110" s="46" t="s">
        <v>340</v>
      </c>
      <c r="B110" s="47"/>
      <c r="C110" s="47"/>
      <c r="D110" s="47"/>
      <c r="E110" s="47"/>
      <c r="F110" s="48"/>
      <c r="G110" s="49"/>
      <c r="H110" s="50" t="s">
        <v>11</v>
      </c>
      <c r="I110" s="51">
        <f t="shared" ref="I110:J110" si="20">SUM(I111:I152)</f>
        <v>33543330</v>
      </c>
      <c r="J110" s="51">
        <f t="shared" si="20"/>
        <v>10000</v>
      </c>
      <c r="K110" s="2"/>
    </row>
    <row r="111">
      <c r="A111" s="2"/>
      <c r="B111" s="2"/>
      <c r="C111" s="22" t="s">
        <v>795</v>
      </c>
      <c r="D111" s="22" t="s">
        <v>849</v>
      </c>
      <c r="E111" s="22" t="s">
        <v>186</v>
      </c>
      <c r="F111" s="22">
        <v>2.0</v>
      </c>
      <c r="G111" s="33">
        <v>505000.0</v>
      </c>
      <c r="H111" s="27">
        <f t="shared" ref="H111:H152" si="21">F111*G111</f>
        <v>1010000</v>
      </c>
      <c r="I111" s="27"/>
      <c r="J111" s="2"/>
      <c r="K111" s="2"/>
    </row>
    <row r="112">
      <c r="A112" s="2"/>
      <c r="B112" s="2"/>
      <c r="C112" s="2"/>
      <c r="D112" s="22" t="s">
        <v>850</v>
      </c>
      <c r="E112" s="22" t="s">
        <v>282</v>
      </c>
      <c r="F112" s="22">
        <v>2.0</v>
      </c>
      <c r="G112" s="33">
        <v>26500.0</v>
      </c>
      <c r="H112" s="27">
        <f t="shared" si="21"/>
        <v>53000</v>
      </c>
      <c r="I112" s="41">
        <f>SUM(H111:H112)</f>
        <v>1063000</v>
      </c>
      <c r="J112" s="2"/>
      <c r="K112" s="2"/>
    </row>
    <row r="113">
      <c r="A113" s="2"/>
      <c r="B113" s="2"/>
      <c r="C113" s="39" t="s">
        <v>189</v>
      </c>
      <c r="D113" s="39" t="s">
        <v>851</v>
      </c>
      <c r="E113" s="39" t="s">
        <v>779</v>
      </c>
      <c r="F113" s="39">
        <v>2.0</v>
      </c>
      <c r="G113" s="38">
        <v>1125000.0</v>
      </c>
      <c r="H113" s="27">
        <f t="shared" si="21"/>
        <v>2250000</v>
      </c>
      <c r="I113" s="27"/>
      <c r="J113" s="2"/>
      <c r="K113" s="2"/>
    </row>
    <row r="114">
      <c r="A114" s="2"/>
      <c r="B114" s="2"/>
      <c r="D114" s="39" t="s">
        <v>852</v>
      </c>
      <c r="E114" s="39" t="s">
        <v>779</v>
      </c>
      <c r="F114" s="39">
        <v>1.0</v>
      </c>
      <c r="G114" s="38">
        <v>1125000.0</v>
      </c>
      <c r="H114" s="27">
        <f t="shared" si="21"/>
        <v>1125000</v>
      </c>
      <c r="I114" s="27"/>
      <c r="J114" s="2"/>
      <c r="K114" s="2"/>
    </row>
    <row r="115">
      <c r="A115" s="2"/>
      <c r="B115" s="2"/>
      <c r="D115" s="39" t="s">
        <v>853</v>
      </c>
      <c r="E115" s="39" t="s">
        <v>779</v>
      </c>
      <c r="F115" s="39">
        <v>1.0</v>
      </c>
      <c r="G115" s="38">
        <v>1125000.0</v>
      </c>
      <c r="H115" s="27">
        <f t="shared" si="21"/>
        <v>1125000</v>
      </c>
      <c r="I115" s="27"/>
      <c r="J115" s="2"/>
      <c r="K115" s="2"/>
    </row>
    <row r="116">
      <c r="A116" s="2"/>
      <c r="B116" s="2"/>
      <c r="D116" s="39" t="s">
        <v>854</v>
      </c>
      <c r="E116" s="39" t="s">
        <v>779</v>
      </c>
      <c r="F116" s="39">
        <v>1.0</v>
      </c>
      <c r="G116" s="38">
        <v>1125000.0</v>
      </c>
      <c r="H116" s="27">
        <f t="shared" si="21"/>
        <v>1125000</v>
      </c>
      <c r="I116" s="27"/>
      <c r="J116" s="2"/>
      <c r="K116" s="2"/>
    </row>
    <row r="117">
      <c r="A117" s="2"/>
      <c r="B117" s="2"/>
      <c r="D117" s="39" t="s">
        <v>855</v>
      </c>
      <c r="E117" s="39" t="s">
        <v>779</v>
      </c>
      <c r="F117" s="39">
        <v>2.0</v>
      </c>
      <c r="G117" s="38">
        <v>255000.0</v>
      </c>
      <c r="H117" s="27">
        <f t="shared" si="21"/>
        <v>510000</v>
      </c>
      <c r="I117" s="27"/>
      <c r="J117" s="2"/>
      <c r="K117" s="2"/>
    </row>
    <row r="118">
      <c r="A118" s="2"/>
      <c r="B118" s="2"/>
      <c r="D118" s="39" t="s">
        <v>856</v>
      </c>
      <c r="E118" s="39" t="s">
        <v>779</v>
      </c>
      <c r="F118" s="39">
        <v>1.0</v>
      </c>
      <c r="G118" s="38">
        <v>1125000.0</v>
      </c>
      <c r="H118" s="27">
        <f t="shared" si="21"/>
        <v>1125000</v>
      </c>
      <c r="I118" s="27"/>
      <c r="J118" s="2"/>
      <c r="K118" s="2"/>
    </row>
    <row r="119">
      <c r="A119" s="2"/>
      <c r="B119" s="2"/>
      <c r="D119" s="39" t="s">
        <v>857</v>
      </c>
      <c r="E119" s="39" t="s">
        <v>779</v>
      </c>
      <c r="F119" s="39">
        <v>2.0</v>
      </c>
      <c r="G119" s="38">
        <v>255000.0</v>
      </c>
      <c r="H119" s="27">
        <f t="shared" si="21"/>
        <v>510000</v>
      </c>
      <c r="I119" s="27"/>
      <c r="J119" s="2"/>
      <c r="K119" s="2"/>
    </row>
    <row r="120">
      <c r="A120" s="2"/>
      <c r="B120" s="2"/>
      <c r="D120" s="39" t="s">
        <v>858</v>
      </c>
      <c r="E120" s="39" t="s">
        <v>779</v>
      </c>
      <c r="F120" s="39">
        <v>1.0</v>
      </c>
      <c r="G120" s="38">
        <v>1125000.0</v>
      </c>
      <c r="H120" s="27">
        <f t="shared" si="21"/>
        <v>1125000</v>
      </c>
      <c r="I120" s="27"/>
      <c r="J120" s="2"/>
      <c r="K120" s="2"/>
    </row>
    <row r="121">
      <c r="A121" s="2"/>
      <c r="B121" s="2"/>
      <c r="D121" s="39" t="s">
        <v>859</v>
      </c>
      <c r="E121" s="39" t="s">
        <v>779</v>
      </c>
      <c r="F121" s="39">
        <v>1.0</v>
      </c>
      <c r="G121" s="38">
        <v>255000.0</v>
      </c>
      <c r="H121" s="27">
        <f t="shared" si="21"/>
        <v>255000</v>
      </c>
      <c r="I121" s="41">
        <f>SUM(H113:H121)</f>
        <v>9150000</v>
      </c>
      <c r="J121" s="2"/>
      <c r="K121" s="2"/>
    </row>
    <row r="122">
      <c r="A122" s="2"/>
      <c r="B122" s="2"/>
      <c r="C122" s="22" t="s">
        <v>860</v>
      </c>
      <c r="D122" s="22" t="s">
        <v>861</v>
      </c>
      <c r="E122" s="22" t="s">
        <v>54</v>
      </c>
      <c r="F122" s="22">
        <v>60.0</v>
      </c>
      <c r="G122" s="33">
        <v>65000.0</v>
      </c>
      <c r="H122" s="27">
        <f t="shared" si="21"/>
        <v>3900000</v>
      </c>
      <c r="I122" s="41">
        <f>H122</f>
        <v>3900000</v>
      </c>
      <c r="J122" s="2"/>
      <c r="K122" s="2"/>
    </row>
    <row r="123">
      <c r="A123" s="2"/>
      <c r="B123" s="2"/>
      <c r="C123" s="31" t="s">
        <v>862</v>
      </c>
      <c r="D123" s="22" t="s">
        <v>863</v>
      </c>
      <c r="E123" s="32" t="s">
        <v>472</v>
      </c>
      <c r="F123" s="32">
        <v>50.0</v>
      </c>
      <c r="G123" s="35">
        <v>19200.0</v>
      </c>
      <c r="H123" s="36">
        <f t="shared" si="21"/>
        <v>960000</v>
      </c>
      <c r="I123" s="27"/>
      <c r="J123" s="2"/>
      <c r="K123" s="2"/>
    </row>
    <row r="124">
      <c r="A124" s="2"/>
      <c r="B124" s="2"/>
      <c r="C124" s="34"/>
      <c r="D124" s="22" t="s">
        <v>864</v>
      </c>
      <c r="E124" s="32" t="s">
        <v>472</v>
      </c>
      <c r="F124" s="32">
        <v>60.0</v>
      </c>
      <c r="G124" s="35">
        <v>19200.0</v>
      </c>
      <c r="H124" s="36">
        <f t="shared" si="21"/>
        <v>1152000</v>
      </c>
      <c r="I124" s="27"/>
      <c r="J124" s="2"/>
      <c r="K124" s="2"/>
    </row>
    <row r="125">
      <c r="A125" s="2"/>
      <c r="B125" s="2"/>
      <c r="C125" s="34"/>
      <c r="D125" s="22" t="s">
        <v>864</v>
      </c>
      <c r="E125" s="32" t="s">
        <v>472</v>
      </c>
      <c r="F125" s="32">
        <v>31.0</v>
      </c>
      <c r="G125" s="35">
        <v>19200.0</v>
      </c>
      <c r="H125" s="36">
        <f t="shared" si="21"/>
        <v>595200</v>
      </c>
      <c r="I125" s="27"/>
      <c r="J125" s="2"/>
      <c r="K125" s="2"/>
    </row>
    <row r="126">
      <c r="A126" s="2"/>
      <c r="B126" s="2"/>
      <c r="C126" s="34"/>
      <c r="D126" s="22" t="s">
        <v>865</v>
      </c>
      <c r="E126" s="32" t="s">
        <v>472</v>
      </c>
      <c r="F126" s="32">
        <v>35.0</v>
      </c>
      <c r="G126" s="35">
        <v>19200.0</v>
      </c>
      <c r="H126" s="36">
        <f t="shared" si="21"/>
        <v>672000</v>
      </c>
      <c r="I126" s="27"/>
      <c r="J126" s="2"/>
      <c r="K126" s="2"/>
    </row>
    <row r="127">
      <c r="A127" s="2"/>
      <c r="B127" s="2"/>
      <c r="C127" s="34"/>
      <c r="D127" s="22" t="s">
        <v>865</v>
      </c>
      <c r="E127" s="32" t="s">
        <v>472</v>
      </c>
      <c r="F127" s="32">
        <v>20.0</v>
      </c>
      <c r="G127" s="35">
        <v>19200.0</v>
      </c>
      <c r="H127" s="36">
        <f t="shared" si="21"/>
        <v>384000</v>
      </c>
      <c r="I127" s="27"/>
      <c r="J127" s="2"/>
      <c r="K127" s="2"/>
    </row>
    <row r="128">
      <c r="A128" s="2"/>
      <c r="B128" s="2"/>
      <c r="C128" s="34"/>
      <c r="D128" s="22" t="s">
        <v>866</v>
      </c>
      <c r="E128" s="32" t="s">
        <v>472</v>
      </c>
      <c r="F128" s="32">
        <v>18.0</v>
      </c>
      <c r="G128" s="35">
        <v>19200.0</v>
      </c>
      <c r="H128" s="36">
        <f t="shared" si="21"/>
        <v>345600</v>
      </c>
      <c r="I128" s="27"/>
      <c r="J128" s="2"/>
      <c r="K128" s="2"/>
    </row>
    <row r="129">
      <c r="A129" s="2"/>
      <c r="B129" s="2"/>
      <c r="C129" s="34"/>
      <c r="D129" s="22" t="s">
        <v>867</v>
      </c>
      <c r="E129" s="32" t="s">
        <v>472</v>
      </c>
      <c r="F129" s="32">
        <v>50.0</v>
      </c>
      <c r="G129" s="35">
        <v>19200.0</v>
      </c>
      <c r="H129" s="36">
        <f t="shared" si="21"/>
        <v>960000</v>
      </c>
      <c r="I129" s="27"/>
      <c r="J129" s="2"/>
      <c r="K129" s="2"/>
    </row>
    <row r="130">
      <c r="A130" s="2"/>
      <c r="B130" s="2"/>
      <c r="C130" s="34"/>
      <c r="D130" s="22" t="s">
        <v>867</v>
      </c>
      <c r="E130" s="32" t="s">
        <v>472</v>
      </c>
      <c r="F130" s="32">
        <v>75.0</v>
      </c>
      <c r="G130" s="35">
        <v>19200.0</v>
      </c>
      <c r="H130" s="36">
        <f t="shared" si="21"/>
        <v>1440000</v>
      </c>
      <c r="I130" s="27"/>
      <c r="J130" s="2"/>
      <c r="K130" s="2"/>
    </row>
    <row r="131">
      <c r="A131" s="2"/>
      <c r="B131" s="2"/>
      <c r="C131" s="34"/>
      <c r="D131" s="22" t="s">
        <v>868</v>
      </c>
      <c r="E131" s="32" t="s">
        <v>472</v>
      </c>
      <c r="F131" s="32">
        <v>35.0</v>
      </c>
      <c r="G131" s="35">
        <v>19198.0</v>
      </c>
      <c r="H131" s="36">
        <f t="shared" si="21"/>
        <v>671930</v>
      </c>
      <c r="I131" s="27"/>
      <c r="J131" s="2"/>
      <c r="K131" s="2"/>
    </row>
    <row r="132">
      <c r="A132" s="2"/>
      <c r="B132" s="2"/>
      <c r="C132" s="34"/>
      <c r="D132" s="22" t="s">
        <v>869</v>
      </c>
      <c r="E132" s="32" t="s">
        <v>472</v>
      </c>
      <c r="F132" s="32">
        <v>17.0</v>
      </c>
      <c r="G132" s="35">
        <v>19200.0</v>
      </c>
      <c r="H132" s="36">
        <f t="shared" si="21"/>
        <v>326400</v>
      </c>
      <c r="I132" s="27"/>
      <c r="J132" s="2"/>
      <c r="K132" s="2"/>
    </row>
    <row r="133">
      <c r="A133" s="2"/>
      <c r="B133" s="2"/>
      <c r="C133" s="34"/>
      <c r="D133" s="22" t="s">
        <v>870</v>
      </c>
      <c r="E133" s="32" t="s">
        <v>472</v>
      </c>
      <c r="F133" s="32">
        <v>50.0</v>
      </c>
      <c r="G133" s="35">
        <v>19200.0</v>
      </c>
      <c r="H133" s="36">
        <f t="shared" si="21"/>
        <v>960000</v>
      </c>
      <c r="I133" s="27"/>
      <c r="J133" s="2"/>
      <c r="K133" s="2"/>
    </row>
    <row r="134">
      <c r="A134" s="2"/>
      <c r="B134" s="2"/>
      <c r="C134" s="34"/>
      <c r="D134" s="22" t="s">
        <v>870</v>
      </c>
      <c r="E134" s="32" t="s">
        <v>472</v>
      </c>
      <c r="F134" s="32">
        <v>20.0</v>
      </c>
      <c r="G134" s="35">
        <v>19200.0</v>
      </c>
      <c r="H134" s="36">
        <f t="shared" si="21"/>
        <v>384000</v>
      </c>
      <c r="I134" s="27"/>
      <c r="J134" s="2"/>
      <c r="K134" s="2"/>
    </row>
    <row r="135">
      <c r="A135" s="2"/>
      <c r="B135" s="2"/>
      <c r="C135" s="34"/>
      <c r="D135" s="22" t="s">
        <v>871</v>
      </c>
      <c r="E135" s="32" t="s">
        <v>472</v>
      </c>
      <c r="F135" s="32">
        <v>30.0</v>
      </c>
      <c r="G135" s="35">
        <v>19200.0</v>
      </c>
      <c r="H135" s="36">
        <f t="shared" si="21"/>
        <v>576000</v>
      </c>
      <c r="I135" s="27"/>
      <c r="J135" s="2"/>
      <c r="K135" s="2"/>
    </row>
    <row r="136">
      <c r="A136" s="2"/>
      <c r="B136" s="2"/>
      <c r="C136" s="34"/>
      <c r="D136" s="22" t="s">
        <v>872</v>
      </c>
      <c r="E136" s="32" t="s">
        <v>472</v>
      </c>
      <c r="F136" s="32">
        <v>26.0</v>
      </c>
      <c r="G136" s="35">
        <v>19200.0</v>
      </c>
      <c r="H136" s="36">
        <f t="shared" si="21"/>
        <v>499200</v>
      </c>
      <c r="I136" s="27"/>
      <c r="J136" s="2"/>
      <c r="K136" s="2"/>
    </row>
    <row r="137">
      <c r="A137" s="2"/>
      <c r="B137" s="2"/>
      <c r="C137" s="34"/>
      <c r="D137" s="22" t="s">
        <v>872</v>
      </c>
      <c r="E137" s="32" t="s">
        <v>472</v>
      </c>
      <c r="F137" s="32">
        <v>30.0</v>
      </c>
      <c r="G137" s="35">
        <v>19200.0</v>
      </c>
      <c r="H137" s="36">
        <f t="shared" si="21"/>
        <v>576000</v>
      </c>
      <c r="I137" s="27"/>
      <c r="J137" s="2"/>
      <c r="K137" s="2"/>
    </row>
    <row r="138">
      <c r="A138" s="2"/>
      <c r="B138" s="2"/>
      <c r="C138" s="34"/>
      <c r="D138" s="22" t="s">
        <v>873</v>
      </c>
      <c r="E138" s="32" t="s">
        <v>472</v>
      </c>
      <c r="F138" s="32">
        <v>4.0</v>
      </c>
      <c r="G138" s="35">
        <v>19200.0</v>
      </c>
      <c r="H138" s="36">
        <f t="shared" si="21"/>
        <v>76800</v>
      </c>
      <c r="I138" s="27"/>
      <c r="J138" s="2"/>
      <c r="K138" s="2"/>
    </row>
    <row r="139">
      <c r="A139" s="2"/>
      <c r="B139" s="2"/>
      <c r="C139" s="34"/>
      <c r="D139" s="22" t="s">
        <v>873</v>
      </c>
      <c r="E139" s="32" t="s">
        <v>472</v>
      </c>
      <c r="F139" s="32">
        <v>25.0</v>
      </c>
      <c r="G139" s="35">
        <v>19200.0</v>
      </c>
      <c r="H139" s="36">
        <f t="shared" si="21"/>
        <v>480000</v>
      </c>
      <c r="I139" s="27"/>
      <c r="J139" s="2"/>
      <c r="K139" s="2"/>
    </row>
    <row r="140">
      <c r="A140" s="2"/>
      <c r="B140" s="2"/>
      <c r="C140" s="34"/>
      <c r="D140" s="22" t="s">
        <v>873</v>
      </c>
      <c r="E140" s="32" t="s">
        <v>472</v>
      </c>
      <c r="F140" s="32">
        <v>50.0</v>
      </c>
      <c r="G140" s="35">
        <v>19200.0</v>
      </c>
      <c r="H140" s="36">
        <f t="shared" si="21"/>
        <v>960000</v>
      </c>
      <c r="I140" s="27"/>
      <c r="J140" s="2"/>
      <c r="K140" s="2"/>
    </row>
    <row r="141">
      <c r="A141" s="2"/>
      <c r="B141" s="2"/>
      <c r="C141" s="34"/>
      <c r="D141" s="22" t="s">
        <v>873</v>
      </c>
      <c r="E141" s="32" t="s">
        <v>472</v>
      </c>
      <c r="F141" s="32">
        <v>20.0</v>
      </c>
      <c r="G141" s="35">
        <v>19200.0</v>
      </c>
      <c r="H141" s="36">
        <f t="shared" si="21"/>
        <v>384000</v>
      </c>
      <c r="I141" s="27"/>
      <c r="J141" s="2"/>
      <c r="K141" s="2"/>
    </row>
    <row r="142">
      <c r="A142" s="2"/>
      <c r="B142" s="2"/>
      <c r="C142" s="34"/>
      <c r="D142" s="22" t="s">
        <v>873</v>
      </c>
      <c r="E142" s="32" t="s">
        <v>472</v>
      </c>
      <c r="F142" s="32">
        <v>70.0</v>
      </c>
      <c r="G142" s="35">
        <v>19200.0</v>
      </c>
      <c r="H142" s="36">
        <f t="shared" si="21"/>
        <v>1344000</v>
      </c>
      <c r="I142" s="27"/>
      <c r="J142" s="2"/>
      <c r="K142" s="2"/>
    </row>
    <row r="143">
      <c r="A143" s="2"/>
      <c r="B143" s="2"/>
      <c r="C143" s="34"/>
      <c r="D143" s="22" t="s">
        <v>874</v>
      </c>
      <c r="E143" s="32" t="s">
        <v>472</v>
      </c>
      <c r="F143" s="32">
        <v>25.0</v>
      </c>
      <c r="G143" s="35">
        <v>19200.0</v>
      </c>
      <c r="H143" s="36">
        <f t="shared" si="21"/>
        <v>480000</v>
      </c>
      <c r="I143" s="27"/>
      <c r="J143" s="2"/>
      <c r="K143" s="2"/>
    </row>
    <row r="144">
      <c r="A144" s="2"/>
      <c r="B144" s="2"/>
      <c r="C144" s="34"/>
      <c r="D144" s="22" t="s">
        <v>875</v>
      </c>
      <c r="E144" s="32" t="s">
        <v>472</v>
      </c>
      <c r="F144" s="32">
        <v>20.0</v>
      </c>
      <c r="G144" s="35">
        <v>19200.0</v>
      </c>
      <c r="H144" s="36">
        <f t="shared" si="21"/>
        <v>384000</v>
      </c>
      <c r="I144" s="27"/>
      <c r="J144" s="2"/>
      <c r="K144" s="2"/>
    </row>
    <row r="145">
      <c r="A145" s="2"/>
      <c r="B145" s="2"/>
      <c r="C145" s="34"/>
      <c r="D145" s="22" t="s">
        <v>876</v>
      </c>
      <c r="E145" s="32" t="s">
        <v>472</v>
      </c>
      <c r="F145" s="32">
        <v>38.0</v>
      </c>
      <c r="G145" s="35">
        <v>19200.0</v>
      </c>
      <c r="H145" s="36">
        <f t="shared" si="21"/>
        <v>729600</v>
      </c>
      <c r="I145" s="27"/>
      <c r="J145" s="2"/>
      <c r="K145" s="2"/>
    </row>
    <row r="146">
      <c r="A146" s="2"/>
      <c r="B146" s="2"/>
      <c r="C146" s="34"/>
      <c r="D146" s="22" t="s">
        <v>876</v>
      </c>
      <c r="E146" s="32" t="s">
        <v>472</v>
      </c>
      <c r="F146" s="32">
        <v>25.0</v>
      </c>
      <c r="G146" s="35">
        <v>19200.0</v>
      </c>
      <c r="H146" s="36">
        <f t="shared" si="21"/>
        <v>480000</v>
      </c>
      <c r="I146" s="27"/>
      <c r="J146" s="2"/>
      <c r="K146" s="2"/>
    </row>
    <row r="147">
      <c r="A147" s="2"/>
      <c r="B147" s="2"/>
      <c r="C147" s="34"/>
      <c r="D147" s="22" t="s">
        <v>876</v>
      </c>
      <c r="E147" s="32" t="s">
        <v>472</v>
      </c>
      <c r="F147" s="32">
        <v>45.0</v>
      </c>
      <c r="G147" s="35">
        <v>19200.0</v>
      </c>
      <c r="H147" s="36">
        <f t="shared" si="21"/>
        <v>864000</v>
      </c>
      <c r="I147" s="27"/>
      <c r="J147" s="2"/>
      <c r="K147" s="2"/>
    </row>
    <row r="148">
      <c r="A148" s="2"/>
      <c r="B148" s="2"/>
      <c r="C148" s="34"/>
      <c r="D148" s="22" t="s">
        <v>876</v>
      </c>
      <c r="E148" s="32" t="s">
        <v>472</v>
      </c>
      <c r="F148" s="32">
        <v>50.0</v>
      </c>
      <c r="G148" s="35">
        <v>19200.0</v>
      </c>
      <c r="H148" s="36">
        <f t="shared" si="21"/>
        <v>960000</v>
      </c>
      <c r="I148" s="27"/>
      <c r="J148" s="2"/>
      <c r="K148" s="2"/>
    </row>
    <row r="149">
      <c r="A149" s="2"/>
      <c r="B149" s="2"/>
      <c r="C149" s="34"/>
      <c r="D149" s="22" t="s">
        <v>877</v>
      </c>
      <c r="E149" s="32" t="s">
        <v>472</v>
      </c>
      <c r="F149" s="32">
        <v>60.0</v>
      </c>
      <c r="G149" s="35">
        <v>19200.0</v>
      </c>
      <c r="H149" s="36">
        <f t="shared" si="21"/>
        <v>1152000</v>
      </c>
      <c r="I149" s="27"/>
      <c r="J149" s="2"/>
      <c r="K149" s="2"/>
    </row>
    <row r="150">
      <c r="A150" s="2"/>
      <c r="B150" s="2"/>
      <c r="C150" s="34"/>
      <c r="D150" s="22" t="s">
        <v>877</v>
      </c>
      <c r="E150" s="32" t="s">
        <v>472</v>
      </c>
      <c r="F150" s="32">
        <v>25.0</v>
      </c>
      <c r="G150" s="35">
        <v>19200.0</v>
      </c>
      <c r="H150" s="36">
        <f t="shared" si="21"/>
        <v>480000</v>
      </c>
      <c r="J150" s="2"/>
      <c r="K150" s="2"/>
    </row>
    <row r="151">
      <c r="A151" s="2"/>
      <c r="B151" s="2"/>
      <c r="C151" s="34"/>
      <c r="D151" s="22" t="s">
        <v>878</v>
      </c>
      <c r="E151" s="32" t="s">
        <v>472</v>
      </c>
      <c r="F151" s="32">
        <v>8.0</v>
      </c>
      <c r="G151" s="35">
        <v>19200.0</v>
      </c>
      <c r="H151" s="36">
        <f t="shared" si="21"/>
        <v>153600</v>
      </c>
      <c r="I151" s="41">
        <f>SUM(H123:H151)</f>
        <v>19430330</v>
      </c>
      <c r="J151" s="22" t="s">
        <v>17</v>
      </c>
      <c r="K151" s="2"/>
    </row>
    <row r="152">
      <c r="A152" s="2"/>
      <c r="B152" s="2"/>
      <c r="C152" s="2"/>
      <c r="D152" s="22" t="s">
        <v>12</v>
      </c>
      <c r="E152" s="2"/>
      <c r="F152" s="22">
        <v>4.0</v>
      </c>
      <c r="G152" s="33">
        <v>2500.0</v>
      </c>
      <c r="H152" s="27">
        <f t="shared" si="21"/>
        <v>10000</v>
      </c>
      <c r="I152" s="27"/>
      <c r="J152" s="27">
        <f>H152</f>
        <v>10000</v>
      </c>
      <c r="K152" s="2"/>
    </row>
    <row r="153">
      <c r="A153" s="46" t="s">
        <v>879</v>
      </c>
      <c r="B153" s="47"/>
      <c r="C153" s="47"/>
      <c r="D153" s="47"/>
      <c r="E153" s="47"/>
      <c r="F153" s="48"/>
      <c r="G153" s="49"/>
      <c r="H153" s="50" t="s">
        <v>11</v>
      </c>
      <c r="I153" s="51">
        <f t="shared" ref="I153:J153" si="22">SUM(I154:I163)</f>
        <v>9572500</v>
      </c>
      <c r="J153" s="51">
        <f t="shared" si="22"/>
        <v>5000</v>
      </c>
      <c r="K153" s="2"/>
    </row>
    <row r="154">
      <c r="A154" s="2"/>
      <c r="B154" s="2"/>
      <c r="C154" s="22" t="s">
        <v>801</v>
      </c>
      <c r="D154" s="22" t="s">
        <v>880</v>
      </c>
      <c r="E154" s="22" t="s">
        <v>90</v>
      </c>
      <c r="F154" s="22">
        <v>10.0</v>
      </c>
      <c r="G154" s="33">
        <v>13000.0</v>
      </c>
      <c r="H154" s="27">
        <f t="shared" ref="H154:H163" si="23">F154*G154</f>
        <v>130000</v>
      </c>
      <c r="I154" s="27"/>
      <c r="J154" s="2"/>
      <c r="K154" s="2"/>
    </row>
    <row r="155">
      <c r="A155" s="2"/>
      <c r="B155" s="2"/>
      <c r="C155" s="2"/>
      <c r="D155" s="22" t="s">
        <v>881</v>
      </c>
      <c r="E155" s="22" t="s">
        <v>90</v>
      </c>
      <c r="F155" s="22">
        <v>5.0</v>
      </c>
      <c r="G155" s="33">
        <v>8500.0</v>
      </c>
      <c r="H155" s="27">
        <f t="shared" si="23"/>
        <v>42500</v>
      </c>
      <c r="I155" s="27"/>
      <c r="J155" s="2"/>
      <c r="K155" s="2"/>
    </row>
    <row r="156">
      <c r="A156" s="2"/>
      <c r="B156" s="2"/>
      <c r="C156" s="2"/>
      <c r="D156" s="22" t="s">
        <v>805</v>
      </c>
      <c r="E156" s="22" t="s">
        <v>90</v>
      </c>
      <c r="F156" s="22">
        <v>5.0</v>
      </c>
      <c r="G156" s="33">
        <v>13000.0</v>
      </c>
      <c r="H156" s="27">
        <f t="shared" si="23"/>
        <v>65000</v>
      </c>
      <c r="I156" s="27"/>
      <c r="J156" s="2"/>
      <c r="K156" s="2"/>
    </row>
    <row r="157">
      <c r="A157" s="2"/>
      <c r="B157" s="2"/>
      <c r="C157" s="2"/>
      <c r="D157" s="22" t="s">
        <v>882</v>
      </c>
      <c r="E157" s="22" t="s">
        <v>50</v>
      </c>
      <c r="F157" s="22">
        <v>5.0</v>
      </c>
      <c r="G157" s="33">
        <v>16000.0</v>
      </c>
      <c r="H157" s="27">
        <f t="shared" si="23"/>
        <v>80000</v>
      </c>
      <c r="I157" s="41">
        <f>SUM(H154:H157)</f>
        <v>317500</v>
      </c>
      <c r="J157" s="2"/>
      <c r="K157" s="2"/>
    </row>
    <row r="158">
      <c r="A158" s="2"/>
      <c r="B158" s="2"/>
      <c r="C158" s="39" t="s">
        <v>189</v>
      </c>
      <c r="D158" s="39" t="s">
        <v>883</v>
      </c>
      <c r="E158" s="39" t="s">
        <v>779</v>
      </c>
      <c r="F158" s="39">
        <v>2.0</v>
      </c>
      <c r="G158" s="38">
        <v>1125000.0</v>
      </c>
      <c r="H158" s="27">
        <f t="shared" si="23"/>
        <v>2250000</v>
      </c>
      <c r="I158" s="27"/>
      <c r="J158" s="2"/>
      <c r="K158" s="2"/>
    </row>
    <row r="159">
      <c r="A159" s="2"/>
      <c r="B159" s="2"/>
      <c r="D159" s="39" t="s">
        <v>884</v>
      </c>
      <c r="E159" s="39" t="s">
        <v>779</v>
      </c>
      <c r="F159" s="39">
        <v>3.0</v>
      </c>
      <c r="G159" s="38">
        <v>1125000.0</v>
      </c>
      <c r="H159" s="27">
        <f t="shared" si="23"/>
        <v>3375000</v>
      </c>
      <c r="I159" s="27"/>
      <c r="J159" s="2"/>
      <c r="K159" s="2"/>
    </row>
    <row r="160">
      <c r="A160" s="2"/>
      <c r="B160" s="2"/>
      <c r="D160" s="39" t="s">
        <v>885</v>
      </c>
      <c r="E160" s="39" t="s">
        <v>779</v>
      </c>
      <c r="F160" s="39">
        <v>2.0</v>
      </c>
      <c r="G160" s="38">
        <v>1125000.0</v>
      </c>
      <c r="H160" s="27">
        <f t="shared" si="23"/>
        <v>2250000</v>
      </c>
      <c r="I160" s="27"/>
      <c r="J160" s="2"/>
      <c r="K160" s="2"/>
    </row>
    <row r="161">
      <c r="A161" s="2"/>
      <c r="B161" s="2"/>
      <c r="D161" s="39" t="s">
        <v>886</v>
      </c>
      <c r="E161" s="39" t="s">
        <v>779</v>
      </c>
      <c r="F161" s="39">
        <v>1.0</v>
      </c>
      <c r="G161" s="38">
        <v>255000.0</v>
      </c>
      <c r="H161" s="27">
        <f t="shared" si="23"/>
        <v>255000</v>
      </c>
      <c r="I161" s="27"/>
      <c r="J161" s="2"/>
      <c r="K161" s="2"/>
    </row>
    <row r="162">
      <c r="A162" s="2"/>
      <c r="B162" s="2"/>
      <c r="D162" s="39" t="s">
        <v>887</v>
      </c>
      <c r="E162" s="39" t="s">
        <v>779</v>
      </c>
      <c r="F162" s="39">
        <v>1.0</v>
      </c>
      <c r="G162" s="38">
        <v>1125000.0</v>
      </c>
      <c r="H162" s="27">
        <f t="shared" si="23"/>
        <v>1125000</v>
      </c>
      <c r="I162" s="41">
        <f>SUM(H158:H162)</f>
        <v>9255000</v>
      </c>
      <c r="J162" s="2"/>
      <c r="K162" s="2"/>
    </row>
    <row r="163">
      <c r="A163" s="2"/>
      <c r="B163" s="2"/>
      <c r="C163" s="2"/>
      <c r="D163" s="22" t="s">
        <v>12</v>
      </c>
      <c r="E163" s="2"/>
      <c r="F163" s="22">
        <v>2.0</v>
      </c>
      <c r="G163" s="33">
        <v>2500.0</v>
      </c>
      <c r="H163" s="27">
        <f t="shared" si="23"/>
        <v>5000</v>
      </c>
      <c r="I163" s="27"/>
      <c r="J163" s="27">
        <f>H163</f>
        <v>5000</v>
      </c>
      <c r="K163" s="2"/>
    </row>
    <row r="164">
      <c r="A164" s="46" t="s">
        <v>417</v>
      </c>
      <c r="B164" s="47"/>
      <c r="C164" s="47"/>
      <c r="D164" s="47"/>
      <c r="E164" s="47"/>
      <c r="F164" s="48"/>
      <c r="G164" s="49"/>
      <c r="H164" s="50" t="s">
        <v>11</v>
      </c>
      <c r="I164" s="51">
        <f t="shared" ref="I164:J164" si="24">SUM(I165:I169)</f>
        <v>7875000</v>
      </c>
      <c r="J164" s="51">
        <f t="shared" si="24"/>
        <v>2500</v>
      </c>
      <c r="K164" s="2"/>
    </row>
    <row r="165">
      <c r="A165" s="2"/>
      <c r="B165" s="2"/>
      <c r="C165" s="39" t="s">
        <v>189</v>
      </c>
      <c r="D165" s="39" t="s">
        <v>888</v>
      </c>
      <c r="E165" s="39" t="s">
        <v>779</v>
      </c>
      <c r="F165" s="39">
        <v>2.0</v>
      </c>
      <c r="G165" s="38">
        <v>1125000.0</v>
      </c>
      <c r="H165" s="27">
        <f t="shared" ref="H165:H169" si="25">F165*G165</f>
        <v>2250000</v>
      </c>
      <c r="I165" s="27"/>
      <c r="J165" s="2"/>
      <c r="K165" s="2"/>
    </row>
    <row r="166">
      <c r="A166" s="2"/>
      <c r="B166" s="2"/>
      <c r="D166" s="39" t="s">
        <v>889</v>
      </c>
      <c r="E166" s="39" t="s">
        <v>779</v>
      </c>
      <c r="F166" s="39">
        <v>1.0</v>
      </c>
      <c r="G166" s="38">
        <v>1125000.0</v>
      </c>
      <c r="H166" s="27">
        <f t="shared" si="25"/>
        <v>1125000</v>
      </c>
      <c r="I166" s="27"/>
      <c r="J166" s="2"/>
      <c r="K166" s="2"/>
    </row>
    <row r="167">
      <c r="A167" s="2"/>
      <c r="B167" s="2"/>
      <c r="D167" s="39" t="s">
        <v>890</v>
      </c>
      <c r="E167" s="39" t="s">
        <v>779</v>
      </c>
      <c r="F167" s="39">
        <v>3.0</v>
      </c>
      <c r="G167" s="38">
        <v>1125000.0</v>
      </c>
      <c r="H167" s="27">
        <f t="shared" si="25"/>
        <v>3375000</v>
      </c>
      <c r="I167" s="27"/>
      <c r="J167" s="2"/>
      <c r="K167" s="2"/>
    </row>
    <row r="168">
      <c r="A168" s="2"/>
      <c r="B168" s="2"/>
      <c r="D168" s="39" t="s">
        <v>891</v>
      </c>
      <c r="E168" s="39" t="s">
        <v>779</v>
      </c>
      <c r="F168" s="39">
        <v>1.0</v>
      </c>
      <c r="G168" s="38">
        <v>1125000.0</v>
      </c>
      <c r="H168" s="27">
        <f t="shared" si="25"/>
        <v>1125000</v>
      </c>
      <c r="I168" s="41">
        <f>sum(H165:H168)</f>
        <v>7875000</v>
      </c>
      <c r="J168" s="2"/>
      <c r="K168" s="2"/>
    </row>
    <row r="169">
      <c r="A169" s="2"/>
      <c r="B169" s="2"/>
      <c r="C169" s="2"/>
      <c r="D169" s="22" t="s">
        <v>12</v>
      </c>
      <c r="E169" s="2"/>
      <c r="F169" s="22">
        <v>1.0</v>
      </c>
      <c r="G169" s="33">
        <v>2500.0</v>
      </c>
      <c r="H169" s="27">
        <f t="shared" si="25"/>
        <v>2500</v>
      </c>
      <c r="I169" s="27"/>
      <c r="J169" s="27">
        <f>H169</f>
        <v>2500</v>
      </c>
      <c r="K169" s="2"/>
    </row>
    <row r="170">
      <c r="A170" s="63" t="s">
        <v>433</v>
      </c>
      <c r="B170" s="64"/>
      <c r="C170" s="64"/>
      <c r="D170" s="64"/>
      <c r="E170" s="64"/>
      <c r="F170" s="64"/>
      <c r="G170" s="66"/>
      <c r="H170" s="50" t="s">
        <v>11</v>
      </c>
      <c r="I170" s="67">
        <f t="shared" ref="I170:J170" si="26">SUM(I171:I175)</f>
        <v>5835000</v>
      </c>
      <c r="J170" s="67">
        <f t="shared" si="26"/>
        <v>5000</v>
      </c>
      <c r="K170" s="2"/>
    </row>
    <row r="171">
      <c r="A171" s="2"/>
      <c r="B171" s="2"/>
      <c r="C171" s="31" t="s">
        <v>434</v>
      </c>
      <c r="D171" s="22" t="s">
        <v>892</v>
      </c>
      <c r="E171" s="22" t="s">
        <v>440</v>
      </c>
      <c r="F171" s="22">
        <v>15.0</v>
      </c>
      <c r="G171" s="33">
        <v>14000.0</v>
      </c>
      <c r="H171" s="27">
        <f t="shared" ref="H171:H175" si="27">F171*G171</f>
        <v>210000</v>
      </c>
      <c r="I171" s="41">
        <f>H171</f>
        <v>210000</v>
      </c>
      <c r="J171" s="22" t="s">
        <v>167</v>
      </c>
      <c r="K171" s="2"/>
    </row>
    <row r="172">
      <c r="A172" s="2"/>
      <c r="B172" s="2"/>
      <c r="C172" s="39" t="s">
        <v>189</v>
      </c>
      <c r="D172" s="39" t="s">
        <v>893</v>
      </c>
      <c r="E172" s="39" t="s">
        <v>779</v>
      </c>
      <c r="F172" s="39">
        <v>2.0</v>
      </c>
      <c r="G172" s="38">
        <v>1125000.0</v>
      </c>
      <c r="H172" s="36">
        <f t="shared" si="27"/>
        <v>2250000</v>
      </c>
      <c r="I172" s="27"/>
      <c r="J172" s="2"/>
      <c r="K172" s="2"/>
    </row>
    <row r="173">
      <c r="A173" s="2"/>
      <c r="B173" s="2"/>
      <c r="D173" s="39" t="s">
        <v>894</v>
      </c>
      <c r="E173" s="39" t="s">
        <v>779</v>
      </c>
      <c r="F173" s="39">
        <v>2.0</v>
      </c>
      <c r="G173" s="38">
        <v>1125000.0</v>
      </c>
      <c r="H173" s="36">
        <f t="shared" si="27"/>
        <v>2250000</v>
      </c>
      <c r="I173" s="27"/>
      <c r="J173" s="2"/>
      <c r="K173" s="2"/>
    </row>
    <row r="174">
      <c r="A174" s="2"/>
      <c r="B174" s="2"/>
      <c r="D174" s="39" t="s">
        <v>895</v>
      </c>
      <c r="E174" s="39" t="s">
        <v>779</v>
      </c>
      <c r="F174" s="39">
        <v>1.0</v>
      </c>
      <c r="G174" s="38">
        <v>1125000.0</v>
      </c>
      <c r="H174" s="36">
        <f t="shared" si="27"/>
        <v>1125000</v>
      </c>
      <c r="I174" s="41">
        <f>SUM(H172:H174)</f>
        <v>5625000</v>
      </c>
      <c r="J174" s="22" t="s">
        <v>17</v>
      </c>
      <c r="K174" s="2"/>
    </row>
    <row r="175">
      <c r="A175" s="2"/>
      <c r="B175" s="2"/>
      <c r="C175" s="2"/>
      <c r="D175" s="22" t="s">
        <v>12</v>
      </c>
      <c r="E175" s="2"/>
      <c r="F175" s="22">
        <v>2.0</v>
      </c>
      <c r="G175" s="33">
        <v>2500.0</v>
      </c>
      <c r="H175" s="27">
        <f t="shared" si="27"/>
        <v>5000</v>
      </c>
      <c r="I175" s="27"/>
      <c r="J175" s="27">
        <f>H175</f>
        <v>5000</v>
      </c>
      <c r="K175" s="2"/>
    </row>
    <row r="176">
      <c r="A176" s="63" t="s">
        <v>457</v>
      </c>
      <c r="B176" s="64"/>
      <c r="C176" s="64"/>
      <c r="D176" s="64"/>
      <c r="E176" s="64"/>
      <c r="F176" s="64"/>
      <c r="G176" s="66"/>
      <c r="H176" s="50" t="s">
        <v>11</v>
      </c>
      <c r="I176" s="67">
        <f t="shared" ref="I176:J176" si="28">SUM(I177:I211)</f>
        <v>9534000</v>
      </c>
      <c r="J176" s="67">
        <f t="shared" si="28"/>
        <v>12500</v>
      </c>
      <c r="K176" s="2"/>
    </row>
    <row r="177">
      <c r="A177" s="2"/>
      <c r="B177" s="2"/>
      <c r="C177" s="22" t="s">
        <v>896</v>
      </c>
      <c r="D177" s="22" t="s">
        <v>897</v>
      </c>
      <c r="E177" s="22" t="s">
        <v>50</v>
      </c>
      <c r="F177" s="22">
        <v>2550.0</v>
      </c>
      <c r="G177" s="33">
        <v>1120.0</v>
      </c>
      <c r="H177" s="27">
        <f t="shared" ref="H177:H185" si="29">F177*G177</f>
        <v>2856000</v>
      </c>
      <c r="I177" s="27"/>
      <c r="J177" s="2"/>
      <c r="K177" s="2"/>
    </row>
    <row r="178">
      <c r="A178" s="2"/>
      <c r="B178" s="2"/>
      <c r="C178" s="2"/>
      <c r="D178" s="22" t="s">
        <v>898</v>
      </c>
      <c r="E178" s="22" t="s">
        <v>90</v>
      </c>
      <c r="F178" s="22">
        <v>75.0</v>
      </c>
      <c r="G178" s="33">
        <v>11000.0</v>
      </c>
      <c r="H178" s="27">
        <f t="shared" si="29"/>
        <v>825000</v>
      </c>
      <c r="I178" s="27"/>
      <c r="J178" s="2"/>
      <c r="K178" s="2"/>
    </row>
    <row r="179">
      <c r="A179" s="2"/>
      <c r="B179" s="2"/>
      <c r="C179" s="2"/>
      <c r="D179" s="22" t="s">
        <v>899</v>
      </c>
      <c r="E179" s="22" t="s">
        <v>50</v>
      </c>
      <c r="F179" s="22">
        <v>10.0</v>
      </c>
      <c r="G179" s="33">
        <v>6500.0</v>
      </c>
      <c r="H179" s="27">
        <f t="shared" si="29"/>
        <v>65000</v>
      </c>
      <c r="I179" s="27"/>
      <c r="J179" s="2"/>
      <c r="K179" s="2"/>
    </row>
    <row r="180">
      <c r="A180" s="2"/>
      <c r="B180" s="2"/>
      <c r="C180" s="2"/>
      <c r="D180" s="22" t="s">
        <v>900</v>
      </c>
      <c r="E180" s="22" t="s">
        <v>90</v>
      </c>
      <c r="F180" s="22">
        <v>2.0</v>
      </c>
      <c r="G180" s="33">
        <v>10000.0</v>
      </c>
      <c r="H180" s="27">
        <f t="shared" si="29"/>
        <v>20000</v>
      </c>
      <c r="I180" s="27"/>
      <c r="J180" s="2"/>
      <c r="K180" s="2"/>
    </row>
    <row r="181">
      <c r="A181" s="2"/>
      <c r="B181" s="2"/>
      <c r="C181" s="2"/>
      <c r="D181" s="22" t="s">
        <v>901</v>
      </c>
      <c r="E181" s="22" t="s">
        <v>50</v>
      </c>
      <c r="F181" s="22">
        <v>1250.0</v>
      </c>
      <c r="G181" s="33">
        <v>640.0</v>
      </c>
      <c r="H181" s="27">
        <f t="shared" si="29"/>
        <v>800000</v>
      </c>
      <c r="I181" s="27"/>
      <c r="J181" s="2"/>
      <c r="K181" s="2"/>
    </row>
    <row r="182">
      <c r="A182" s="2"/>
      <c r="B182" s="2"/>
      <c r="C182" s="2"/>
      <c r="D182" s="22" t="s">
        <v>902</v>
      </c>
      <c r="E182" s="22" t="s">
        <v>90</v>
      </c>
      <c r="F182" s="22">
        <v>30.0</v>
      </c>
      <c r="G182" s="33">
        <v>11000.0</v>
      </c>
      <c r="H182" s="27">
        <f t="shared" si="29"/>
        <v>330000</v>
      </c>
      <c r="I182" s="27"/>
      <c r="J182" s="2"/>
      <c r="K182" s="2"/>
    </row>
    <row r="183">
      <c r="A183" s="2"/>
      <c r="B183" s="2"/>
      <c r="C183" s="2"/>
      <c r="D183" s="22" t="s">
        <v>903</v>
      </c>
      <c r="E183" s="22" t="s">
        <v>798</v>
      </c>
      <c r="F183" s="22">
        <v>14.0</v>
      </c>
      <c r="G183" s="33">
        <v>8500.0</v>
      </c>
      <c r="H183" s="27">
        <f t="shared" si="29"/>
        <v>119000</v>
      </c>
      <c r="I183" s="27"/>
      <c r="J183" s="2"/>
      <c r="K183" s="2"/>
    </row>
    <row r="184">
      <c r="A184" s="2"/>
      <c r="B184" s="2"/>
      <c r="C184" s="2"/>
      <c r="D184" s="22" t="s">
        <v>904</v>
      </c>
      <c r="E184" s="22" t="s">
        <v>798</v>
      </c>
      <c r="F184" s="22">
        <v>10.0</v>
      </c>
      <c r="G184" s="33">
        <v>19000.0</v>
      </c>
      <c r="H184" s="27">
        <f t="shared" si="29"/>
        <v>190000</v>
      </c>
      <c r="I184" s="41">
        <f>SUM(H177:H184)</f>
        <v>5205000</v>
      </c>
      <c r="J184" s="22" t="s">
        <v>17</v>
      </c>
      <c r="K184" s="2"/>
    </row>
    <row r="185">
      <c r="A185" s="2"/>
      <c r="B185" s="2"/>
      <c r="C185" s="22" t="s">
        <v>905</v>
      </c>
      <c r="D185" s="22" t="s">
        <v>906</v>
      </c>
      <c r="E185" s="22" t="s">
        <v>201</v>
      </c>
      <c r="F185" s="22">
        <v>10.0</v>
      </c>
      <c r="G185" s="33">
        <v>70000.0</v>
      </c>
      <c r="H185" s="27">
        <f t="shared" si="29"/>
        <v>700000</v>
      </c>
      <c r="I185" s="27"/>
      <c r="J185" s="2"/>
      <c r="K185" s="2"/>
    </row>
    <row r="186">
      <c r="A186" s="2"/>
      <c r="B186" s="2"/>
      <c r="C186" s="2"/>
      <c r="D186" s="22" t="s">
        <v>363</v>
      </c>
      <c r="E186" s="2"/>
      <c r="F186" s="2"/>
      <c r="G186" s="27"/>
      <c r="H186" s="33">
        <v>-14000.0</v>
      </c>
      <c r="I186" s="41">
        <f>SUM(H185:H186)</f>
        <v>686000</v>
      </c>
      <c r="J186" s="22" t="s">
        <v>17</v>
      </c>
      <c r="K186" s="2"/>
    </row>
    <row r="187">
      <c r="A187" s="2"/>
      <c r="B187" s="2"/>
      <c r="C187" s="2"/>
      <c r="D187" s="22" t="s">
        <v>907</v>
      </c>
      <c r="E187" s="22" t="s">
        <v>16</v>
      </c>
      <c r="F187" s="22">
        <v>60.7</v>
      </c>
      <c r="G187" s="33">
        <v>14500.0</v>
      </c>
      <c r="H187" s="27">
        <f t="shared" ref="H187:H195" si="30">F187*G187</f>
        <v>880150</v>
      </c>
      <c r="I187" s="27"/>
      <c r="J187" s="2"/>
      <c r="K187" s="2"/>
    </row>
    <row r="188">
      <c r="A188" s="2"/>
      <c r="B188" s="2"/>
      <c r="C188" s="2"/>
      <c r="D188" s="22" t="s">
        <v>908</v>
      </c>
      <c r="E188" s="22" t="s">
        <v>16</v>
      </c>
      <c r="F188" s="22">
        <v>14.9</v>
      </c>
      <c r="G188" s="33">
        <v>26000.0</v>
      </c>
      <c r="H188" s="27">
        <f t="shared" si="30"/>
        <v>387400</v>
      </c>
      <c r="I188" s="27"/>
      <c r="J188" s="2"/>
      <c r="K188" s="2"/>
    </row>
    <row r="189">
      <c r="A189" s="2"/>
      <c r="B189" s="2"/>
      <c r="C189" s="22" t="s">
        <v>840</v>
      </c>
      <c r="D189" s="22" t="s">
        <v>909</v>
      </c>
      <c r="E189" s="22" t="s">
        <v>50</v>
      </c>
      <c r="F189" s="22">
        <v>1.0</v>
      </c>
      <c r="G189" s="33">
        <v>28000.0</v>
      </c>
      <c r="H189" s="27">
        <f t="shared" si="30"/>
        <v>28000</v>
      </c>
      <c r="I189" s="27"/>
      <c r="J189" s="2"/>
      <c r="K189" s="2"/>
    </row>
    <row r="190">
      <c r="A190" s="2"/>
      <c r="B190" s="2"/>
      <c r="C190" s="2"/>
      <c r="D190" s="22" t="s">
        <v>910</v>
      </c>
      <c r="E190" s="22" t="s">
        <v>50</v>
      </c>
      <c r="F190" s="22">
        <v>1.0</v>
      </c>
      <c r="G190" s="33">
        <v>28000.0</v>
      </c>
      <c r="H190" s="27">
        <f t="shared" si="30"/>
        <v>28000</v>
      </c>
      <c r="I190" s="27"/>
      <c r="J190" s="2"/>
      <c r="K190" s="2"/>
    </row>
    <row r="191">
      <c r="A191" s="2"/>
      <c r="B191" s="2"/>
      <c r="C191" s="2"/>
      <c r="D191" s="22" t="s">
        <v>911</v>
      </c>
      <c r="E191" s="22" t="s">
        <v>50</v>
      </c>
      <c r="F191" s="22">
        <v>2.0</v>
      </c>
      <c r="G191" s="33">
        <v>12000.0</v>
      </c>
      <c r="H191" s="27">
        <f t="shared" si="30"/>
        <v>24000</v>
      </c>
      <c r="I191" s="27"/>
      <c r="J191" s="2"/>
      <c r="K191" s="2"/>
    </row>
    <row r="192">
      <c r="A192" s="2"/>
      <c r="B192" s="2"/>
      <c r="C192" s="2"/>
      <c r="D192" s="22" t="s">
        <v>912</v>
      </c>
      <c r="E192" s="22" t="s">
        <v>50</v>
      </c>
      <c r="F192" s="22">
        <v>3.0</v>
      </c>
      <c r="G192" s="33">
        <v>12000.0</v>
      </c>
      <c r="H192" s="27">
        <f t="shared" si="30"/>
        <v>36000</v>
      </c>
      <c r="I192" s="27"/>
      <c r="J192" s="2"/>
      <c r="K192" s="2"/>
    </row>
    <row r="193">
      <c r="A193" s="2"/>
      <c r="B193" s="2"/>
      <c r="C193" s="2"/>
      <c r="D193" s="22" t="s">
        <v>913</v>
      </c>
      <c r="E193" s="22" t="s">
        <v>50</v>
      </c>
      <c r="F193" s="22">
        <v>1.0</v>
      </c>
      <c r="G193" s="33">
        <v>43000.0</v>
      </c>
      <c r="H193" s="27">
        <f t="shared" si="30"/>
        <v>43000</v>
      </c>
      <c r="I193" s="27"/>
      <c r="J193" s="2"/>
      <c r="K193" s="2"/>
    </row>
    <row r="194">
      <c r="A194" s="2"/>
      <c r="B194" s="2"/>
      <c r="C194" s="2"/>
      <c r="D194" s="22" t="s">
        <v>914</v>
      </c>
      <c r="E194" s="22" t="s">
        <v>50</v>
      </c>
      <c r="F194" s="22">
        <v>1.0</v>
      </c>
      <c r="G194" s="33">
        <v>43000.0</v>
      </c>
      <c r="H194" s="27">
        <f t="shared" si="30"/>
        <v>43000</v>
      </c>
      <c r="I194" s="27"/>
      <c r="J194" s="2"/>
      <c r="K194" s="2"/>
    </row>
    <row r="195">
      <c r="A195" s="2"/>
      <c r="B195" s="2"/>
      <c r="C195" s="2"/>
      <c r="D195" s="22" t="s">
        <v>915</v>
      </c>
      <c r="E195" s="22" t="s">
        <v>50</v>
      </c>
      <c r="F195" s="22">
        <v>1.0</v>
      </c>
      <c r="G195" s="33">
        <v>32000.0</v>
      </c>
      <c r="H195" s="27">
        <f t="shared" si="30"/>
        <v>32000</v>
      </c>
      <c r="I195" s="27"/>
      <c r="J195" s="2"/>
      <c r="K195" s="2"/>
    </row>
    <row r="196">
      <c r="A196" s="2"/>
      <c r="B196" s="2"/>
      <c r="C196" s="2"/>
      <c r="D196" s="22" t="s">
        <v>916</v>
      </c>
      <c r="E196" s="22" t="s">
        <v>16</v>
      </c>
      <c r="F196" s="22">
        <v>15.0</v>
      </c>
      <c r="G196" s="33">
        <f>H196/F196</f>
        <v>31333.33333</v>
      </c>
      <c r="H196" s="33">
        <v>470000.0</v>
      </c>
      <c r="I196" s="27"/>
      <c r="J196" s="2"/>
      <c r="K196" s="2"/>
    </row>
    <row r="197">
      <c r="A197" s="2"/>
      <c r="B197" s="2"/>
      <c r="C197" s="2"/>
      <c r="D197" s="22" t="s">
        <v>916</v>
      </c>
      <c r="E197" s="22" t="s">
        <v>16</v>
      </c>
      <c r="F197" s="22">
        <v>2.0</v>
      </c>
      <c r="G197" s="33">
        <v>36000.0</v>
      </c>
      <c r="H197" s="27">
        <f>F197*G197</f>
        <v>72000</v>
      </c>
      <c r="I197" s="27"/>
      <c r="J197" s="2"/>
      <c r="K197" s="2"/>
    </row>
    <row r="198">
      <c r="A198" s="2"/>
      <c r="B198" s="2"/>
      <c r="C198" s="2"/>
      <c r="D198" s="22" t="s">
        <v>12</v>
      </c>
      <c r="E198" s="2"/>
      <c r="F198" s="22">
        <v>1.0</v>
      </c>
      <c r="G198" s="33">
        <v>2500.0</v>
      </c>
      <c r="H198" s="33">
        <v>2500.0</v>
      </c>
      <c r="I198" s="27"/>
      <c r="J198" s="2"/>
      <c r="K198" s="2"/>
    </row>
    <row r="199">
      <c r="A199" s="2"/>
      <c r="B199" s="2"/>
      <c r="C199" s="2"/>
      <c r="D199" s="22" t="s">
        <v>363</v>
      </c>
      <c r="E199" s="2"/>
      <c r="F199" s="22">
        <v>1.0</v>
      </c>
      <c r="G199" s="27"/>
      <c r="H199" s="33">
        <v>-50.0</v>
      </c>
      <c r="I199" s="41">
        <f>SUM(H187:H199)</f>
        <v>2046000</v>
      </c>
      <c r="J199" s="2"/>
      <c r="K199" s="2"/>
    </row>
    <row r="200">
      <c r="A200" s="2"/>
      <c r="B200" s="2"/>
      <c r="C200" s="22" t="s">
        <v>917</v>
      </c>
      <c r="D200" s="22" t="s">
        <v>918</v>
      </c>
      <c r="E200" s="22" t="s">
        <v>50</v>
      </c>
      <c r="F200" s="22">
        <v>3.0</v>
      </c>
      <c r="G200" s="33">
        <v>72000.0</v>
      </c>
      <c r="H200" s="27">
        <f t="shared" ref="H200:H208" si="31">F200*G200</f>
        <v>216000</v>
      </c>
      <c r="I200" s="27"/>
      <c r="J200" s="2"/>
      <c r="K200" s="2"/>
    </row>
    <row r="201">
      <c r="A201" s="2"/>
      <c r="B201" s="2"/>
      <c r="C201" s="2"/>
      <c r="D201" s="22" t="s">
        <v>919</v>
      </c>
      <c r="E201" s="22" t="s">
        <v>201</v>
      </c>
      <c r="F201" s="22">
        <v>1.0</v>
      </c>
      <c r="G201" s="33">
        <v>35000.0</v>
      </c>
      <c r="H201" s="27">
        <f t="shared" si="31"/>
        <v>35000</v>
      </c>
      <c r="I201" s="27"/>
      <c r="J201" s="2"/>
      <c r="K201" s="2"/>
    </row>
    <row r="202">
      <c r="A202" s="2"/>
      <c r="B202" s="2"/>
      <c r="C202" s="2"/>
      <c r="D202" s="22" t="s">
        <v>920</v>
      </c>
      <c r="E202" s="22" t="s">
        <v>201</v>
      </c>
      <c r="F202" s="22">
        <v>1.0</v>
      </c>
      <c r="G202" s="33">
        <v>220000.0</v>
      </c>
      <c r="H202" s="27">
        <f t="shared" si="31"/>
        <v>220000</v>
      </c>
      <c r="I202" s="27"/>
      <c r="J202" s="2"/>
      <c r="K202" s="2"/>
    </row>
    <row r="203">
      <c r="A203" s="2"/>
      <c r="B203" s="2"/>
      <c r="C203" s="2"/>
      <c r="D203" s="22" t="s">
        <v>921</v>
      </c>
      <c r="E203" s="22" t="s">
        <v>201</v>
      </c>
      <c r="F203" s="22">
        <v>1.0</v>
      </c>
      <c r="G203" s="33">
        <v>86000.0</v>
      </c>
      <c r="H203" s="27">
        <f t="shared" si="31"/>
        <v>86000</v>
      </c>
      <c r="I203" s="27"/>
      <c r="J203" s="2"/>
      <c r="K203" s="2"/>
    </row>
    <row r="204">
      <c r="A204" s="2"/>
      <c r="B204" s="2"/>
      <c r="C204" s="2"/>
      <c r="D204" s="22" t="s">
        <v>922</v>
      </c>
      <c r="E204" s="22" t="s">
        <v>201</v>
      </c>
      <c r="F204" s="22">
        <v>4.0</v>
      </c>
      <c r="G204" s="33">
        <v>46000.0</v>
      </c>
      <c r="H204" s="27">
        <f t="shared" si="31"/>
        <v>184000</v>
      </c>
      <c r="I204" s="27"/>
      <c r="J204" s="2"/>
      <c r="K204" s="2"/>
    </row>
    <row r="205">
      <c r="A205" s="2"/>
      <c r="B205" s="2"/>
      <c r="C205" s="2"/>
      <c r="D205" s="22" t="s">
        <v>923</v>
      </c>
      <c r="E205" s="22" t="s">
        <v>186</v>
      </c>
      <c r="F205" s="22">
        <v>1.0</v>
      </c>
      <c r="G205" s="33">
        <v>320000.0</v>
      </c>
      <c r="H205" s="27">
        <f t="shared" si="31"/>
        <v>320000</v>
      </c>
      <c r="I205" s="27"/>
      <c r="J205" s="2"/>
      <c r="K205" s="2"/>
    </row>
    <row r="206">
      <c r="A206" s="2"/>
      <c r="B206" s="2"/>
      <c r="C206" s="2"/>
      <c r="D206" s="22" t="s">
        <v>924</v>
      </c>
      <c r="E206" s="22" t="s">
        <v>925</v>
      </c>
      <c r="F206" s="22">
        <v>2.0</v>
      </c>
      <c r="G206" s="33">
        <v>42000.0</v>
      </c>
      <c r="H206" s="27">
        <f t="shared" si="31"/>
        <v>84000</v>
      </c>
      <c r="I206" s="27"/>
      <c r="J206" s="2"/>
      <c r="K206" s="2"/>
    </row>
    <row r="207">
      <c r="A207" s="2"/>
      <c r="B207" s="2"/>
      <c r="C207" s="2"/>
      <c r="D207" s="22" t="s">
        <v>926</v>
      </c>
      <c r="E207" s="22" t="s">
        <v>54</v>
      </c>
      <c r="F207" s="22">
        <v>2.0</v>
      </c>
      <c r="G207" s="33">
        <v>51000.0</v>
      </c>
      <c r="H207" s="27">
        <f t="shared" si="31"/>
        <v>102000</v>
      </c>
      <c r="I207" s="27"/>
      <c r="J207" s="2"/>
      <c r="K207" s="2"/>
    </row>
    <row r="208">
      <c r="A208" s="2"/>
      <c r="B208" s="2"/>
      <c r="C208" s="2"/>
      <c r="D208" s="22" t="s">
        <v>927</v>
      </c>
      <c r="E208" s="22" t="s">
        <v>48</v>
      </c>
      <c r="F208" s="22">
        <v>10.0</v>
      </c>
      <c r="G208" s="33">
        <v>9700.0</v>
      </c>
      <c r="H208" s="27">
        <f t="shared" si="31"/>
        <v>97000</v>
      </c>
      <c r="I208" s="41">
        <f>SUM(H200:H208)</f>
        <v>1344000</v>
      </c>
      <c r="J208" s="2"/>
      <c r="K208" s="2"/>
    </row>
    <row r="209">
      <c r="A209" s="2"/>
      <c r="B209" s="2"/>
      <c r="C209" s="22" t="s">
        <v>801</v>
      </c>
      <c r="D209" s="22" t="s">
        <v>928</v>
      </c>
      <c r="E209" s="2"/>
      <c r="F209" s="22">
        <v>9.0</v>
      </c>
      <c r="G209" s="27">
        <f>H209/F209</f>
        <v>27000</v>
      </c>
      <c r="H209" s="33">
        <v>243000.0</v>
      </c>
      <c r="I209" s="27"/>
      <c r="J209" s="2"/>
      <c r="K209" s="2"/>
    </row>
    <row r="210">
      <c r="A210" s="2"/>
      <c r="B210" s="2"/>
      <c r="C210" s="2"/>
      <c r="D210" s="22" t="s">
        <v>929</v>
      </c>
      <c r="E210" s="2"/>
      <c r="F210" s="22">
        <v>2.0</v>
      </c>
      <c r="G210" s="33">
        <v>5000.0</v>
      </c>
      <c r="H210" s="33">
        <v>10000.0</v>
      </c>
      <c r="I210" s="41">
        <f>SUM(H209:H210)</f>
        <v>253000</v>
      </c>
      <c r="J210" s="2"/>
      <c r="K210" s="2"/>
    </row>
    <row r="211">
      <c r="A211" s="2"/>
      <c r="B211" s="2"/>
      <c r="C211" s="2"/>
      <c r="D211" s="22" t="s">
        <v>12</v>
      </c>
      <c r="E211" s="2"/>
      <c r="F211" s="22">
        <v>5.0</v>
      </c>
      <c r="G211" s="33">
        <v>2500.0</v>
      </c>
      <c r="H211" s="27">
        <f>F211*G211</f>
        <v>12500</v>
      </c>
      <c r="I211" s="27"/>
      <c r="J211" s="27">
        <f>H211</f>
        <v>12500</v>
      </c>
      <c r="K211" s="2"/>
    </row>
    <row r="212">
      <c r="A212" s="63" t="s">
        <v>494</v>
      </c>
      <c r="B212" s="64"/>
      <c r="C212" s="64"/>
      <c r="D212" s="64"/>
      <c r="E212" s="64"/>
      <c r="F212" s="64"/>
      <c r="G212" s="66"/>
      <c r="H212" s="50" t="s">
        <v>11</v>
      </c>
      <c r="I212" s="67">
        <f t="shared" ref="I212:J212" si="32">SUM(I213:I221)</f>
        <v>8505000</v>
      </c>
      <c r="J212" s="67">
        <f t="shared" si="32"/>
        <v>5000</v>
      </c>
      <c r="K212" s="2"/>
    </row>
    <row r="213">
      <c r="A213" s="2"/>
      <c r="B213" s="2"/>
      <c r="C213" s="22" t="s">
        <v>75</v>
      </c>
      <c r="D213" s="22" t="s">
        <v>930</v>
      </c>
      <c r="E213" s="22" t="s">
        <v>282</v>
      </c>
      <c r="F213" s="22">
        <v>5.0</v>
      </c>
      <c r="G213" s="33">
        <v>10000.0</v>
      </c>
      <c r="H213" s="27">
        <f t="shared" ref="H213:H221" si="33">F213*G213</f>
        <v>50000</v>
      </c>
      <c r="I213" s="27"/>
      <c r="J213" s="2"/>
      <c r="K213" s="2"/>
    </row>
    <row r="214">
      <c r="A214" s="2"/>
      <c r="B214" s="2"/>
      <c r="C214" s="2"/>
      <c r="D214" s="22" t="s">
        <v>931</v>
      </c>
      <c r="E214" s="22" t="s">
        <v>440</v>
      </c>
      <c r="F214" s="22">
        <v>10.0</v>
      </c>
      <c r="G214" s="33">
        <v>3500.0</v>
      </c>
      <c r="H214" s="27">
        <f t="shared" si="33"/>
        <v>35000</v>
      </c>
      <c r="I214" s="27"/>
      <c r="J214" s="2"/>
      <c r="K214" s="2"/>
    </row>
    <row r="215">
      <c r="A215" s="2"/>
      <c r="B215" s="2"/>
      <c r="C215" s="2"/>
      <c r="D215" s="22" t="s">
        <v>932</v>
      </c>
      <c r="E215" s="22" t="s">
        <v>282</v>
      </c>
      <c r="F215" s="22">
        <v>5.0</v>
      </c>
      <c r="G215" s="33">
        <v>7000.0</v>
      </c>
      <c r="H215" s="27">
        <f t="shared" si="33"/>
        <v>35000</v>
      </c>
      <c r="I215" s="41">
        <f>SUM(H213:H215)</f>
        <v>120000</v>
      </c>
      <c r="J215" s="2"/>
      <c r="K215" s="2"/>
    </row>
    <row r="216">
      <c r="A216" s="2"/>
      <c r="B216" s="2"/>
      <c r="C216" s="39" t="s">
        <v>189</v>
      </c>
      <c r="D216" s="39" t="s">
        <v>933</v>
      </c>
      <c r="E216" s="39" t="s">
        <v>779</v>
      </c>
      <c r="F216" s="39">
        <v>1.0</v>
      </c>
      <c r="G216" s="38">
        <v>1125000.0</v>
      </c>
      <c r="H216" s="27">
        <f t="shared" si="33"/>
        <v>1125000</v>
      </c>
      <c r="I216" s="27"/>
      <c r="J216" s="2"/>
      <c r="K216" s="2"/>
    </row>
    <row r="217">
      <c r="A217" s="2"/>
      <c r="B217" s="2"/>
      <c r="D217" s="39" t="s">
        <v>934</v>
      </c>
      <c r="E217" s="39" t="s">
        <v>779</v>
      </c>
      <c r="F217" s="39">
        <v>3.0</v>
      </c>
      <c r="G217" s="38">
        <v>1125000.0</v>
      </c>
      <c r="H217" s="27">
        <f t="shared" si="33"/>
        <v>3375000</v>
      </c>
      <c r="I217" s="27"/>
      <c r="J217" s="2"/>
      <c r="K217" s="2"/>
    </row>
    <row r="218">
      <c r="A218" s="2"/>
      <c r="B218" s="2"/>
      <c r="D218" s="39" t="s">
        <v>935</v>
      </c>
      <c r="E218" s="39" t="s">
        <v>779</v>
      </c>
      <c r="F218" s="39">
        <v>2.0</v>
      </c>
      <c r="G218" s="38">
        <v>1125000.0</v>
      </c>
      <c r="H218" s="27">
        <f t="shared" si="33"/>
        <v>2250000</v>
      </c>
      <c r="I218" s="27"/>
      <c r="J218" s="2"/>
      <c r="K218" s="2"/>
    </row>
    <row r="219">
      <c r="A219" s="2"/>
      <c r="B219" s="2"/>
      <c r="C219" s="39"/>
      <c r="D219" s="39" t="s">
        <v>936</v>
      </c>
      <c r="E219" s="39" t="s">
        <v>779</v>
      </c>
      <c r="F219" s="39">
        <v>2.0</v>
      </c>
      <c r="G219" s="38">
        <v>255000.0</v>
      </c>
      <c r="H219" s="27">
        <f t="shared" si="33"/>
        <v>510000</v>
      </c>
      <c r="I219" s="27"/>
      <c r="J219" s="2"/>
      <c r="K219" s="2"/>
    </row>
    <row r="220">
      <c r="A220" s="2"/>
      <c r="B220" s="2"/>
      <c r="C220" s="39"/>
      <c r="D220" s="39" t="s">
        <v>937</v>
      </c>
      <c r="E220" s="39" t="s">
        <v>779</v>
      </c>
      <c r="F220" s="39">
        <v>1.0</v>
      </c>
      <c r="G220" s="38">
        <v>1125000.0</v>
      </c>
      <c r="H220" s="27">
        <f t="shared" si="33"/>
        <v>1125000</v>
      </c>
      <c r="I220" s="41">
        <f>SUM(H216:H220)</f>
        <v>8385000</v>
      </c>
      <c r="J220" s="2"/>
      <c r="K220" s="2"/>
    </row>
    <row r="221">
      <c r="A221" s="2"/>
      <c r="B221" s="2"/>
      <c r="C221" s="2"/>
      <c r="D221" s="22" t="s">
        <v>12</v>
      </c>
      <c r="E221" s="2"/>
      <c r="F221" s="22">
        <v>2.0</v>
      </c>
      <c r="G221" s="33">
        <v>2500.0</v>
      </c>
      <c r="H221" s="27">
        <f t="shared" si="33"/>
        <v>5000</v>
      </c>
      <c r="I221" s="27"/>
      <c r="J221" s="27">
        <f>H221</f>
        <v>5000</v>
      </c>
      <c r="K221" s="2"/>
    </row>
    <row r="222">
      <c r="A222" s="63" t="s">
        <v>533</v>
      </c>
      <c r="B222" s="64"/>
      <c r="C222" s="64"/>
      <c r="D222" s="64"/>
      <c r="E222" s="64"/>
      <c r="F222" s="64"/>
      <c r="G222" s="66"/>
      <c r="H222" s="50" t="s">
        <v>11</v>
      </c>
      <c r="I222" s="67">
        <f t="shared" ref="I222:J222" si="34">SUM(I223:I244)</f>
        <v>3059100</v>
      </c>
      <c r="J222" s="67">
        <f t="shared" si="34"/>
        <v>7500</v>
      </c>
      <c r="K222" s="2"/>
    </row>
    <row r="223">
      <c r="A223" s="2"/>
      <c r="B223" s="2"/>
      <c r="C223" s="22" t="s">
        <v>917</v>
      </c>
      <c r="D223" s="22" t="s">
        <v>938</v>
      </c>
      <c r="E223" s="22" t="s">
        <v>50</v>
      </c>
      <c r="F223" s="22">
        <v>10.0</v>
      </c>
      <c r="G223" s="33">
        <v>7200.0</v>
      </c>
      <c r="H223" s="27">
        <f t="shared" ref="H223:H231" si="35">F223*G223</f>
        <v>72000</v>
      </c>
      <c r="I223" s="27"/>
      <c r="J223" s="2"/>
      <c r="K223" s="2"/>
    </row>
    <row r="224">
      <c r="A224" s="2"/>
      <c r="B224" s="2"/>
      <c r="C224" s="2"/>
      <c r="D224" s="22" t="s">
        <v>939</v>
      </c>
      <c r="E224" s="22" t="s">
        <v>50</v>
      </c>
      <c r="F224" s="22">
        <v>20.0</v>
      </c>
      <c r="G224" s="33">
        <v>10000.0</v>
      </c>
      <c r="H224" s="27">
        <f t="shared" si="35"/>
        <v>200000</v>
      </c>
      <c r="I224" s="27"/>
      <c r="J224" s="2"/>
      <c r="K224" s="2"/>
    </row>
    <row r="225">
      <c r="A225" s="2"/>
      <c r="B225" s="2"/>
      <c r="C225" s="2"/>
      <c r="D225" s="22" t="s">
        <v>940</v>
      </c>
      <c r="E225" s="22" t="s">
        <v>90</v>
      </c>
      <c r="F225" s="22">
        <v>2.0</v>
      </c>
      <c r="G225" s="33">
        <v>30000.0</v>
      </c>
      <c r="H225" s="27">
        <f t="shared" si="35"/>
        <v>60000</v>
      </c>
      <c r="I225" s="27"/>
      <c r="J225" s="2"/>
      <c r="K225" s="2"/>
    </row>
    <row r="226">
      <c r="A226" s="2"/>
      <c r="B226" s="2"/>
      <c r="C226" s="2"/>
      <c r="D226" s="22" t="s">
        <v>941</v>
      </c>
      <c r="E226" s="22" t="s">
        <v>50</v>
      </c>
      <c r="F226" s="22">
        <v>4.0</v>
      </c>
      <c r="G226" s="33">
        <v>20000.0</v>
      </c>
      <c r="H226" s="27">
        <f t="shared" si="35"/>
        <v>80000</v>
      </c>
      <c r="I226" s="27"/>
      <c r="J226" s="2"/>
      <c r="K226" s="2"/>
    </row>
    <row r="227">
      <c r="A227" s="2"/>
      <c r="B227" s="2"/>
      <c r="C227" s="2"/>
      <c r="D227" s="22" t="s">
        <v>942</v>
      </c>
      <c r="E227" s="22" t="s">
        <v>50</v>
      </c>
      <c r="F227" s="22">
        <v>3.0</v>
      </c>
      <c r="G227" s="33">
        <v>15500.0</v>
      </c>
      <c r="H227" s="27">
        <f t="shared" si="35"/>
        <v>46500</v>
      </c>
      <c r="I227" s="27"/>
      <c r="J227" s="2"/>
      <c r="K227" s="2"/>
    </row>
    <row r="228">
      <c r="A228" s="2"/>
      <c r="B228" s="2"/>
      <c r="C228" s="2"/>
      <c r="D228" s="22" t="s">
        <v>943</v>
      </c>
      <c r="E228" s="22" t="s">
        <v>50</v>
      </c>
      <c r="F228" s="22">
        <v>2.0</v>
      </c>
      <c r="G228" s="33">
        <v>10000.0</v>
      </c>
      <c r="H228" s="27">
        <f t="shared" si="35"/>
        <v>20000</v>
      </c>
      <c r="I228" s="41">
        <f>SUM(H223:H228)</f>
        <v>478500</v>
      </c>
      <c r="J228" s="2"/>
      <c r="K228" s="22" t="s">
        <v>17</v>
      </c>
    </row>
    <row r="229">
      <c r="A229" s="2"/>
      <c r="B229" s="2"/>
      <c r="C229" s="22" t="s">
        <v>148</v>
      </c>
      <c r="D229" s="22" t="s">
        <v>944</v>
      </c>
      <c r="E229" s="22" t="s">
        <v>50</v>
      </c>
      <c r="F229" s="22">
        <v>1.0</v>
      </c>
      <c r="G229" s="33">
        <v>35000.0</v>
      </c>
      <c r="H229" s="27">
        <f t="shared" si="35"/>
        <v>35000</v>
      </c>
      <c r="I229" s="27"/>
      <c r="J229" s="2"/>
      <c r="K229" s="2"/>
    </row>
    <row r="230">
      <c r="A230" s="2"/>
      <c r="B230" s="2"/>
      <c r="C230" s="2"/>
      <c r="D230" s="22" t="s">
        <v>945</v>
      </c>
      <c r="E230" s="22" t="s">
        <v>50</v>
      </c>
      <c r="F230" s="22">
        <v>3.0</v>
      </c>
      <c r="G230" s="33">
        <v>28000.0</v>
      </c>
      <c r="H230" s="27">
        <f t="shared" si="35"/>
        <v>84000</v>
      </c>
      <c r="I230" s="27"/>
      <c r="J230" s="2"/>
      <c r="K230" s="2"/>
    </row>
    <row r="231">
      <c r="A231" s="2"/>
      <c r="B231" s="2"/>
      <c r="C231" s="2"/>
      <c r="D231" s="22" t="s">
        <v>946</v>
      </c>
      <c r="E231" s="22" t="s">
        <v>50</v>
      </c>
      <c r="F231" s="22">
        <v>1.0</v>
      </c>
      <c r="G231" s="33">
        <v>28000.0</v>
      </c>
      <c r="H231" s="27">
        <f t="shared" si="35"/>
        <v>28000</v>
      </c>
      <c r="I231" s="27"/>
      <c r="J231" s="2"/>
      <c r="K231" s="2"/>
    </row>
    <row r="232">
      <c r="A232" s="2"/>
      <c r="B232" s="2"/>
      <c r="C232" s="2"/>
      <c r="D232" s="22" t="s">
        <v>947</v>
      </c>
      <c r="E232" s="22" t="s">
        <v>16</v>
      </c>
      <c r="F232" s="22">
        <v>25.0</v>
      </c>
      <c r="G232" s="27">
        <f>H232/F232</f>
        <v>22000</v>
      </c>
      <c r="H232" s="33">
        <v>550000.0</v>
      </c>
      <c r="I232" s="27"/>
      <c r="J232" s="2"/>
      <c r="K232" s="2"/>
    </row>
    <row r="233">
      <c r="A233" s="2"/>
      <c r="B233" s="2"/>
      <c r="C233" s="22"/>
      <c r="D233" s="22" t="s">
        <v>12</v>
      </c>
      <c r="E233" s="22"/>
      <c r="F233" s="22">
        <v>1.0</v>
      </c>
      <c r="G233" s="33">
        <v>2500.0</v>
      </c>
      <c r="H233" s="27">
        <f t="shared" ref="H233:H244" si="36">G233*F233</f>
        <v>2500</v>
      </c>
      <c r="I233" s="27"/>
      <c r="J233" s="2"/>
      <c r="K233" s="2"/>
    </row>
    <row r="234">
      <c r="A234" s="2"/>
      <c r="B234" s="2"/>
      <c r="C234" s="22" t="s">
        <v>948</v>
      </c>
      <c r="D234" s="22" t="s">
        <v>949</v>
      </c>
      <c r="E234" s="22" t="s">
        <v>950</v>
      </c>
      <c r="F234" s="22">
        <v>5.0</v>
      </c>
      <c r="G234" s="33">
        <v>3000.0</v>
      </c>
      <c r="H234" s="27">
        <f t="shared" si="36"/>
        <v>15000</v>
      </c>
      <c r="I234" s="27"/>
      <c r="J234" s="2"/>
      <c r="K234" s="2"/>
    </row>
    <row r="235">
      <c r="A235" s="2"/>
      <c r="B235" s="2"/>
      <c r="C235" s="2"/>
      <c r="D235" s="22" t="s">
        <v>951</v>
      </c>
      <c r="E235" s="22" t="s">
        <v>952</v>
      </c>
      <c r="F235" s="22">
        <v>1.0</v>
      </c>
      <c r="G235" s="33">
        <v>50600.0</v>
      </c>
      <c r="H235" s="27">
        <f t="shared" si="36"/>
        <v>50600</v>
      </c>
      <c r="I235" s="27"/>
      <c r="J235" s="2"/>
      <c r="K235" s="2"/>
    </row>
    <row r="236">
      <c r="A236" s="2"/>
      <c r="B236" s="2"/>
      <c r="C236" s="22" t="s">
        <v>822</v>
      </c>
      <c r="D236" s="22" t="s">
        <v>953</v>
      </c>
      <c r="E236" s="22" t="s">
        <v>50</v>
      </c>
      <c r="F236" s="22">
        <v>2.0</v>
      </c>
      <c r="G236" s="33">
        <v>132000.0</v>
      </c>
      <c r="H236" s="27">
        <f t="shared" si="36"/>
        <v>264000</v>
      </c>
      <c r="I236" s="27"/>
      <c r="J236" s="2"/>
      <c r="K236" s="2"/>
    </row>
    <row r="237">
      <c r="A237" s="2"/>
      <c r="B237" s="2"/>
      <c r="C237" s="2"/>
      <c r="D237" s="22" t="s">
        <v>954</v>
      </c>
      <c r="E237" s="22" t="s">
        <v>50</v>
      </c>
      <c r="F237" s="22">
        <v>5.0</v>
      </c>
      <c r="G237" s="33">
        <v>22000.0</v>
      </c>
      <c r="H237" s="27">
        <f t="shared" si="36"/>
        <v>110000</v>
      </c>
      <c r="I237" s="27"/>
      <c r="J237" s="2"/>
      <c r="K237" s="2"/>
    </row>
    <row r="238">
      <c r="A238" s="2"/>
      <c r="B238" s="2"/>
      <c r="C238" s="2"/>
      <c r="D238" s="22" t="s">
        <v>955</v>
      </c>
      <c r="E238" s="22" t="s">
        <v>50</v>
      </c>
      <c r="F238" s="22">
        <v>1.0</v>
      </c>
      <c r="G238" s="33">
        <v>3000.0</v>
      </c>
      <c r="H238" s="27">
        <f t="shared" si="36"/>
        <v>3000</v>
      </c>
      <c r="I238" s="27"/>
      <c r="J238" s="2"/>
      <c r="K238" s="2"/>
    </row>
    <row r="239">
      <c r="A239" s="2"/>
      <c r="B239" s="2"/>
      <c r="C239" s="22" t="s">
        <v>956</v>
      </c>
      <c r="D239" s="2"/>
      <c r="E239" s="22" t="s">
        <v>50</v>
      </c>
      <c r="F239" s="22">
        <v>3.0</v>
      </c>
      <c r="G239" s="33">
        <v>75000.0</v>
      </c>
      <c r="H239" s="27">
        <f t="shared" si="36"/>
        <v>225000</v>
      </c>
      <c r="I239" s="41">
        <f>SUM(H229:H239)</f>
        <v>1367100</v>
      </c>
      <c r="J239" s="2"/>
      <c r="K239" s="22" t="s">
        <v>17</v>
      </c>
    </row>
    <row r="240">
      <c r="A240" s="2"/>
      <c r="B240" s="2"/>
      <c r="C240" s="22" t="s">
        <v>896</v>
      </c>
      <c r="D240" s="22" t="s">
        <v>957</v>
      </c>
      <c r="E240" s="22" t="s">
        <v>282</v>
      </c>
      <c r="F240" s="22">
        <v>15.0</v>
      </c>
      <c r="G240" s="33">
        <v>44000.0</v>
      </c>
      <c r="H240" s="27">
        <f t="shared" si="36"/>
        <v>660000</v>
      </c>
      <c r="I240" s="27"/>
      <c r="J240" s="2"/>
      <c r="K240" s="2"/>
    </row>
    <row r="241">
      <c r="A241" s="2"/>
      <c r="B241" s="2"/>
      <c r="C241" s="2"/>
      <c r="D241" s="22" t="s">
        <v>958</v>
      </c>
      <c r="E241" s="22" t="s">
        <v>798</v>
      </c>
      <c r="F241" s="22">
        <v>45.0</v>
      </c>
      <c r="G241" s="33">
        <v>8500.0</v>
      </c>
      <c r="H241" s="27">
        <f t="shared" si="36"/>
        <v>382500</v>
      </c>
      <c r="I241" s="27"/>
      <c r="J241" s="2"/>
      <c r="K241" s="2"/>
    </row>
    <row r="242">
      <c r="A242" s="2"/>
      <c r="B242" s="2"/>
      <c r="C242" s="2"/>
      <c r="D242" s="22" t="s">
        <v>959</v>
      </c>
      <c r="E242" s="22" t="s">
        <v>282</v>
      </c>
      <c r="F242" s="22">
        <v>16.0</v>
      </c>
      <c r="G242" s="33">
        <v>9500.0</v>
      </c>
      <c r="H242" s="27">
        <f t="shared" si="36"/>
        <v>152000</v>
      </c>
      <c r="I242" s="27"/>
      <c r="J242" s="2"/>
      <c r="K242" s="2"/>
    </row>
    <row r="243">
      <c r="A243" s="2"/>
      <c r="B243" s="2"/>
      <c r="C243" s="2"/>
      <c r="D243" s="22" t="s">
        <v>960</v>
      </c>
      <c r="E243" s="22" t="s">
        <v>282</v>
      </c>
      <c r="F243" s="22">
        <v>2.0</v>
      </c>
      <c r="G243" s="33">
        <v>9500.0</v>
      </c>
      <c r="H243" s="27">
        <f t="shared" si="36"/>
        <v>19000</v>
      </c>
      <c r="I243" s="41">
        <f>SUM(H240:H243)</f>
        <v>1213500</v>
      </c>
      <c r="J243" s="2"/>
      <c r="K243" s="22" t="s">
        <v>17</v>
      </c>
    </row>
    <row r="244">
      <c r="A244" s="2"/>
      <c r="B244" s="2"/>
      <c r="C244" s="2"/>
      <c r="D244" s="22" t="s">
        <v>12</v>
      </c>
      <c r="E244" s="22"/>
      <c r="F244" s="22">
        <v>3.0</v>
      </c>
      <c r="G244" s="33">
        <v>2500.0</v>
      </c>
      <c r="H244" s="27">
        <f t="shared" si="36"/>
        <v>7500</v>
      </c>
      <c r="I244" s="41"/>
      <c r="J244" s="27">
        <f>H244</f>
        <v>7500</v>
      </c>
      <c r="K244" s="22"/>
    </row>
    <row r="245">
      <c r="A245" s="63" t="s">
        <v>576</v>
      </c>
      <c r="B245" s="64"/>
      <c r="C245" s="64"/>
      <c r="D245" s="64"/>
      <c r="E245" s="64"/>
      <c r="F245" s="64"/>
      <c r="G245" s="66"/>
      <c r="H245" s="50" t="s">
        <v>11</v>
      </c>
      <c r="I245" s="67">
        <f t="shared" ref="I245:J245" si="37">SUM(I246:I262)</f>
        <v>19373000</v>
      </c>
      <c r="J245" s="67">
        <f t="shared" si="37"/>
        <v>12500</v>
      </c>
      <c r="K245" s="2"/>
    </row>
    <row r="246">
      <c r="A246" s="2"/>
      <c r="B246" s="2"/>
      <c r="C246" s="39" t="s">
        <v>189</v>
      </c>
      <c r="D246" s="39" t="s">
        <v>961</v>
      </c>
      <c r="E246" s="39" t="s">
        <v>779</v>
      </c>
      <c r="F246" s="39">
        <v>1.0</v>
      </c>
      <c r="G246" s="38">
        <v>1125000.0</v>
      </c>
      <c r="H246" s="27">
        <f t="shared" ref="H246:H249" si="38">G246*F246</f>
        <v>1125000</v>
      </c>
      <c r="I246" s="27"/>
      <c r="J246" s="2"/>
      <c r="K246" s="2"/>
    </row>
    <row r="247">
      <c r="A247" s="2"/>
      <c r="B247" s="2"/>
      <c r="D247" s="39" t="s">
        <v>962</v>
      </c>
      <c r="E247" s="39" t="s">
        <v>779</v>
      </c>
      <c r="F247" s="39">
        <v>3.0</v>
      </c>
      <c r="G247" s="38">
        <v>1125000.0</v>
      </c>
      <c r="H247" s="27">
        <f t="shared" si="38"/>
        <v>3375000</v>
      </c>
      <c r="I247" s="27"/>
      <c r="J247" s="2"/>
      <c r="K247" s="2"/>
    </row>
    <row r="248">
      <c r="A248" s="2"/>
      <c r="B248" s="2"/>
      <c r="D248" s="39" t="s">
        <v>963</v>
      </c>
      <c r="E248" s="39" t="s">
        <v>779</v>
      </c>
      <c r="F248" s="39">
        <v>1.0</v>
      </c>
      <c r="G248" s="38">
        <v>1125000.0</v>
      </c>
      <c r="H248" s="27">
        <f t="shared" si="38"/>
        <v>1125000</v>
      </c>
      <c r="I248" s="27"/>
      <c r="J248" s="2"/>
      <c r="K248" s="2"/>
    </row>
    <row r="249">
      <c r="A249" s="2"/>
      <c r="B249" s="2"/>
      <c r="D249" s="39" t="s">
        <v>964</v>
      </c>
      <c r="E249" s="39" t="s">
        <v>779</v>
      </c>
      <c r="F249" s="39">
        <v>1.0</v>
      </c>
      <c r="G249" s="38">
        <v>1125000.0</v>
      </c>
      <c r="H249" s="27">
        <f t="shared" si="38"/>
        <v>1125000</v>
      </c>
      <c r="I249" s="41">
        <f>SUM(H246:H249)</f>
        <v>6750000</v>
      </c>
      <c r="J249" s="2"/>
      <c r="K249" s="22" t="s">
        <v>17</v>
      </c>
    </row>
    <row r="250">
      <c r="A250" s="2"/>
      <c r="B250" s="2"/>
      <c r="C250" s="22" t="s">
        <v>896</v>
      </c>
      <c r="D250" s="22" t="s">
        <v>965</v>
      </c>
      <c r="E250" s="22" t="s">
        <v>798</v>
      </c>
      <c r="F250" s="22">
        <v>29.0</v>
      </c>
      <c r="G250" s="33">
        <v>9000.0</v>
      </c>
      <c r="H250" s="27">
        <f t="shared" ref="H250:H262" si="39">F250*G250</f>
        <v>261000</v>
      </c>
      <c r="I250" s="27"/>
      <c r="J250" s="2"/>
      <c r="K250" s="2"/>
    </row>
    <row r="251">
      <c r="A251" s="2"/>
      <c r="B251" s="2"/>
      <c r="C251" s="2"/>
      <c r="D251" s="22" t="s">
        <v>966</v>
      </c>
      <c r="E251" s="22" t="s">
        <v>798</v>
      </c>
      <c r="F251" s="22">
        <v>25.0</v>
      </c>
      <c r="G251" s="33">
        <v>12000.0</v>
      </c>
      <c r="H251" s="27">
        <f t="shared" si="39"/>
        <v>300000</v>
      </c>
      <c r="I251" s="27"/>
      <c r="J251" s="2"/>
      <c r="K251" s="2"/>
    </row>
    <row r="252">
      <c r="A252" s="2"/>
      <c r="B252" s="2"/>
      <c r="C252" s="2"/>
      <c r="D252" s="22" t="s">
        <v>967</v>
      </c>
      <c r="E252" s="22" t="s">
        <v>798</v>
      </c>
      <c r="F252" s="22">
        <v>52.0</v>
      </c>
      <c r="G252" s="33">
        <v>16000.0</v>
      </c>
      <c r="H252" s="27">
        <f t="shared" si="39"/>
        <v>832000</v>
      </c>
      <c r="I252" s="27"/>
      <c r="J252" s="2"/>
      <c r="K252" s="2"/>
    </row>
    <row r="253">
      <c r="A253" s="2"/>
      <c r="B253" s="2"/>
      <c r="C253" s="2"/>
      <c r="D253" s="22" t="s">
        <v>960</v>
      </c>
      <c r="E253" s="22" t="s">
        <v>90</v>
      </c>
      <c r="F253" s="22">
        <v>30.0</v>
      </c>
      <c r="G253" s="33">
        <v>9500.0</v>
      </c>
      <c r="H253" s="27">
        <f t="shared" si="39"/>
        <v>285000</v>
      </c>
      <c r="I253" s="27"/>
      <c r="J253" s="2"/>
      <c r="K253" s="2"/>
    </row>
    <row r="254">
      <c r="A254" s="2"/>
      <c r="B254" s="2"/>
      <c r="C254" s="2"/>
      <c r="D254" s="22" t="s">
        <v>880</v>
      </c>
      <c r="E254" s="22" t="s">
        <v>90</v>
      </c>
      <c r="F254" s="22">
        <v>20.0</v>
      </c>
      <c r="G254" s="33">
        <v>11000.0</v>
      </c>
      <c r="H254" s="27">
        <f t="shared" si="39"/>
        <v>220000</v>
      </c>
      <c r="I254" s="27"/>
      <c r="J254" s="2"/>
      <c r="K254" s="2"/>
    </row>
    <row r="255">
      <c r="A255" s="2"/>
      <c r="B255" s="2"/>
      <c r="C255" s="2"/>
      <c r="D255" s="22" t="s">
        <v>968</v>
      </c>
      <c r="E255" s="22" t="s">
        <v>90</v>
      </c>
      <c r="F255" s="22">
        <v>15.0</v>
      </c>
      <c r="G255" s="33">
        <v>13000.0</v>
      </c>
      <c r="H255" s="27">
        <f t="shared" si="39"/>
        <v>195000</v>
      </c>
      <c r="I255" s="41">
        <f>SUM(H250:H255)</f>
        <v>2093000</v>
      </c>
      <c r="J255" s="2"/>
      <c r="K255" s="22" t="s">
        <v>17</v>
      </c>
    </row>
    <row r="256">
      <c r="A256" s="2"/>
      <c r="B256" s="2"/>
      <c r="C256" s="22" t="s">
        <v>969</v>
      </c>
      <c r="D256" s="22" t="s">
        <v>970</v>
      </c>
      <c r="E256" s="2"/>
      <c r="F256" s="22">
        <v>50.0</v>
      </c>
      <c r="G256" s="33">
        <v>73000.0</v>
      </c>
      <c r="H256" s="27">
        <f t="shared" si="39"/>
        <v>3650000</v>
      </c>
      <c r="I256" s="41">
        <f t="shared" ref="I256:I257" si="40">H256</f>
        <v>3650000</v>
      </c>
      <c r="J256" s="2"/>
      <c r="K256" s="22" t="s">
        <v>17</v>
      </c>
    </row>
    <row r="257">
      <c r="A257" s="2"/>
      <c r="B257" s="2"/>
      <c r="C257" s="22" t="s">
        <v>860</v>
      </c>
      <c r="D257" s="22" t="s">
        <v>971</v>
      </c>
      <c r="E257" s="22" t="s">
        <v>298</v>
      </c>
      <c r="F257" s="22">
        <v>50.0</v>
      </c>
      <c r="G257" s="33">
        <v>65000.0</v>
      </c>
      <c r="H257" s="27">
        <f t="shared" si="39"/>
        <v>3250000</v>
      </c>
      <c r="I257" s="41">
        <f t="shared" si="40"/>
        <v>3250000</v>
      </c>
      <c r="J257" s="2"/>
      <c r="K257" s="22" t="s">
        <v>17</v>
      </c>
    </row>
    <row r="258">
      <c r="A258" s="2"/>
      <c r="B258" s="2"/>
      <c r="C258" s="22" t="s">
        <v>189</v>
      </c>
      <c r="D258" s="22" t="s">
        <v>972</v>
      </c>
      <c r="E258" s="22" t="s">
        <v>779</v>
      </c>
      <c r="F258" s="22">
        <v>1.0</v>
      </c>
      <c r="G258" s="33">
        <v>1125000.0</v>
      </c>
      <c r="H258" s="27">
        <f t="shared" si="39"/>
        <v>1125000</v>
      </c>
      <c r="I258" s="27"/>
      <c r="J258" s="2"/>
      <c r="K258" s="2"/>
    </row>
    <row r="259">
      <c r="A259" s="2"/>
      <c r="B259" s="2"/>
      <c r="C259" s="2"/>
      <c r="D259" s="22" t="s">
        <v>973</v>
      </c>
      <c r="E259" s="22" t="s">
        <v>779</v>
      </c>
      <c r="F259" s="22">
        <v>1.0</v>
      </c>
      <c r="G259" s="33">
        <v>1125000.0</v>
      </c>
      <c r="H259" s="27">
        <f t="shared" si="39"/>
        <v>1125000</v>
      </c>
      <c r="I259" s="27"/>
      <c r="J259" s="2"/>
      <c r="K259" s="2"/>
    </row>
    <row r="260">
      <c r="A260" s="2"/>
      <c r="B260" s="2"/>
      <c r="C260" s="2"/>
      <c r="D260" s="22" t="s">
        <v>974</v>
      </c>
      <c r="E260" s="22" t="s">
        <v>779</v>
      </c>
      <c r="F260" s="22">
        <v>1.0</v>
      </c>
      <c r="G260" s="33">
        <v>255000.0</v>
      </c>
      <c r="H260" s="27">
        <f t="shared" si="39"/>
        <v>255000</v>
      </c>
      <c r="I260" s="27"/>
      <c r="J260" s="2"/>
      <c r="K260" s="2"/>
    </row>
    <row r="261">
      <c r="A261" s="2"/>
      <c r="B261" s="2"/>
      <c r="C261" s="2"/>
      <c r="D261" s="22" t="s">
        <v>975</v>
      </c>
      <c r="E261" s="22" t="s">
        <v>779</v>
      </c>
      <c r="F261" s="22">
        <v>1.0</v>
      </c>
      <c r="G261" s="33">
        <v>1125000.0</v>
      </c>
      <c r="H261" s="27">
        <f t="shared" si="39"/>
        <v>1125000</v>
      </c>
      <c r="I261" s="41">
        <f>SUM(H258:H261)</f>
        <v>3630000</v>
      </c>
      <c r="J261" s="2"/>
      <c r="K261" s="22" t="s">
        <v>17</v>
      </c>
    </row>
    <row r="262">
      <c r="A262" s="2"/>
      <c r="B262" s="2"/>
      <c r="C262" s="2"/>
      <c r="D262" s="22" t="s">
        <v>12</v>
      </c>
      <c r="E262" s="22"/>
      <c r="F262" s="22">
        <v>5.0</v>
      </c>
      <c r="G262" s="33">
        <v>2500.0</v>
      </c>
      <c r="H262" s="27">
        <f t="shared" si="39"/>
        <v>12500</v>
      </c>
      <c r="I262" s="27"/>
      <c r="J262" s="27">
        <f>H262</f>
        <v>12500</v>
      </c>
      <c r="K262" s="2"/>
    </row>
    <row r="263">
      <c r="A263" s="63" t="s">
        <v>610</v>
      </c>
      <c r="B263" s="64"/>
      <c r="C263" s="64"/>
      <c r="D263" s="64"/>
      <c r="E263" s="64"/>
      <c r="F263" s="64"/>
      <c r="G263" s="66"/>
      <c r="H263" s="50" t="s">
        <v>11</v>
      </c>
      <c r="I263" s="67">
        <f t="shared" ref="I263:J263" si="41">SUM(I264:I277)</f>
        <v>3573000</v>
      </c>
      <c r="J263" s="67">
        <f t="shared" si="41"/>
        <v>7500</v>
      </c>
      <c r="K263" s="2"/>
    </row>
    <row r="264">
      <c r="A264" s="2"/>
      <c r="B264" s="2"/>
      <c r="C264" s="22" t="s">
        <v>976</v>
      </c>
      <c r="D264" s="22" t="s">
        <v>977</v>
      </c>
      <c r="E264" s="22" t="s">
        <v>798</v>
      </c>
      <c r="F264" s="22">
        <v>16.0</v>
      </c>
      <c r="G264" s="33">
        <v>55000.0</v>
      </c>
      <c r="H264" s="27">
        <f t="shared" ref="H264:H273" si="42">F264*G264</f>
        <v>880000</v>
      </c>
      <c r="I264" s="27"/>
      <c r="J264" s="2"/>
      <c r="K264" s="2"/>
    </row>
    <row r="265">
      <c r="A265" s="2"/>
      <c r="B265" s="2"/>
      <c r="C265" s="2"/>
      <c r="D265" s="22" t="s">
        <v>978</v>
      </c>
      <c r="E265" s="22" t="s">
        <v>90</v>
      </c>
      <c r="F265" s="22">
        <v>10.0</v>
      </c>
      <c r="G265" s="33">
        <v>9500.0</v>
      </c>
      <c r="H265" s="27">
        <f t="shared" si="42"/>
        <v>95000</v>
      </c>
      <c r="I265" s="27"/>
      <c r="J265" s="2"/>
      <c r="K265" s="2"/>
    </row>
    <row r="266">
      <c r="A266" s="2"/>
      <c r="B266" s="2"/>
      <c r="C266" s="2"/>
      <c r="D266" s="22" t="s">
        <v>960</v>
      </c>
      <c r="E266" s="22" t="s">
        <v>90</v>
      </c>
      <c r="F266" s="22">
        <v>50.0</v>
      </c>
      <c r="G266" s="33">
        <v>9500.0</v>
      </c>
      <c r="H266" s="27">
        <f t="shared" si="42"/>
        <v>475000</v>
      </c>
      <c r="I266" s="27"/>
      <c r="J266" s="2"/>
      <c r="K266" s="2"/>
    </row>
    <row r="267">
      <c r="A267" s="2"/>
      <c r="B267" s="2"/>
      <c r="C267" s="2"/>
      <c r="D267" s="22" t="s">
        <v>979</v>
      </c>
      <c r="E267" s="22" t="s">
        <v>90</v>
      </c>
      <c r="F267" s="22">
        <v>10.0</v>
      </c>
      <c r="G267" s="33">
        <v>11000.0</v>
      </c>
      <c r="H267" s="27">
        <f t="shared" si="42"/>
        <v>110000</v>
      </c>
      <c r="I267" s="27"/>
      <c r="J267" s="2"/>
      <c r="K267" s="2"/>
    </row>
    <row r="268">
      <c r="A268" s="2"/>
      <c r="B268" s="2"/>
      <c r="C268" s="2"/>
      <c r="D268" s="22" t="s">
        <v>899</v>
      </c>
      <c r="E268" s="22" t="s">
        <v>90</v>
      </c>
      <c r="F268" s="22">
        <v>15.0</v>
      </c>
      <c r="G268" s="33">
        <v>6500.0</v>
      </c>
      <c r="H268" s="27">
        <f t="shared" si="42"/>
        <v>97500</v>
      </c>
      <c r="I268" s="41">
        <f>SUM(H264:H268)</f>
        <v>1657500</v>
      </c>
      <c r="J268" s="22" t="s">
        <v>17</v>
      </c>
      <c r="K268" s="2"/>
    </row>
    <row r="269">
      <c r="A269" s="2"/>
      <c r="B269" s="2"/>
      <c r="C269" s="22" t="s">
        <v>14</v>
      </c>
      <c r="D269" s="22" t="s">
        <v>980</v>
      </c>
      <c r="E269" s="22" t="s">
        <v>309</v>
      </c>
      <c r="F269" s="22">
        <v>1.0</v>
      </c>
      <c r="G269" s="33">
        <v>128000.0</v>
      </c>
      <c r="H269" s="27">
        <f t="shared" si="42"/>
        <v>128000</v>
      </c>
      <c r="I269" s="27"/>
      <c r="J269" s="2"/>
      <c r="K269" s="2"/>
    </row>
    <row r="270">
      <c r="A270" s="2"/>
      <c r="B270" s="2"/>
      <c r="C270" s="2"/>
      <c r="D270" s="22" t="s">
        <v>981</v>
      </c>
      <c r="E270" s="22" t="s">
        <v>144</v>
      </c>
      <c r="F270" s="22">
        <v>1.0</v>
      </c>
      <c r="G270" s="33">
        <v>208000.0</v>
      </c>
      <c r="H270" s="27">
        <f t="shared" si="42"/>
        <v>208000</v>
      </c>
      <c r="I270" s="27"/>
      <c r="J270" s="2"/>
      <c r="K270" s="2"/>
    </row>
    <row r="271">
      <c r="A271" s="2"/>
      <c r="B271" s="2"/>
      <c r="C271" s="2"/>
      <c r="D271" s="22" t="s">
        <v>982</v>
      </c>
      <c r="E271" s="22" t="s">
        <v>144</v>
      </c>
      <c r="F271" s="22">
        <v>1.0</v>
      </c>
      <c r="G271" s="33">
        <v>180000.0</v>
      </c>
      <c r="H271" s="27">
        <f t="shared" si="42"/>
        <v>180000</v>
      </c>
      <c r="I271" s="27"/>
      <c r="J271" s="2"/>
      <c r="K271" s="2"/>
    </row>
    <row r="272">
      <c r="A272" s="2"/>
      <c r="B272" s="2"/>
      <c r="C272" s="2"/>
      <c r="D272" s="22" t="s">
        <v>983</v>
      </c>
      <c r="E272" s="22" t="s">
        <v>144</v>
      </c>
      <c r="F272" s="22">
        <v>1.0</v>
      </c>
      <c r="G272" s="33">
        <v>285000.0</v>
      </c>
      <c r="H272" s="27">
        <f t="shared" si="42"/>
        <v>285000</v>
      </c>
      <c r="I272" s="27"/>
      <c r="J272" s="2"/>
      <c r="K272" s="2"/>
    </row>
    <row r="273">
      <c r="A273" s="2"/>
      <c r="B273" s="2"/>
      <c r="C273" s="2"/>
      <c r="D273" s="22" t="s">
        <v>984</v>
      </c>
      <c r="E273" s="22" t="s">
        <v>985</v>
      </c>
      <c r="F273" s="22">
        <v>1.0</v>
      </c>
      <c r="G273" s="33">
        <v>20000.0</v>
      </c>
      <c r="H273" s="27">
        <f t="shared" si="42"/>
        <v>20000</v>
      </c>
      <c r="I273" s="41">
        <f>SUM(H269:H273)</f>
        <v>821000</v>
      </c>
      <c r="J273" s="2"/>
      <c r="K273" s="2"/>
    </row>
    <row r="274">
      <c r="A274" s="2"/>
      <c r="B274" s="2"/>
      <c r="C274" s="22" t="s">
        <v>986</v>
      </c>
      <c r="D274" s="22" t="s">
        <v>987</v>
      </c>
      <c r="E274" s="22" t="s">
        <v>186</v>
      </c>
      <c r="F274" s="22">
        <v>4.0</v>
      </c>
      <c r="G274" s="27">
        <f t="shared" ref="G274:G276" si="43">H274/F274</f>
        <v>200000</v>
      </c>
      <c r="H274" s="33">
        <v>800000.0</v>
      </c>
      <c r="I274" s="27"/>
      <c r="J274" s="2"/>
      <c r="K274" s="2"/>
    </row>
    <row r="275">
      <c r="A275" s="2"/>
      <c r="B275" s="2"/>
      <c r="C275" s="2"/>
      <c r="D275" s="22" t="s">
        <v>987</v>
      </c>
      <c r="E275" s="22" t="s">
        <v>90</v>
      </c>
      <c r="F275" s="22">
        <v>4.0</v>
      </c>
      <c r="G275" s="27">
        <f t="shared" si="43"/>
        <v>17000</v>
      </c>
      <c r="H275" s="33">
        <v>68000.0</v>
      </c>
      <c r="I275" s="27"/>
      <c r="J275" s="2"/>
      <c r="K275" s="2"/>
    </row>
    <row r="276">
      <c r="A276" s="2"/>
      <c r="B276" s="2"/>
      <c r="C276" s="2"/>
      <c r="D276" s="22" t="s">
        <v>988</v>
      </c>
      <c r="E276" s="22" t="s">
        <v>257</v>
      </c>
      <c r="F276" s="22">
        <v>3.0</v>
      </c>
      <c r="G276" s="27">
        <f t="shared" si="43"/>
        <v>75500</v>
      </c>
      <c r="H276" s="33">
        <v>226500.0</v>
      </c>
      <c r="I276" s="41">
        <f>SUM(H274:H276)</f>
        <v>1094500</v>
      </c>
      <c r="J276" s="2"/>
      <c r="K276" s="2"/>
    </row>
    <row r="277">
      <c r="A277" s="2"/>
      <c r="B277" s="2"/>
      <c r="C277" s="2"/>
      <c r="D277" s="22" t="s">
        <v>12</v>
      </c>
      <c r="E277" s="2"/>
      <c r="F277" s="22">
        <v>3.0</v>
      </c>
      <c r="G277" s="33">
        <v>2500.0</v>
      </c>
      <c r="H277" s="27">
        <f>F277*G277</f>
        <v>7500</v>
      </c>
      <c r="I277" s="27"/>
      <c r="J277" s="27">
        <f>H277</f>
        <v>7500</v>
      </c>
      <c r="K277" s="2"/>
    </row>
    <row r="278">
      <c r="A278" s="63" t="s">
        <v>636</v>
      </c>
      <c r="B278" s="64"/>
      <c r="C278" s="64"/>
      <c r="D278" s="64"/>
      <c r="E278" s="64"/>
      <c r="F278" s="64"/>
      <c r="G278" s="66"/>
      <c r="H278" s="50" t="s">
        <v>11</v>
      </c>
      <c r="I278" s="67">
        <f t="shared" ref="I278:J278" si="44">SUM(I279:I284)</f>
        <v>6975000</v>
      </c>
      <c r="J278" s="67">
        <f t="shared" si="44"/>
        <v>2500</v>
      </c>
      <c r="K278" s="2"/>
    </row>
    <row r="279">
      <c r="A279" s="2"/>
      <c r="B279" s="2"/>
      <c r="C279" s="22" t="s">
        <v>989</v>
      </c>
      <c r="D279" s="22" t="s">
        <v>990</v>
      </c>
      <c r="E279" s="22" t="s">
        <v>16</v>
      </c>
      <c r="F279" s="22">
        <v>5.0</v>
      </c>
      <c r="G279" s="33">
        <v>45000.0</v>
      </c>
      <c r="H279" s="27">
        <f t="shared" ref="H279:H284" si="45">F279*G279</f>
        <v>225000</v>
      </c>
      <c r="I279" s="41">
        <f>H279</f>
        <v>225000</v>
      </c>
      <c r="J279" s="2"/>
      <c r="K279" s="2"/>
    </row>
    <row r="280">
      <c r="A280" s="2"/>
      <c r="B280" s="2"/>
      <c r="C280" s="39" t="s">
        <v>637</v>
      </c>
      <c r="D280" s="39" t="s">
        <v>991</v>
      </c>
      <c r="E280" s="39" t="s">
        <v>779</v>
      </c>
      <c r="F280" s="39">
        <v>2.0</v>
      </c>
      <c r="G280" s="38">
        <v>1125000.0</v>
      </c>
      <c r="H280" s="27">
        <f t="shared" si="45"/>
        <v>2250000</v>
      </c>
      <c r="I280" s="27"/>
      <c r="J280" s="2"/>
      <c r="K280" s="2"/>
    </row>
    <row r="281">
      <c r="A281" s="2"/>
      <c r="B281" s="2"/>
      <c r="D281" s="39" t="s">
        <v>992</v>
      </c>
      <c r="E281" s="39" t="s">
        <v>779</v>
      </c>
      <c r="F281" s="39">
        <v>2.0</v>
      </c>
      <c r="G281" s="38">
        <v>1125000.0</v>
      </c>
      <c r="H281" s="27">
        <f t="shared" si="45"/>
        <v>2250000</v>
      </c>
      <c r="I281" s="27"/>
      <c r="J281" s="2"/>
      <c r="K281" s="2"/>
    </row>
    <row r="282">
      <c r="A282" s="2"/>
      <c r="B282" s="2"/>
      <c r="D282" s="39" t="s">
        <v>993</v>
      </c>
      <c r="E282" s="39" t="s">
        <v>779</v>
      </c>
      <c r="F282" s="39">
        <v>1.0</v>
      </c>
      <c r="G282" s="38">
        <v>1125000.0</v>
      </c>
      <c r="H282" s="27">
        <f t="shared" si="45"/>
        <v>1125000</v>
      </c>
      <c r="I282" s="27"/>
      <c r="J282" s="2"/>
      <c r="K282" s="2"/>
    </row>
    <row r="283">
      <c r="A283" s="2"/>
      <c r="B283" s="2"/>
      <c r="D283" s="39" t="s">
        <v>994</v>
      </c>
      <c r="E283" s="39" t="s">
        <v>779</v>
      </c>
      <c r="F283" s="39">
        <v>1.0</v>
      </c>
      <c r="G283" s="38">
        <v>1125000.0</v>
      </c>
      <c r="H283" s="27">
        <f t="shared" si="45"/>
        <v>1125000</v>
      </c>
      <c r="I283" s="41">
        <f>SUM(H280:H283)</f>
        <v>6750000</v>
      </c>
      <c r="J283" s="2"/>
      <c r="K283" s="2"/>
    </row>
    <row r="284">
      <c r="A284" s="2"/>
      <c r="B284" s="2"/>
      <c r="C284" s="2"/>
      <c r="D284" s="22" t="s">
        <v>12</v>
      </c>
      <c r="E284" s="2"/>
      <c r="F284" s="22">
        <v>1.0</v>
      </c>
      <c r="G284" s="33">
        <v>2500.0</v>
      </c>
      <c r="H284" s="27">
        <f t="shared" si="45"/>
        <v>2500</v>
      </c>
      <c r="I284" s="27"/>
      <c r="J284" s="27">
        <f>H284</f>
        <v>2500</v>
      </c>
      <c r="K284" s="2"/>
    </row>
    <row r="285">
      <c r="A285" s="63" t="s">
        <v>665</v>
      </c>
      <c r="B285" s="64"/>
      <c r="C285" s="64"/>
      <c r="D285" s="64"/>
      <c r="E285" s="64"/>
      <c r="F285" s="64"/>
      <c r="G285" s="66"/>
      <c r="H285" s="50" t="s">
        <v>11</v>
      </c>
      <c r="I285" s="67">
        <f t="shared" ref="I285:J285" si="46">SUM(I286:I299)</f>
        <v>3562100</v>
      </c>
      <c r="J285" s="67">
        <f t="shared" si="46"/>
        <v>2500</v>
      </c>
      <c r="K285" s="2"/>
    </row>
    <row r="286">
      <c r="A286" s="2"/>
      <c r="B286" s="2"/>
      <c r="C286" s="22" t="s">
        <v>976</v>
      </c>
      <c r="D286" s="22" t="s">
        <v>995</v>
      </c>
      <c r="E286" s="22" t="s">
        <v>798</v>
      </c>
      <c r="F286" s="22">
        <v>50.0</v>
      </c>
      <c r="G286" s="33">
        <v>28000.0</v>
      </c>
      <c r="H286" s="27">
        <f t="shared" ref="H286:H299" si="47">F286*G286</f>
        <v>1400000</v>
      </c>
      <c r="I286" s="27"/>
      <c r="J286" s="2"/>
      <c r="K286" s="2"/>
    </row>
    <row r="287">
      <c r="A287" s="2"/>
      <c r="B287" s="2"/>
      <c r="C287" s="2"/>
      <c r="D287" s="22" t="s">
        <v>996</v>
      </c>
      <c r="E287" s="22" t="s">
        <v>50</v>
      </c>
      <c r="F287" s="22">
        <v>19.0</v>
      </c>
      <c r="G287" s="33">
        <v>2000.0</v>
      </c>
      <c r="H287" s="27">
        <f t="shared" si="47"/>
        <v>38000</v>
      </c>
      <c r="I287" s="27"/>
      <c r="J287" s="2"/>
      <c r="K287" s="2"/>
    </row>
    <row r="288">
      <c r="A288" s="2"/>
      <c r="B288" s="2"/>
      <c r="C288" s="2"/>
      <c r="D288" s="22" t="s">
        <v>997</v>
      </c>
      <c r="E288" s="22" t="s">
        <v>798</v>
      </c>
      <c r="F288" s="22">
        <v>6.0</v>
      </c>
      <c r="G288" s="33">
        <v>55000.0</v>
      </c>
      <c r="H288" s="27">
        <f t="shared" si="47"/>
        <v>330000</v>
      </c>
      <c r="I288" s="27"/>
      <c r="J288" s="2"/>
      <c r="K288" s="2"/>
    </row>
    <row r="289">
      <c r="A289" s="2"/>
      <c r="B289" s="2"/>
      <c r="C289" s="2"/>
      <c r="D289" s="22" t="s">
        <v>998</v>
      </c>
      <c r="E289" s="22" t="s">
        <v>90</v>
      </c>
      <c r="F289" s="22">
        <v>25.0</v>
      </c>
      <c r="G289" s="33">
        <v>9500.0</v>
      </c>
      <c r="H289" s="27">
        <f t="shared" si="47"/>
        <v>237500</v>
      </c>
      <c r="I289" s="27"/>
      <c r="J289" s="2"/>
      <c r="K289" s="2"/>
    </row>
    <row r="290">
      <c r="A290" s="2"/>
      <c r="B290" s="2"/>
      <c r="C290" s="2"/>
      <c r="D290" s="22" t="s">
        <v>997</v>
      </c>
      <c r="E290" s="22" t="s">
        <v>798</v>
      </c>
      <c r="F290" s="22">
        <v>16.0</v>
      </c>
      <c r="G290" s="33">
        <v>107000.0</v>
      </c>
      <c r="H290" s="27">
        <f t="shared" si="47"/>
        <v>1712000</v>
      </c>
      <c r="I290" s="27"/>
      <c r="J290" s="2"/>
      <c r="K290" s="2"/>
    </row>
    <row r="291">
      <c r="A291" s="2"/>
      <c r="B291" s="2"/>
      <c r="C291" s="2"/>
      <c r="D291" s="22" t="s">
        <v>999</v>
      </c>
      <c r="E291" s="22" t="s">
        <v>90</v>
      </c>
      <c r="F291" s="22">
        <v>26.0</v>
      </c>
      <c r="G291" s="33">
        <v>9600.0</v>
      </c>
      <c r="H291" s="27">
        <f t="shared" si="47"/>
        <v>249600</v>
      </c>
      <c r="I291" s="27"/>
      <c r="J291" s="2"/>
      <c r="K291" s="2"/>
    </row>
    <row r="292">
      <c r="A292" s="2"/>
      <c r="B292" s="2"/>
      <c r="C292" s="2"/>
      <c r="D292" s="22" t="s">
        <v>1000</v>
      </c>
      <c r="E292" s="22" t="s">
        <v>798</v>
      </c>
      <c r="F292" s="22">
        <v>16.0</v>
      </c>
      <c r="G292" s="33">
        <v>-55000.0</v>
      </c>
      <c r="H292" s="27">
        <f t="shared" si="47"/>
        <v>-880000</v>
      </c>
      <c r="I292" s="41">
        <f>SUM(H286:H292)</f>
        <v>3087100</v>
      </c>
      <c r="J292" s="22" t="s">
        <v>17</v>
      </c>
      <c r="K292" s="2"/>
    </row>
    <row r="293">
      <c r="A293" s="2"/>
      <c r="B293" s="2"/>
      <c r="C293" s="22" t="s">
        <v>148</v>
      </c>
      <c r="D293" s="22" t="s">
        <v>1001</v>
      </c>
      <c r="E293" s="22" t="s">
        <v>16</v>
      </c>
      <c r="F293" s="22">
        <v>6.0</v>
      </c>
      <c r="G293" s="33">
        <v>36000.0</v>
      </c>
      <c r="H293" s="27">
        <f t="shared" si="47"/>
        <v>216000</v>
      </c>
      <c r="I293" s="27"/>
      <c r="J293" s="2"/>
      <c r="K293" s="2"/>
    </row>
    <row r="294">
      <c r="A294" s="2"/>
      <c r="B294" s="2"/>
      <c r="C294" s="2"/>
      <c r="D294" s="22" t="s">
        <v>1002</v>
      </c>
      <c r="E294" s="22" t="s">
        <v>50</v>
      </c>
      <c r="F294" s="22">
        <v>1.0</v>
      </c>
      <c r="G294" s="33">
        <v>38000.0</v>
      </c>
      <c r="H294" s="27">
        <f t="shared" si="47"/>
        <v>38000</v>
      </c>
      <c r="I294" s="27"/>
      <c r="J294" s="2"/>
      <c r="K294" s="2"/>
    </row>
    <row r="295">
      <c r="A295" s="2"/>
      <c r="B295" s="2"/>
      <c r="C295" s="2"/>
      <c r="D295" s="22" t="s">
        <v>1003</v>
      </c>
      <c r="E295" s="22" t="s">
        <v>50</v>
      </c>
      <c r="F295" s="22">
        <v>2.0</v>
      </c>
      <c r="G295" s="33">
        <v>12000.0</v>
      </c>
      <c r="H295" s="27">
        <f t="shared" si="47"/>
        <v>24000</v>
      </c>
      <c r="I295" s="27"/>
      <c r="J295" s="2"/>
      <c r="K295" s="2"/>
    </row>
    <row r="296">
      <c r="A296" s="2"/>
      <c r="B296" s="2"/>
      <c r="C296" s="2"/>
      <c r="D296" s="22" t="s">
        <v>1004</v>
      </c>
      <c r="E296" s="22" t="s">
        <v>50</v>
      </c>
      <c r="F296" s="22">
        <v>2.0</v>
      </c>
      <c r="G296" s="33">
        <v>12000.0</v>
      </c>
      <c r="H296" s="27">
        <f t="shared" si="47"/>
        <v>24000</v>
      </c>
      <c r="I296" s="27"/>
      <c r="J296" s="2"/>
      <c r="K296" s="2"/>
    </row>
    <row r="297">
      <c r="A297" s="2"/>
      <c r="B297" s="2"/>
      <c r="C297" s="2"/>
      <c r="D297" s="22" t="s">
        <v>1005</v>
      </c>
      <c r="E297" s="22" t="s">
        <v>50</v>
      </c>
      <c r="F297" s="22">
        <v>2.0</v>
      </c>
      <c r="G297" s="33">
        <v>12000.0</v>
      </c>
      <c r="H297" s="27">
        <f t="shared" si="47"/>
        <v>24000</v>
      </c>
      <c r="I297" s="27"/>
      <c r="J297" s="2"/>
      <c r="K297" s="2"/>
    </row>
    <row r="298">
      <c r="A298" s="2"/>
      <c r="B298" s="2"/>
      <c r="C298" s="2"/>
      <c r="D298" s="22" t="s">
        <v>1006</v>
      </c>
      <c r="E298" s="22" t="s">
        <v>50</v>
      </c>
      <c r="F298" s="22">
        <v>10.0</v>
      </c>
      <c r="G298" s="33">
        <v>14900.0</v>
      </c>
      <c r="H298" s="27">
        <f t="shared" si="47"/>
        <v>149000</v>
      </c>
      <c r="I298" s="41">
        <f>SUM(H293:H298)</f>
        <v>475000</v>
      </c>
      <c r="J298" s="22" t="s">
        <v>17</v>
      </c>
      <c r="K298" s="2"/>
    </row>
    <row r="299">
      <c r="A299" s="2"/>
      <c r="B299" s="2"/>
      <c r="C299" s="2"/>
      <c r="D299" s="22" t="s">
        <v>12</v>
      </c>
      <c r="E299" s="2"/>
      <c r="F299" s="22">
        <v>1.0</v>
      </c>
      <c r="G299" s="33">
        <v>2500.0</v>
      </c>
      <c r="H299" s="27">
        <f t="shared" si="47"/>
        <v>2500</v>
      </c>
      <c r="I299" s="27"/>
      <c r="J299" s="27">
        <f>H299</f>
        <v>2500</v>
      </c>
      <c r="K299" s="2"/>
    </row>
    <row r="300">
      <c r="A300" s="63" t="s">
        <v>707</v>
      </c>
      <c r="B300" s="64"/>
      <c r="C300" s="64"/>
      <c r="D300" s="64"/>
      <c r="E300" s="64"/>
      <c r="F300" s="64"/>
      <c r="G300" s="66"/>
      <c r="H300" s="50" t="s">
        <v>11</v>
      </c>
      <c r="I300" s="67">
        <f t="shared" ref="I300:J300" si="48">SUM(I301:I314)</f>
        <v>18955000</v>
      </c>
      <c r="J300" s="67">
        <f t="shared" si="48"/>
        <v>10000</v>
      </c>
      <c r="K300" s="2"/>
    </row>
    <row r="301">
      <c r="A301" s="2"/>
      <c r="B301" s="2"/>
      <c r="C301" s="39" t="s">
        <v>637</v>
      </c>
      <c r="D301" s="39" t="s">
        <v>1007</v>
      </c>
      <c r="E301" s="39" t="s">
        <v>779</v>
      </c>
      <c r="F301" s="39">
        <v>2.0</v>
      </c>
      <c r="G301" s="38">
        <v>1125000.0</v>
      </c>
      <c r="H301" s="27">
        <f t="shared" ref="H301:H314" si="49">G301*F301</f>
        <v>2250000</v>
      </c>
      <c r="I301" s="27"/>
      <c r="J301" s="2"/>
      <c r="K301" s="2"/>
    </row>
    <row r="302">
      <c r="A302" s="2"/>
      <c r="B302" s="2"/>
      <c r="C302" s="39" t="s">
        <v>637</v>
      </c>
      <c r="D302" s="39" t="s">
        <v>1008</v>
      </c>
      <c r="E302" s="39" t="s">
        <v>779</v>
      </c>
      <c r="F302" s="39">
        <v>1.0</v>
      </c>
      <c r="G302" s="38">
        <v>1190000.0</v>
      </c>
      <c r="H302" s="27">
        <f t="shared" si="49"/>
        <v>1190000</v>
      </c>
      <c r="I302" s="27"/>
      <c r="J302" s="2"/>
      <c r="K302" s="2"/>
    </row>
    <row r="303">
      <c r="A303" s="2"/>
      <c r="B303" s="2"/>
      <c r="C303" s="39" t="s">
        <v>637</v>
      </c>
      <c r="D303" s="39" t="s">
        <v>1009</v>
      </c>
      <c r="E303" s="39" t="s">
        <v>779</v>
      </c>
      <c r="F303" s="39">
        <v>1.0</v>
      </c>
      <c r="G303" s="38">
        <v>1190000.0</v>
      </c>
      <c r="H303" s="27">
        <f t="shared" si="49"/>
        <v>1190000</v>
      </c>
      <c r="I303" s="27"/>
      <c r="J303" s="2"/>
      <c r="K303" s="2"/>
    </row>
    <row r="304">
      <c r="A304" s="2"/>
      <c r="B304" s="2"/>
      <c r="C304" s="39" t="s">
        <v>637</v>
      </c>
      <c r="D304" s="39" t="s">
        <v>1010</v>
      </c>
      <c r="E304" s="39" t="s">
        <v>779</v>
      </c>
      <c r="F304" s="39">
        <v>2.0</v>
      </c>
      <c r="G304" s="38">
        <v>1190000.0</v>
      </c>
      <c r="H304" s="27">
        <f t="shared" si="49"/>
        <v>2380000</v>
      </c>
      <c r="I304" s="41">
        <f>sum(H301:H304)</f>
        <v>7010000</v>
      </c>
      <c r="J304" s="22"/>
      <c r="K304" s="22" t="s">
        <v>17</v>
      </c>
    </row>
    <row r="305">
      <c r="A305" s="2"/>
      <c r="B305" s="2"/>
      <c r="C305" s="39" t="s">
        <v>637</v>
      </c>
      <c r="D305" s="39" t="s">
        <v>1011</v>
      </c>
      <c r="E305" s="39" t="s">
        <v>779</v>
      </c>
      <c r="F305" s="39">
        <v>3.0</v>
      </c>
      <c r="G305" s="38">
        <v>1190000.0</v>
      </c>
      <c r="H305" s="27">
        <f t="shared" si="49"/>
        <v>3570000</v>
      </c>
      <c r="I305" s="27"/>
      <c r="J305" s="2"/>
      <c r="K305" s="2"/>
    </row>
    <row r="306">
      <c r="A306" s="2"/>
      <c r="B306" s="2"/>
      <c r="D306" s="39" t="s">
        <v>1012</v>
      </c>
      <c r="E306" s="39" t="s">
        <v>779</v>
      </c>
      <c r="F306" s="39">
        <v>1.0</v>
      </c>
      <c r="G306" s="38">
        <v>1190000.0</v>
      </c>
      <c r="H306" s="27">
        <f t="shared" si="49"/>
        <v>1190000</v>
      </c>
      <c r="I306" s="27"/>
      <c r="J306" s="2"/>
      <c r="K306" s="2"/>
    </row>
    <row r="307">
      <c r="A307" s="2"/>
      <c r="B307" s="2"/>
      <c r="D307" s="39" t="s">
        <v>1013</v>
      </c>
      <c r="E307" s="39" t="s">
        <v>779</v>
      </c>
      <c r="F307" s="39">
        <v>2.0</v>
      </c>
      <c r="G307" s="38">
        <v>255000.0</v>
      </c>
      <c r="H307" s="27">
        <f t="shared" si="49"/>
        <v>510000</v>
      </c>
      <c r="I307" s="27"/>
      <c r="J307" s="2"/>
      <c r="K307" s="2"/>
    </row>
    <row r="308">
      <c r="A308" s="2"/>
      <c r="B308" s="2"/>
      <c r="C308" s="39" t="s">
        <v>637</v>
      </c>
      <c r="D308" s="39" t="s">
        <v>1014</v>
      </c>
      <c r="E308" s="39" t="s">
        <v>779</v>
      </c>
      <c r="F308" s="39">
        <v>2.0</v>
      </c>
      <c r="G308" s="38">
        <v>1125000.0</v>
      </c>
      <c r="H308" s="27">
        <f t="shared" si="49"/>
        <v>2250000</v>
      </c>
      <c r="I308" s="27"/>
      <c r="J308" s="2"/>
      <c r="K308" s="2"/>
    </row>
    <row r="309">
      <c r="A309" s="2"/>
      <c r="B309" s="2"/>
      <c r="C309" s="39" t="s">
        <v>637</v>
      </c>
      <c r="D309" s="39" t="s">
        <v>1015</v>
      </c>
      <c r="E309" s="39" t="s">
        <v>779</v>
      </c>
      <c r="F309" s="39">
        <v>1.0</v>
      </c>
      <c r="G309" s="38">
        <v>255000.0</v>
      </c>
      <c r="H309" s="27">
        <f t="shared" si="49"/>
        <v>255000</v>
      </c>
      <c r="I309" s="41">
        <f>sum(H305:H309)</f>
        <v>7775000</v>
      </c>
      <c r="J309" s="22"/>
      <c r="K309" s="22" t="s">
        <v>17</v>
      </c>
    </row>
    <row r="310">
      <c r="A310" s="2"/>
      <c r="B310" s="2"/>
      <c r="C310" s="22" t="s">
        <v>969</v>
      </c>
      <c r="D310" s="22" t="s">
        <v>970</v>
      </c>
      <c r="E310" s="22" t="s">
        <v>90</v>
      </c>
      <c r="F310" s="22">
        <v>50.0</v>
      </c>
      <c r="G310" s="33">
        <v>73000.0</v>
      </c>
      <c r="H310" s="27">
        <f t="shared" si="49"/>
        <v>3650000</v>
      </c>
      <c r="I310" s="41">
        <f>H310</f>
        <v>3650000</v>
      </c>
      <c r="J310" s="22"/>
      <c r="K310" s="22" t="s">
        <v>17</v>
      </c>
    </row>
    <row r="311">
      <c r="A311" s="2"/>
      <c r="B311" s="2"/>
      <c r="C311" s="39" t="s">
        <v>637</v>
      </c>
      <c r="D311" s="39" t="s">
        <v>1016</v>
      </c>
      <c r="E311" s="39" t="s">
        <v>779</v>
      </c>
      <c r="F311" s="39">
        <v>4.0</v>
      </c>
      <c r="G311" s="38">
        <v>65000.0</v>
      </c>
      <c r="H311" s="27">
        <f t="shared" si="49"/>
        <v>260000</v>
      </c>
      <c r="K311" s="2"/>
    </row>
    <row r="312">
      <c r="A312" s="2"/>
      <c r="B312" s="2"/>
      <c r="D312" s="39" t="s">
        <v>1017</v>
      </c>
      <c r="E312" s="39" t="s">
        <v>779</v>
      </c>
      <c r="F312" s="39">
        <v>2.0</v>
      </c>
      <c r="G312" s="38">
        <v>65000.0</v>
      </c>
      <c r="H312" s="27">
        <f t="shared" si="49"/>
        <v>130000</v>
      </c>
      <c r="K312" s="2"/>
    </row>
    <row r="313">
      <c r="A313" s="2"/>
      <c r="B313" s="2"/>
      <c r="D313" s="39" t="s">
        <v>1018</v>
      </c>
      <c r="E313" s="39" t="s">
        <v>779</v>
      </c>
      <c r="F313" s="39">
        <v>2.0</v>
      </c>
      <c r="G313" s="39">
        <v>65000.0</v>
      </c>
      <c r="H313" s="27">
        <f t="shared" si="49"/>
        <v>130000</v>
      </c>
      <c r="I313" s="54">
        <f>SUM(H311:H313)</f>
        <v>520000</v>
      </c>
      <c r="J313" s="22"/>
      <c r="K313" s="22" t="s">
        <v>17</v>
      </c>
    </row>
    <row r="314">
      <c r="A314" s="2"/>
      <c r="B314" s="2"/>
      <c r="C314" s="2"/>
      <c r="D314" s="22" t="s">
        <v>12</v>
      </c>
      <c r="E314" s="2"/>
      <c r="F314" s="22">
        <v>4.0</v>
      </c>
      <c r="G314" s="33">
        <v>2500.0</v>
      </c>
      <c r="H314" s="27">
        <f t="shared" si="49"/>
        <v>10000</v>
      </c>
      <c r="I314" s="27"/>
      <c r="J314" s="33">
        <f>H314</f>
        <v>10000</v>
      </c>
      <c r="K314" s="2"/>
    </row>
    <row r="315">
      <c r="A315" s="63" t="s">
        <v>1019</v>
      </c>
      <c r="B315" s="64"/>
      <c r="C315" s="64"/>
      <c r="D315" s="64"/>
      <c r="E315" s="64"/>
      <c r="F315" s="64"/>
      <c r="G315" s="66"/>
      <c r="H315" s="50" t="s">
        <v>11</v>
      </c>
      <c r="I315" s="67">
        <f t="shared" ref="I315:J315" si="50">SUM(I316:I336)</f>
        <v>13996670</v>
      </c>
      <c r="J315" s="67">
        <f t="shared" si="50"/>
        <v>2500</v>
      </c>
      <c r="K315" s="2"/>
    </row>
    <row r="316">
      <c r="A316" s="2"/>
      <c r="B316" s="2"/>
      <c r="C316" s="22" t="s">
        <v>862</v>
      </c>
      <c r="D316" s="22" t="s">
        <v>1020</v>
      </c>
      <c r="E316" s="22" t="s">
        <v>472</v>
      </c>
      <c r="F316" s="22">
        <v>50.0</v>
      </c>
      <c r="G316" s="33">
        <v>19200.0</v>
      </c>
      <c r="H316" s="27">
        <f t="shared" ref="H316:H336" si="51">F316*G316</f>
        <v>960000</v>
      </c>
      <c r="I316" s="27"/>
      <c r="J316" s="2"/>
      <c r="K316" s="2"/>
    </row>
    <row r="317">
      <c r="A317" s="2"/>
      <c r="B317" s="2"/>
      <c r="C317" s="2"/>
      <c r="D317" s="22" t="s">
        <v>1021</v>
      </c>
      <c r="E317" s="22" t="s">
        <v>472</v>
      </c>
      <c r="F317" s="22">
        <v>30.0</v>
      </c>
      <c r="G317" s="33">
        <v>19199.0</v>
      </c>
      <c r="H317" s="27">
        <f t="shared" si="51"/>
        <v>575970</v>
      </c>
      <c r="I317" s="27"/>
      <c r="J317" s="2"/>
      <c r="K317" s="2"/>
    </row>
    <row r="318">
      <c r="A318" s="2"/>
      <c r="B318" s="2"/>
      <c r="C318" s="2"/>
      <c r="D318" s="22" t="s">
        <v>1022</v>
      </c>
      <c r="E318" s="22" t="s">
        <v>472</v>
      </c>
      <c r="F318" s="22">
        <v>50.0</v>
      </c>
      <c r="G318" s="33">
        <v>19198.0</v>
      </c>
      <c r="H318" s="27">
        <f t="shared" si="51"/>
        <v>959900</v>
      </c>
      <c r="I318" s="27"/>
      <c r="J318" s="2"/>
      <c r="K318" s="2"/>
    </row>
    <row r="319">
      <c r="A319" s="2"/>
      <c r="B319" s="2"/>
      <c r="C319" s="2"/>
      <c r="D319" s="22" t="s">
        <v>1022</v>
      </c>
      <c r="E319" s="22" t="s">
        <v>472</v>
      </c>
      <c r="F319" s="22">
        <v>25.0</v>
      </c>
      <c r="G319" s="33">
        <v>19200.0</v>
      </c>
      <c r="H319" s="27">
        <f t="shared" si="51"/>
        <v>480000</v>
      </c>
      <c r="I319" s="27"/>
      <c r="J319" s="2"/>
      <c r="K319" s="2"/>
    </row>
    <row r="320">
      <c r="A320" s="2"/>
      <c r="B320" s="2"/>
      <c r="C320" s="2"/>
      <c r="D320" s="22" t="s">
        <v>1022</v>
      </c>
      <c r="E320" s="22" t="s">
        <v>472</v>
      </c>
      <c r="F320" s="22">
        <v>30.0</v>
      </c>
      <c r="G320" s="33">
        <v>19200.0</v>
      </c>
      <c r="H320" s="27">
        <f t="shared" si="51"/>
        <v>576000</v>
      </c>
      <c r="I320" s="27"/>
      <c r="J320" s="2"/>
      <c r="K320" s="2"/>
    </row>
    <row r="321">
      <c r="A321" s="2"/>
      <c r="B321" s="2"/>
      <c r="C321" s="2"/>
      <c r="D321" s="22" t="s">
        <v>1022</v>
      </c>
      <c r="E321" s="22" t="s">
        <v>472</v>
      </c>
      <c r="F321" s="22">
        <v>3.0</v>
      </c>
      <c r="G321" s="33">
        <v>19200.0</v>
      </c>
      <c r="H321" s="27">
        <f t="shared" si="51"/>
        <v>57600</v>
      </c>
      <c r="I321" s="27"/>
      <c r="J321" s="2"/>
      <c r="K321" s="2"/>
    </row>
    <row r="322">
      <c r="A322" s="2"/>
      <c r="B322" s="2"/>
      <c r="C322" s="2"/>
      <c r="D322" s="22" t="s">
        <v>1023</v>
      </c>
      <c r="E322" s="22" t="s">
        <v>472</v>
      </c>
      <c r="F322" s="22">
        <v>25.0</v>
      </c>
      <c r="G322" s="33">
        <v>19200.0</v>
      </c>
      <c r="H322" s="27">
        <f t="shared" si="51"/>
        <v>480000</v>
      </c>
      <c r="I322" s="27"/>
      <c r="J322" s="2"/>
      <c r="K322" s="2"/>
    </row>
    <row r="323">
      <c r="A323" s="2"/>
      <c r="B323" s="2"/>
      <c r="C323" s="2"/>
      <c r="D323" s="22" t="s">
        <v>1023</v>
      </c>
      <c r="E323" s="22" t="s">
        <v>472</v>
      </c>
      <c r="F323" s="22">
        <v>32.0</v>
      </c>
      <c r="G323" s="33">
        <v>19200.0</v>
      </c>
      <c r="H323" s="27">
        <f t="shared" si="51"/>
        <v>614400</v>
      </c>
      <c r="I323" s="27"/>
      <c r="J323" s="2"/>
      <c r="K323" s="2"/>
    </row>
    <row r="324">
      <c r="A324" s="2"/>
      <c r="B324" s="2"/>
      <c r="C324" s="2"/>
      <c r="D324" s="22" t="s">
        <v>1023</v>
      </c>
      <c r="E324" s="22" t="s">
        <v>472</v>
      </c>
      <c r="F324" s="22">
        <v>28.0</v>
      </c>
      <c r="G324" s="33">
        <v>19200.0</v>
      </c>
      <c r="H324" s="27">
        <f t="shared" si="51"/>
        <v>537600</v>
      </c>
      <c r="I324" s="27"/>
      <c r="J324" s="2"/>
      <c r="K324" s="2"/>
    </row>
    <row r="325">
      <c r="A325" s="2"/>
      <c r="B325" s="2"/>
      <c r="C325" s="2"/>
      <c r="D325" s="22" t="s">
        <v>1024</v>
      </c>
      <c r="E325" s="22" t="s">
        <v>472</v>
      </c>
      <c r="F325" s="22">
        <v>60.0</v>
      </c>
      <c r="G325" s="33">
        <v>19200.0</v>
      </c>
      <c r="H325" s="27">
        <f t="shared" si="51"/>
        <v>1152000</v>
      </c>
      <c r="I325" s="27"/>
      <c r="J325" s="2"/>
      <c r="K325" s="2"/>
    </row>
    <row r="326">
      <c r="A326" s="2"/>
      <c r="B326" s="2"/>
      <c r="C326" s="2"/>
      <c r="D326" s="22" t="s">
        <v>1025</v>
      </c>
      <c r="E326" s="22" t="s">
        <v>472</v>
      </c>
      <c r="F326" s="22">
        <v>25.0</v>
      </c>
      <c r="G326" s="33">
        <v>19200.0</v>
      </c>
      <c r="H326" s="27">
        <f t="shared" si="51"/>
        <v>480000</v>
      </c>
      <c r="I326" s="27"/>
      <c r="J326" s="2"/>
      <c r="K326" s="2"/>
    </row>
    <row r="327">
      <c r="A327" s="2"/>
      <c r="B327" s="2"/>
      <c r="C327" s="2"/>
      <c r="D327" s="22" t="s">
        <v>1025</v>
      </c>
      <c r="E327" s="22" t="s">
        <v>472</v>
      </c>
      <c r="F327" s="22">
        <v>50.0</v>
      </c>
      <c r="G327" s="33">
        <v>19200.0</v>
      </c>
      <c r="H327" s="27">
        <f t="shared" si="51"/>
        <v>960000</v>
      </c>
      <c r="I327" s="27"/>
      <c r="J327" s="2"/>
      <c r="K327" s="2"/>
    </row>
    <row r="328">
      <c r="A328" s="2"/>
      <c r="B328" s="2"/>
      <c r="C328" s="2"/>
      <c r="D328" s="22" t="s">
        <v>1026</v>
      </c>
      <c r="E328" s="22" t="s">
        <v>472</v>
      </c>
      <c r="F328" s="22">
        <v>37.0</v>
      </c>
      <c r="G328" s="33">
        <v>19200.0</v>
      </c>
      <c r="H328" s="27">
        <f t="shared" si="51"/>
        <v>710400</v>
      </c>
      <c r="I328" s="27"/>
      <c r="J328" s="2"/>
      <c r="K328" s="2"/>
    </row>
    <row r="329">
      <c r="A329" s="2"/>
      <c r="B329" s="2"/>
      <c r="C329" s="2"/>
      <c r="D329" s="22" t="s">
        <v>1027</v>
      </c>
      <c r="E329" s="22" t="s">
        <v>472</v>
      </c>
      <c r="F329" s="22">
        <v>25.0</v>
      </c>
      <c r="G329" s="33">
        <v>19200.0</v>
      </c>
      <c r="H329" s="27">
        <f t="shared" si="51"/>
        <v>480000</v>
      </c>
      <c r="I329" s="27"/>
      <c r="J329" s="2"/>
      <c r="K329" s="2"/>
    </row>
    <row r="330">
      <c r="A330" s="2"/>
      <c r="B330" s="2"/>
      <c r="C330" s="2"/>
      <c r="D330" s="22" t="s">
        <v>1028</v>
      </c>
      <c r="E330" s="22" t="s">
        <v>472</v>
      </c>
      <c r="F330" s="22">
        <v>75.0</v>
      </c>
      <c r="G330" s="33">
        <v>19200.0</v>
      </c>
      <c r="H330" s="27">
        <f t="shared" si="51"/>
        <v>1440000</v>
      </c>
      <c r="I330" s="27"/>
      <c r="J330" s="2"/>
      <c r="K330" s="2"/>
    </row>
    <row r="331">
      <c r="A331" s="2"/>
      <c r="B331" s="2"/>
      <c r="C331" s="2"/>
      <c r="D331" s="22" t="s">
        <v>1028</v>
      </c>
      <c r="E331" s="22" t="s">
        <v>472</v>
      </c>
      <c r="F331" s="22">
        <v>21.0</v>
      </c>
      <c r="G331" s="33">
        <v>19200.0</v>
      </c>
      <c r="H331" s="27">
        <f t="shared" si="51"/>
        <v>403200</v>
      </c>
      <c r="I331" s="27"/>
      <c r="J331" s="2"/>
      <c r="K331" s="2"/>
    </row>
    <row r="332">
      <c r="A332" s="2"/>
      <c r="B332" s="2"/>
      <c r="C332" s="2"/>
      <c r="D332" s="22" t="s">
        <v>1029</v>
      </c>
      <c r="E332" s="22" t="s">
        <v>472</v>
      </c>
      <c r="F332" s="22">
        <v>20.0</v>
      </c>
      <c r="G332" s="33">
        <v>19200.0</v>
      </c>
      <c r="H332" s="27">
        <f t="shared" si="51"/>
        <v>384000</v>
      </c>
      <c r="I332" s="27"/>
      <c r="J332" s="2"/>
      <c r="K332" s="2"/>
    </row>
    <row r="333">
      <c r="A333" s="2"/>
      <c r="B333" s="2"/>
      <c r="C333" s="2"/>
      <c r="D333" s="22" t="s">
        <v>1029</v>
      </c>
      <c r="E333" s="22" t="s">
        <v>472</v>
      </c>
      <c r="F333" s="22">
        <v>50.0</v>
      </c>
      <c r="G333" s="33">
        <v>19200.0</v>
      </c>
      <c r="H333" s="27">
        <f t="shared" si="51"/>
        <v>960000</v>
      </c>
      <c r="I333" s="27"/>
      <c r="J333" s="2"/>
      <c r="K333" s="2"/>
    </row>
    <row r="334">
      <c r="A334" s="2"/>
      <c r="B334" s="2"/>
      <c r="C334" s="2"/>
      <c r="D334" s="22" t="s">
        <v>1029</v>
      </c>
      <c r="E334" s="22" t="s">
        <v>472</v>
      </c>
      <c r="F334" s="22">
        <v>28.0</v>
      </c>
      <c r="G334" s="33">
        <v>19200.0</v>
      </c>
      <c r="H334" s="27">
        <f t="shared" si="51"/>
        <v>537600</v>
      </c>
      <c r="I334" s="27"/>
      <c r="J334" s="2"/>
      <c r="K334" s="2"/>
    </row>
    <row r="335">
      <c r="A335" s="2"/>
      <c r="B335" s="2"/>
      <c r="C335" s="2"/>
      <c r="D335" s="22" t="s">
        <v>1030</v>
      </c>
      <c r="E335" s="22" t="s">
        <v>472</v>
      </c>
      <c r="F335" s="22">
        <v>65.0</v>
      </c>
      <c r="G335" s="33">
        <v>19200.0</v>
      </c>
      <c r="H335" s="27">
        <f t="shared" si="51"/>
        <v>1248000</v>
      </c>
      <c r="I335" s="27">
        <f>SUM(H316:H335)</f>
        <v>13996670</v>
      </c>
      <c r="J335" s="2"/>
      <c r="K335" s="2"/>
    </row>
    <row r="336">
      <c r="A336" s="2"/>
      <c r="B336" s="2"/>
      <c r="C336" s="2"/>
      <c r="D336" s="22"/>
      <c r="E336" s="2"/>
      <c r="F336" s="22">
        <v>1.0</v>
      </c>
      <c r="G336" s="33">
        <v>2500.0</v>
      </c>
      <c r="H336" s="27">
        <f t="shared" si="51"/>
        <v>2500</v>
      </c>
      <c r="I336" s="27"/>
      <c r="J336" s="27">
        <f>H336</f>
        <v>2500</v>
      </c>
      <c r="K336" s="2"/>
    </row>
    <row r="337">
      <c r="A337" s="2"/>
      <c r="B337" s="2"/>
      <c r="C337" s="2"/>
      <c r="D337" s="2"/>
      <c r="E337" s="2"/>
      <c r="F337" s="2"/>
      <c r="G337" s="27"/>
      <c r="H337" s="27"/>
      <c r="I337" s="27"/>
      <c r="J337" s="2"/>
      <c r="K337" s="2"/>
    </row>
    <row r="338">
      <c r="A338" s="2"/>
      <c r="B338" s="2"/>
      <c r="C338" s="2"/>
      <c r="D338" s="2"/>
      <c r="E338" s="2"/>
      <c r="F338" s="2"/>
      <c r="G338" s="27"/>
      <c r="H338" s="27"/>
      <c r="I338" s="27"/>
      <c r="J338" s="2"/>
      <c r="K338" s="2"/>
    </row>
    <row r="339">
      <c r="A339" s="2"/>
      <c r="B339" s="2"/>
      <c r="C339" s="2"/>
      <c r="D339" s="2"/>
      <c r="E339" s="2"/>
      <c r="F339" s="2"/>
      <c r="G339" s="27"/>
      <c r="H339" s="27"/>
      <c r="I339" s="27"/>
      <c r="J339" s="2"/>
      <c r="K339" s="2"/>
    </row>
    <row r="340">
      <c r="A340" s="2"/>
      <c r="B340" s="2"/>
      <c r="C340" s="2"/>
      <c r="D340" s="2"/>
      <c r="E340" s="2"/>
      <c r="F340" s="2"/>
      <c r="G340" s="27"/>
      <c r="H340" s="27"/>
      <c r="I340" s="27"/>
      <c r="J340" s="2"/>
      <c r="K340" s="2"/>
    </row>
    <row r="341">
      <c r="A341" s="2"/>
      <c r="B341" s="2"/>
      <c r="C341" s="2"/>
      <c r="D341" s="2"/>
      <c r="E341" s="2"/>
      <c r="F341" s="2"/>
      <c r="G341" s="27"/>
      <c r="H341" s="27"/>
      <c r="I341" s="27"/>
      <c r="J341" s="2"/>
      <c r="K341" s="2"/>
    </row>
    <row r="342">
      <c r="A342" s="2"/>
      <c r="B342" s="2"/>
      <c r="C342" s="2"/>
      <c r="D342" s="2"/>
      <c r="E342" s="2"/>
      <c r="F342" s="2"/>
      <c r="G342" s="27"/>
      <c r="H342" s="27"/>
      <c r="I342" s="27"/>
      <c r="J342" s="2"/>
      <c r="K342" s="2"/>
    </row>
    <row r="343">
      <c r="A343" s="2"/>
      <c r="B343" s="2"/>
      <c r="C343" s="2"/>
      <c r="D343" s="2"/>
      <c r="E343" s="2"/>
      <c r="F343" s="2"/>
      <c r="G343" s="27"/>
      <c r="H343" s="27"/>
      <c r="I343" s="27"/>
      <c r="J343" s="2"/>
      <c r="K343" s="2"/>
    </row>
    <row r="344">
      <c r="A344" s="2"/>
      <c r="B344" s="2"/>
      <c r="C344" s="2"/>
      <c r="D344" s="2"/>
      <c r="E344" s="2"/>
      <c r="F344" s="2"/>
      <c r="G344" s="27"/>
      <c r="H344" s="27"/>
      <c r="I344" s="27"/>
      <c r="J344" s="2"/>
      <c r="K344" s="2"/>
    </row>
    <row r="345">
      <c r="A345" s="2"/>
      <c r="B345" s="2"/>
      <c r="C345" s="2"/>
      <c r="D345" s="2"/>
      <c r="E345" s="2"/>
      <c r="F345" s="2"/>
      <c r="G345" s="27"/>
      <c r="H345" s="27"/>
      <c r="I345" s="27"/>
      <c r="J345" s="2"/>
      <c r="K345" s="2"/>
    </row>
    <row r="346">
      <c r="A346" s="2"/>
      <c r="B346" s="2"/>
      <c r="C346" s="2"/>
      <c r="D346" s="2"/>
      <c r="E346" s="2"/>
      <c r="F346" s="2"/>
      <c r="G346" s="27"/>
      <c r="H346" s="27"/>
      <c r="I346" s="27"/>
      <c r="J346" s="2"/>
      <c r="K346" s="2"/>
    </row>
    <row r="347">
      <c r="A347" s="2"/>
      <c r="B347" s="2"/>
      <c r="C347" s="2"/>
      <c r="D347" s="2"/>
      <c r="E347" s="2"/>
      <c r="F347" s="2"/>
      <c r="G347" s="27"/>
      <c r="H347" s="27"/>
      <c r="I347" s="27"/>
      <c r="J347" s="2"/>
      <c r="K347" s="2"/>
    </row>
    <row r="348">
      <c r="A348" s="2"/>
      <c r="B348" s="2"/>
      <c r="C348" s="2"/>
      <c r="D348" s="2"/>
      <c r="E348" s="2"/>
      <c r="F348" s="2"/>
      <c r="G348" s="27"/>
      <c r="H348" s="27"/>
      <c r="I348" s="27"/>
      <c r="J348" s="2"/>
      <c r="K348" s="2"/>
    </row>
    <row r="349">
      <c r="A349" s="2"/>
      <c r="B349" s="2"/>
      <c r="C349" s="2"/>
      <c r="D349" s="2"/>
      <c r="E349" s="2"/>
      <c r="F349" s="2"/>
      <c r="G349" s="27"/>
      <c r="H349" s="27"/>
      <c r="I349" s="27"/>
      <c r="J349" s="2"/>
      <c r="K349" s="2"/>
    </row>
    <row r="350">
      <c r="A350" s="2"/>
      <c r="B350" s="2"/>
      <c r="C350" s="2"/>
      <c r="D350" s="2"/>
      <c r="E350" s="2"/>
      <c r="F350" s="2"/>
      <c r="G350" s="27"/>
      <c r="H350" s="27"/>
      <c r="I350" s="27"/>
      <c r="J350" s="2"/>
      <c r="K350" s="2"/>
    </row>
    <row r="351">
      <c r="A351" s="2"/>
      <c r="B351" s="2"/>
      <c r="C351" s="2"/>
      <c r="D351" s="2"/>
      <c r="E351" s="2"/>
      <c r="F351" s="2"/>
      <c r="G351" s="27"/>
      <c r="H351" s="27"/>
      <c r="I351" s="27"/>
      <c r="J351" s="2"/>
      <c r="K351" s="2"/>
    </row>
    <row r="352">
      <c r="A352" s="2"/>
      <c r="B352" s="2"/>
      <c r="C352" s="2"/>
      <c r="D352" s="2"/>
      <c r="E352" s="2"/>
      <c r="F352" s="2"/>
      <c r="G352" s="27"/>
      <c r="H352" s="27"/>
      <c r="I352" s="27"/>
      <c r="J352" s="2"/>
      <c r="K352" s="2"/>
    </row>
    <row r="353">
      <c r="A353" s="2"/>
      <c r="B353" s="2"/>
      <c r="C353" s="2"/>
      <c r="D353" s="2"/>
      <c r="E353" s="2"/>
      <c r="F353" s="2"/>
      <c r="G353" s="27"/>
      <c r="H353" s="27"/>
      <c r="I353" s="27"/>
      <c r="J353" s="2"/>
      <c r="K353" s="2"/>
    </row>
    <row r="354">
      <c r="A354" s="2"/>
      <c r="B354" s="2"/>
      <c r="C354" s="2"/>
      <c r="D354" s="2"/>
      <c r="E354" s="2"/>
      <c r="F354" s="2"/>
      <c r="G354" s="27"/>
      <c r="H354" s="27"/>
      <c r="I354" s="27"/>
      <c r="J354" s="2"/>
      <c r="K354" s="2"/>
    </row>
    <row r="355">
      <c r="A355" s="2"/>
      <c r="B355" s="2"/>
      <c r="C355" s="2"/>
      <c r="D355" s="2"/>
      <c r="E355" s="2"/>
      <c r="F355" s="2"/>
      <c r="G355" s="27"/>
      <c r="H355" s="27"/>
      <c r="I355" s="27"/>
      <c r="J355" s="2"/>
      <c r="K355" s="2"/>
    </row>
    <row r="356">
      <c r="A356" s="2"/>
      <c r="B356" s="2"/>
      <c r="C356" s="2"/>
      <c r="D356" s="2"/>
      <c r="E356" s="2"/>
      <c r="F356" s="2"/>
      <c r="G356" s="27"/>
      <c r="H356" s="27"/>
      <c r="I356" s="27"/>
      <c r="J356" s="2"/>
      <c r="K356" s="2"/>
    </row>
    <row r="357">
      <c r="A357" s="2"/>
      <c r="B357" s="2"/>
      <c r="C357" s="2"/>
      <c r="D357" s="2"/>
      <c r="E357" s="2"/>
      <c r="F357" s="2"/>
      <c r="G357" s="27"/>
      <c r="H357" s="27"/>
      <c r="I357" s="27"/>
      <c r="J357" s="2"/>
      <c r="K357" s="2"/>
    </row>
    <row r="358">
      <c r="A358" s="2"/>
      <c r="B358" s="2"/>
      <c r="C358" s="2"/>
      <c r="D358" s="2"/>
      <c r="E358" s="2"/>
      <c r="F358" s="2"/>
      <c r="G358" s="27"/>
      <c r="H358" s="27"/>
      <c r="I358" s="27"/>
      <c r="J358" s="2"/>
      <c r="K358" s="2"/>
    </row>
    <row r="359">
      <c r="A359" s="2"/>
      <c r="B359" s="2"/>
      <c r="C359" s="2"/>
      <c r="D359" s="2"/>
      <c r="E359" s="2"/>
      <c r="F359" s="2"/>
      <c r="G359" s="27"/>
      <c r="H359" s="27"/>
      <c r="I359" s="27"/>
      <c r="J359" s="2"/>
      <c r="K359" s="2"/>
    </row>
    <row r="360">
      <c r="A360" s="2"/>
      <c r="B360" s="2"/>
      <c r="C360" s="2"/>
      <c r="D360" s="2"/>
      <c r="E360" s="2"/>
      <c r="F360" s="2"/>
      <c r="G360" s="27"/>
      <c r="H360" s="27"/>
      <c r="I360" s="27"/>
      <c r="J360" s="2"/>
      <c r="K360" s="2"/>
    </row>
    <row r="361">
      <c r="A361" s="2"/>
      <c r="B361" s="2"/>
      <c r="C361" s="2"/>
      <c r="D361" s="2"/>
      <c r="E361" s="2"/>
      <c r="F361" s="2"/>
      <c r="G361" s="27"/>
      <c r="H361" s="27"/>
      <c r="I361" s="27"/>
      <c r="J361" s="2"/>
      <c r="K361" s="2"/>
    </row>
    <row r="362">
      <c r="A362" s="2"/>
      <c r="B362" s="2"/>
      <c r="C362" s="2"/>
      <c r="D362" s="2"/>
      <c r="E362" s="2"/>
      <c r="F362" s="2"/>
      <c r="G362" s="27"/>
      <c r="H362" s="27"/>
      <c r="I362" s="27"/>
      <c r="J362" s="2"/>
      <c r="K362" s="2"/>
    </row>
    <row r="363">
      <c r="A363" s="2"/>
      <c r="B363" s="2"/>
      <c r="C363" s="2"/>
      <c r="D363" s="2"/>
      <c r="E363" s="2"/>
      <c r="F363" s="2"/>
      <c r="G363" s="27"/>
      <c r="H363" s="27"/>
      <c r="I363" s="27"/>
      <c r="J363" s="2"/>
      <c r="K363" s="2"/>
    </row>
    <row r="364">
      <c r="A364" s="2"/>
      <c r="B364" s="2"/>
      <c r="C364" s="2"/>
      <c r="D364" s="2"/>
      <c r="E364" s="2"/>
      <c r="F364" s="2"/>
      <c r="G364" s="27"/>
      <c r="H364" s="27"/>
      <c r="I364" s="27"/>
      <c r="J364" s="2"/>
      <c r="K364" s="2"/>
    </row>
    <row r="365">
      <c r="A365" s="2"/>
      <c r="B365" s="2"/>
      <c r="C365" s="2"/>
      <c r="D365" s="2"/>
      <c r="E365" s="2"/>
      <c r="F365" s="2"/>
      <c r="G365" s="27"/>
      <c r="H365" s="27"/>
      <c r="I365" s="27"/>
      <c r="J365" s="2"/>
      <c r="K365" s="2"/>
    </row>
    <row r="366">
      <c r="A366" s="2"/>
      <c r="B366" s="2"/>
      <c r="C366" s="2"/>
      <c r="D366" s="2"/>
      <c r="E366" s="2"/>
      <c r="F366" s="2"/>
      <c r="G366" s="27"/>
      <c r="H366" s="27"/>
      <c r="I366" s="27"/>
      <c r="J366" s="2"/>
      <c r="K366" s="2"/>
    </row>
    <row r="367">
      <c r="A367" s="2"/>
      <c r="B367" s="2"/>
      <c r="C367" s="2"/>
      <c r="D367" s="2"/>
      <c r="E367" s="2"/>
      <c r="F367" s="2"/>
      <c r="G367" s="27"/>
      <c r="H367" s="27"/>
      <c r="I367" s="27"/>
      <c r="J367" s="2"/>
      <c r="K367" s="2"/>
    </row>
    <row r="368">
      <c r="A368" s="2"/>
      <c r="B368" s="2"/>
      <c r="C368" s="2"/>
      <c r="D368" s="2"/>
      <c r="E368" s="2"/>
      <c r="F368" s="2"/>
      <c r="G368" s="27"/>
      <c r="H368" s="27"/>
      <c r="I368" s="27"/>
      <c r="J368" s="2"/>
      <c r="K368" s="2"/>
    </row>
    <row r="369">
      <c r="A369" s="2"/>
      <c r="B369" s="2"/>
      <c r="C369" s="2"/>
      <c r="D369" s="2"/>
      <c r="E369" s="2"/>
      <c r="F369" s="2"/>
      <c r="G369" s="27"/>
      <c r="H369" s="27"/>
      <c r="I369" s="27"/>
      <c r="J369" s="2"/>
      <c r="K369" s="2"/>
    </row>
    <row r="370">
      <c r="A370" s="2"/>
      <c r="B370" s="2"/>
      <c r="C370" s="2"/>
      <c r="D370" s="2"/>
      <c r="E370" s="2"/>
      <c r="F370" s="2"/>
      <c r="G370" s="27"/>
      <c r="H370" s="27"/>
      <c r="I370" s="27"/>
      <c r="J370" s="2"/>
      <c r="K370" s="2"/>
    </row>
    <row r="371">
      <c r="A371" s="2"/>
      <c r="B371" s="2"/>
      <c r="C371" s="2"/>
      <c r="D371" s="2"/>
      <c r="E371" s="2"/>
      <c r="F371" s="2"/>
      <c r="G371" s="27"/>
      <c r="H371" s="27"/>
      <c r="I371" s="27"/>
      <c r="J371" s="2"/>
      <c r="K371" s="2"/>
    </row>
    <row r="372">
      <c r="A372" s="2"/>
      <c r="B372" s="2"/>
      <c r="C372" s="2"/>
      <c r="D372" s="2"/>
      <c r="E372" s="2"/>
      <c r="F372" s="2"/>
      <c r="G372" s="27"/>
      <c r="H372" s="27"/>
      <c r="I372" s="27"/>
      <c r="J372" s="2"/>
      <c r="K372" s="2"/>
    </row>
    <row r="373">
      <c r="A373" s="2"/>
      <c r="B373" s="2"/>
      <c r="C373" s="2"/>
      <c r="D373" s="2"/>
      <c r="E373" s="2"/>
      <c r="F373" s="2"/>
      <c r="G373" s="27"/>
      <c r="H373" s="27"/>
      <c r="I373" s="27"/>
      <c r="J373" s="2"/>
      <c r="K373" s="2"/>
    </row>
    <row r="374">
      <c r="A374" s="2"/>
      <c r="B374" s="2"/>
      <c r="C374" s="2"/>
      <c r="D374" s="2"/>
      <c r="E374" s="2"/>
      <c r="F374" s="2"/>
      <c r="G374" s="27"/>
      <c r="H374" s="27"/>
      <c r="I374" s="27"/>
      <c r="J374" s="2"/>
      <c r="K374" s="2"/>
    </row>
    <row r="375">
      <c r="A375" s="2"/>
      <c r="B375" s="2"/>
      <c r="C375" s="2"/>
      <c r="D375" s="2"/>
      <c r="E375" s="2"/>
      <c r="F375" s="2"/>
      <c r="G375" s="27"/>
      <c r="H375" s="27"/>
      <c r="I375" s="27"/>
      <c r="J375" s="2"/>
      <c r="K375" s="2"/>
    </row>
    <row r="376">
      <c r="A376" s="2"/>
      <c r="B376" s="2"/>
      <c r="C376" s="2"/>
      <c r="D376" s="2"/>
      <c r="E376" s="2"/>
      <c r="F376" s="2"/>
      <c r="G376" s="27"/>
      <c r="H376" s="27"/>
      <c r="I376" s="27"/>
      <c r="J376" s="2"/>
      <c r="K376" s="2"/>
    </row>
    <row r="377">
      <c r="A377" s="2"/>
      <c r="B377" s="2"/>
      <c r="C377" s="2"/>
      <c r="D377" s="2"/>
      <c r="E377" s="2"/>
      <c r="F377" s="2"/>
      <c r="G377" s="27"/>
      <c r="H377" s="27"/>
      <c r="I377" s="27"/>
      <c r="J377" s="2"/>
      <c r="K377" s="2"/>
    </row>
    <row r="378">
      <c r="A378" s="2"/>
      <c r="B378" s="2"/>
      <c r="C378" s="2"/>
      <c r="D378" s="2"/>
      <c r="E378" s="2"/>
      <c r="F378" s="2"/>
      <c r="G378" s="27"/>
      <c r="H378" s="27"/>
      <c r="I378" s="27"/>
      <c r="J378" s="2"/>
      <c r="K378" s="2"/>
    </row>
    <row r="379">
      <c r="A379" s="2"/>
      <c r="B379" s="2"/>
      <c r="C379" s="2"/>
      <c r="D379" s="2"/>
      <c r="E379" s="2"/>
      <c r="F379" s="2"/>
      <c r="G379" s="27"/>
      <c r="H379" s="27"/>
      <c r="I379" s="27"/>
      <c r="J379" s="2"/>
      <c r="K379" s="2"/>
    </row>
    <row r="380">
      <c r="A380" s="2"/>
      <c r="B380" s="2"/>
      <c r="C380" s="2"/>
      <c r="D380" s="2"/>
      <c r="E380" s="2"/>
      <c r="F380" s="2"/>
      <c r="G380" s="27"/>
      <c r="H380" s="27"/>
      <c r="I380" s="27"/>
      <c r="J380" s="2"/>
      <c r="K380" s="2"/>
    </row>
    <row r="381">
      <c r="A381" s="2"/>
      <c r="B381" s="2"/>
      <c r="C381" s="2"/>
      <c r="D381" s="2"/>
      <c r="E381" s="2"/>
      <c r="F381" s="2"/>
      <c r="G381" s="27"/>
      <c r="H381" s="27"/>
      <c r="I381" s="27"/>
      <c r="J381" s="2"/>
      <c r="K381" s="2"/>
    </row>
    <row r="382">
      <c r="A382" s="2"/>
      <c r="B382" s="2"/>
      <c r="C382" s="2"/>
      <c r="D382" s="2"/>
      <c r="E382" s="2"/>
      <c r="F382" s="2"/>
      <c r="G382" s="27"/>
      <c r="H382" s="27"/>
      <c r="I382" s="27"/>
      <c r="J382" s="2"/>
      <c r="K382" s="2"/>
    </row>
    <row r="383">
      <c r="A383" s="2"/>
      <c r="B383" s="2"/>
      <c r="C383" s="2"/>
      <c r="D383" s="2"/>
      <c r="E383" s="2"/>
      <c r="F383" s="2"/>
      <c r="G383" s="27"/>
      <c r="H383" s="27"/>
      <c r="I383" s="27"/>
      <c r="J383" s="2"/>
      <c r="K383" s="2"/>
    </row>
    <row r="384">
      <c r="A384" s="2"/>
      <c r="B384" s="2"/>
      <c r="C384" s="2"/>
      <c r="D384" s="2"/>
      <c r="E384" s="2"/>
      <c r="F384" s="2"/>
      <c r="G384" s="27"/>
      <c r="H384" s="27"/>
      <c r="I384" s="27"/>
      <c r="J384" s="2"/>
      <c r="K384" s="2"/>
    </row>
    <row r="385">
      <c r="A385" s="2"/>
      <c r="B385" s="2"/>
      <c r="C385" s="2"/>
      <c r="D385" s="2"/>
      <c r="E385" s="2"/>
      <c r="F385" s="2"/>
      <c r="G385" s="27"/>
      <c r="H385" s="27"/>
      <c r="I385" s="27"/>
      <c r="J385" s="2"/>
      <c r="K385" s="2"/>
    </row>
    <row r="386">
      <c r="A386" s="2"/>
      <c r="B386" s="2"/>
      <c r="C386" s="2"/>
      <c r="D386" s="2"/>
      <c r="E386" s="2"/>
      <c r="F386" s="2"/>
      <c r="G386" s="27"/>
      <c r="H386" s="27"/>
      <c r="I386" s="27"/>
      <c r="J386" s="2"/>
      <c r="K386" s="2"/>
    </row>
    <row r="387">
      <c r="A387" s="2"/>
      <c r="B387" s="2"/>
      <c r="C387" s="2"/>
      <c r="D387" s="2"/>
      <c r="E387" s="2"/>
      <c r="F387" s="2"/>
      <c r="G387" s="27"/>
      <c r="H387" s="27"/>
      <c r="I387" s="27"/>
      <c r="J387" s="2"/>
      <c r="K387" s="2"/>
    </row>
    <row r="388">
      <c r="A388" s="2"/>
      <c r="B388" s="2"/>
      <c r="C388" s="2"/>
      <c r="D388" s="2"/>
      <c r="E388" s="2"/>
      <c r="F388" s="2"/>
      <c r="G388" s="27"/>
      <c r="H388" s="27"/>
      <c r="I388" s="27"/>
      <c r="J388" s="2"/>
      <c r="K388" s="2"/>
    </row>
    <row r="389">
      <c r="A389" s="2"/>
      <c r="B389" s="2"/>
      <c r="C389" s="2"/>
      <c r="D389" s="2"/>
      <c r="E389" s="2"/>
      <c r="F389" s="2"/>
      <c r="G389" s="27"/>
      <c r="H389" s="27"/>
      <c r="I389" s="27"/>
      <c r="J389" s="2"/>
      <c r="K389" s="2"/>
    </row>
    <row r="390">
      <c r="A390" s="2"/>
      <c r="B390" s="2"/>
      <c r="C390" s="2"/>
      <c r="D390" s="2"/>
      <c r="E390" s="2"/>
      <c r="F390" s="2"/>
      <c r="G390" s="27"/>
      <c r="H390" s="27"/>
      <c r="I390" s="27"/>
      <c r="J390" s="2"/>
      <c r="K390" s="2"/>
    </row>
    <row r="391">
      <c r="A391" s="2"/>
      <c r="B391" s="2"/>
      <c r="C391" s="2"/>
      <c r="D391" s="2"/>
      <c r="E391" s="2"/>
      <c r="F391" s="2"/>
      <c r="G391" s="27"/>
      <c r="H391" s="27"/>
      <c r="I391" s="27"/>
      <c r="J391" s="2"/>
      <c r="K391" s="2"/>
    </row>
    <row r="392">
      <c r="A392" s="2"/>
      <c r="B392" s="2"/>
      <c r="C392" s="2"/>
      <c r="D392" s="2"/>
      <c r="E392" s="2"/>
      <c r="F392" s="2"/>
      <c r="G392" s="27"/>
      <c r="H392" s="27"/>
      <c r="I392" s="27"/>
      <c r="J392" s="2"/>
      <c r="K392" s="2"/>
    </row>
    <row r="393">
      <c r="A393" s="2"/>
      <c r="B393" s="2"/>
      <c r="C393" s="2"/>
      <c r="D393" s="2"/>
      <c r="E393" s="2"/>
      <c r="F393" s="2"/>
      <c r="G393" s="27"/>
      <c r="H393" s="27"/>
      <c r="I393" s="27"/>
      <c r="J393" s="2"/>
      <c r="K393" s="2"/>
    </row>
    <row r="394">
      <c r="A394" s="2"/>
      <c r="B394" s="2"/>
      <c r="C394" s="2"/>
      <c r="D394" s="2"/>
      <c r="E394" s="2"/>
      <c r="F394" s="2"/>
      <c r="G394" s="27"/>
      <c r="H394" s="27"/>
      <c r="I394" s="27"/>
      <c r="J394" s="2"/>
      <c r="K394" s="2"/>
    </row>
    <row r="395">
      <c r="A395" s="2"/>
      <c r="B395" s="2"/>
      <c r="C395" s="2"/>
      <c r="D395" s="2"/>
      <c r="E395" s="2"/>
      <c r="F395" s="2"/>
      <c r="G395" s="27"/>
      <c r="H395" s="27"/>
      <c r="I395" s="27"/>
      <c r="J395" s="2"/>
      <c r="K395" s="2"/>
    </row>
    <row r="396">
      <c r="A396" s="2"/>
      <c r="B396" s="2"/>
      <c r="C396" s="2"/>
      <c r="D396" s="2"/>
      <c r="E396" s="2"/>
      <c r="F396" s="2"/>
      <c r="G396" s="27"/>
      <c r="H396" s="27"/>
      <c r="I396" s="27"/>
      <c r="J396" s="2"/>
      <c r="K396" s="2"/>
    </row>
    <row r="397">
      <c r="A397" s="2"/>
      <c r="B397" s="2"/>
      <c r="C397" s="2"/>
      <c r="D397" s="2"/>
      <c r="E397" s="2"/>
      <c r="F397" s="2"/>
      <c r="G397" s="27"/>
      <c r="H397" s="27"/>
      <c r="I397" s="27"/>
      <c r="J397" s="2"/>
      <c r="K397" s="2"/>
    </row>
    <row r="398">
      <c r="A398" s="2"/>
      <c r="B398" s="2"/>
      <c r="C398" s="2"/>
      <c r="D398" s="2"/>
      <c r="E398" s="2"/>
      <c r="F398" s="2"/>
      <c r="G398" s="27"/>
      <c r="H398" s="27"/>
      <c r="I398" s="27"/>
      <c r="J398" s="2"/>
      <c r="K398" s="2"/>
    </row>
    <row r="399">
      <c r="A399" s="2"/>
      <c r="B399" s="2"/>
      <c r="C399" s="2"/>
      <c r="D399" s="2"/>
      <c r="E399" s="2"/>
      <c r="F399" s="2"/>
      <c r="G399" s="27"/>
      <c r="H399" s="27"/>
      <c r="I399" s="27"/>
      <c r="J399" s="2"/>
      <c r="K399" s="2"/>
    </row>
    <row r="400">
      <c r="A400" s="2"/>
      <c r="B400" s="2"/>
      <c r="C400" s="2"/>
      <c r="D400" s="2"/>
      <c r="E400" s="2"/>
      <c r="F400" s="2"/>
      <c r="G400" s="27"/>
      <c r="H400" s="27"/>
      <c r="I400" s="27"/>
      <c r="J400" s="2"/>
      <c r="K400" s="2"/>
    </row>
    <row r="401">
      <c r="A401" s="2"/>
      <c r="B401" s="2"/>
      <c r="C401" s="2"/>
      <c r="D401" s="2"/>
      <c r="E401" s="2"/>
      <c r="F401" s="2"/>
      <c r="G401" s="27"/>
      <c r="H401" s="27"/>
      <c r="I401" s="27"/>
      <c r="J401" s="2"/>
      <c r="K401" s="2"/>
    </row>
    <row r="402">
      <c r="A402" s="2"/>
      <c r="B402" s="2"/>
      <c r="C402" s="2"/>
      <c r="D402" s="2"/>
      <c r="E402" s="2"/>
      <c r="F402" s="2"/>
      <c r="G402" s="27"/>
      <c r="H402" s="27"/>
      <c r="I402" s="27"/>
      <c r="J402" s="2"/>
      <c r="K402" s="2"/>
    </row>
    <row r="403">
      <c r="A403" s="2"/>
      <c r="B403" s="2"/>
      <c r="C403" s="2"/>
      <c r="D403" s="2"/>
      <c r="E403" s="2"/>
      <c r="F403" s="2"/>
      <c r="G403" s="27"/>
      <c r="H403" s="27"/>
      <c r="I403" s="27"/>
      <c r="J403" s="2"/>
      <c r="K403" s="2"/>
    </row>
    <row r="404">
      <c r="A404" s="2"/>
      <c r="B404" s="2"/>
      <c r="C404" s="2"/>
      <c r="D404" s="2"/>
      <c r="E404" s="2"/>
      <c r="F404" s="2"/>
      <c r="G404" s="27"/>
      <c r="H404" s="27"/>
      <c r="I404" s="27"/>
      <c r="J404" s="2"/>
      <c r="K404" s="2"/>
    </row>
    <row r="405">
      <c r="A405" s="2"/>
      <c r="B405" s="2"/>
      <c r="C405" s="2"/>
      <c r="D405" s="2"/>
      <c r="E405" s="2"/>
      <c r="F405" s="2"/>
      <c r="G405" s="27"/>
      <c r="H405" s="27"/>
      <c r="I405" s="27"/>
      <c r="J405" s="2"/>
      <c r="K405" s="2"/>
    </row>
    <row r="406">
      <c r="A406" s="2"/>
      <c r="B406" s="2"/>
      <c r="C406" s="2"/>
      <c r="D406" s="2"/>
      <c r="E406" s="2"/>
      <c r="F406" s="2"/>
      <c r="G406" s="27"/>
      <c r="H406" s="27"/>
      <c r="I406" s="27"/>
      <c r="J406" s="2"/>
      <c r="K406" s="2"/>
    </row>
    <row r="407">
      <c r="A407" s="2"/>
      <c r="B407" s="2"/>
      <c r="C407" s="2"/>
      <c r="D407" s="2"/>
      <c r="E407" s="2"/>
      <c r="F407" s="2"/>
      <c r="G407" s="27"/>
      <c r="H407" s="27"/>
      <c r="I407" s="27"/>
      <c r="J407" s="2"/>
      <c r="K407" s="2"/>
    </row>
    <row r="408">
      <c r="A408" s="2"/>
      <c r="B408" s="2"/>
      <c r="C408" s="2"/>
      <c r="D408" s="2"/>
      <c r="E408" s="2"/>
      <c r="F408" s="2"/>
      <c r="G408" s="27"/>
      <c r="H408" s="27"/>
      <c r="I408" s="27"/>
      <c r="J408" s="2"/>
      <c r="K408" s="2"/>
    </row>
    <row r="409">
      <c r="A409" s="2"/>
      <c r="B409" s="2"/>
      <c r="C409" s="2"/>
      <c r="D409" s="2"/>
      <c r="E409" s="2"/>
      <c r="F409" s="2"/>
      <c r="G409" s="27"/>
      <c r="H409" s="27"/>
      <c r="I409" s="27"/>
      <c r="J409" s="2"/>
      <c r="K409" s="2"/>
    </row>
    <row r="410">
      <c r="A410" s="2"/>
      <c r="B410" s="2"/>
      <c r="C410" s="2"/>
      <c r="D410" s="2"/>
      <c r="E410" s="2"/>
      <c r="F410" s="2"/>
      <c r="G410" s="27"/>
      <c r="H410" s="27"/>
      <c r="I410" s="27"/>
      <c r="J410" s="2"/>
      <c r="K410" s="2"/>
    </row>
    <row r="411">
      <c r="A411" s="2"/>
      <c r="B411" s="2"/>
      <c r="C411" s="2"/>
      <c r="D411" s="2"/>
      <c r="E411" s="2"/>
      <c r="F411" s="2"/>
      <c r="G411" s="27"/>
      <c r="H411" s="27"/>
      <c r="I411" s="27"/>
      <c r="J411" s="2"/>
      <c r="K411" s="2"/>
    </row>
    <row r="412">
      <c r="A412" s="2"/>
      <c r="B412" s="2"/>
      <c r="C412" s="2"/>
      <c r="D412" s="2"/>
      <c r="E412" s="2"/>
      <c r="F412" s="2"/>
      <c r="G412" s="27"/>
      <c r="H412" s="27"/>
      <c r="I412" s="27"/>
      <c r="J412" s="2"/>
      <c r="K412" s="2"/>
    </row>
    <row r="413">
      <c r="A413" s="2"/>
      <c r="B413" s="2"/>
      <c r="C413" s="2"/>
      <c r="D413" s="2"/>
      <c r="E413" s="2"/>
      <c r="F413" s="2"/>
      <c r="G413" s="27"/>
      <c r="H413" s="27"/>
      <c r="I413" s="27"/>
      <c r="J413" s="2"/>
      <c r="K413" s="2"/>
    </row>
    <row r="414">
      <c r="A414" s="2"/>
      <c r="B414" s="2"/>
      <c r="C414" s="2"/>
      <c r="D414" s="2"/>
      <c r="E414" s="2"/>
      <c r="F414" s="2"/>
      <c r="G414" s="27"/>
      <c r="H414" s="27"/>
      <c r="I414" s="27"/>
      <c r="J414" s="2"/>
      <c r="K414" s="2"/>
    </row>
    <row r="415">
      <c r="A415" s="2"/>
      <c r="B415" s="2"/>
      <c r="C415" s="2"/>
      <c r="D415" s="2"/>
      <c r="E415" s="2"/>
      <c r="F415" s="2"/>
      <c r="G415" s="27"/>
      <c r="H415" s="27"/>
      <c r="I415" s="27"/>
      <c r="J415" s="2"/>
      <c r="K415" s="2"/>
    </row>
    <row r="416">
      <c r="A416" s="2"/>
      <c r="B416" s="2"/>
      <c r="C416" s="2"/>
      <c r="D416" s="2"/>
      <c r="E416" s="2"/>
      <c r="F416" s="2"/>
      <c r="G416" s="27"/>
      <c r="H416" s="27"/>
      <c r="I416" s="27"/>
      <c r="J416" s="2"/>
      <c r="K416" s="2"/>
    </row>
    <row r="417">
      <c r="A417" s="2"/>
      <c r="B417" s="2"/>
      <c r="C417" s="2"/>
      <c r="D417" s="2"/>
      <c r="E417" s="2"/>
      <c r="F417" s="2"/>
      <c r="G417" s="27"/>
      <c r="H417" s="27"/>
      <c r="I417" s="27"/>
      <c r="J417" s="2"/>
      <c r="K417" s="2"/>
    </row>
    <row r="418">
      <c r="A418" s="2"/>
      <c r="B418" s="2"/>
      <c r="C418" s="2"/>
      <c r="D418" s="2"/>
      <c r="E418" s="2"/>
      <c r="F418" s="2"/>
      <c r="G418" s="27"/>
      <c r="H418" s="27"/>
      <c r="I418" s="27"/>
      <c r="J418" s="2"/>
      <c r="K418" s="2"/>
    </row>
    <row r="419">
      <c r="A419" s="2"/>
      <c r="B419" s="2"/>
      <c r="C419" s="2"/>
      <c r="D419" s="2"/>
      <c r="E419" s="2"/>
      <c r="F419" s="2"/>
      <c r="G419" s="27"/>
      <c r="H419" s="27"/>
      <c r="I419" s="27"/>
      <c r="J419" s="2"/>
      <c r="K419" s="2"/>
    </row>
    <row r="420">
      <c r="A420" s="2"/>
      <c r="B420" s="2"/>
      <c r="C420" s="2"/>
      <c r="D420" s="2"/>
      <c r="E420" s="2"/>
      <c r="F420" s="2"/>
      <c r="G420" s="27"/>
      <c r="H420" s="27"/>
      <c r="I420" s="27"/>
      <c r="J420" s="2"/>
      <c r="K420" s="2"/>
    </row>
    <row r="421">
      <c r="A421" s="2"/>
      <c r="B421" s="2"/>
      <c r="C421" s="2"/>
      <c r="D421" s="2"/>
      <c r="E421" s="2"/>
      <c r="F421" s="2"/>
      <c r="G421" s="27"/>
      <c r="H421" s="27"/>
      <c r="I421" s="27"/>
      <c r="J421" s="2"/>
      <c r="K421" s="2"/>
    </row>
    <row r="422">
      <c r="A422" s="2"/>
      <c r="B422" s="2"/>
      <c r="C422" s="2"/>
      <c r="D422" s="2"/>
      <c r="E422" s="2"/>
      <c r="F422" s="2"/>
      <c r="G422" s="27"/>
      <c r="H422" s="27"/>
      <c r="I422" s="27"/>
      <c r="J422" s="2"/>
      <c r="K422" s="2"/>
    </row>
    <row r="423">
      <c r="A423" s="2"/>
      <c r="B423" s="2"/>
      <c r="C423" s="2"/>
      <c r="D423" s="2"/>
      <c r="E423" s="2"/>
      <c r="F423" s="2"/>
      <c r="G423" s="27"/>
      <c r="H423" s="27"/>
      <c r="I423" s="27"/>
      <c r="J423" s="2"/>
      <c r="K423" s="2"/>
    </row>
    <row r="424">
      <c r="A424" s="2"/>
      <c r="B424" s="2"/>
      <c r="C424" s="2"/>
      <c r="D424" s="2"/>
      <c r="E424" s="2"/>
      <c r="F424" s="2"/>
      <c r="G424" s="27"/>
      <c r="H424" s="27"/>
      <c r="I424" s="27"/>
      <c r="J424" s="2"/>
      <c r="K424" s="2"/>
    </row>
    <row r="425">
      <c r="A425" s="2"/>
      <c r="B425" s="2"/>
      <c r="C425" s="2"/>
      <c r="D425" s="2"/>
      <c r="E425" s="2"/>
      <c r="F425" s="2"/>
      <c r="G425" s="27"/>
      <c r="H425" s="27"/>
      <c r="I425" s="27"/>
      <c r="J425" s="2"/>
      <c r="K425" s="2"/>
    </row>
    <row r="426">
      <c r="A426" s="2"/>
      <c r="B426" s="2"/>
      <c r="C426" s="2"/>
      <c r="D426" s="2"/>
      <c r="E426" s="2"/>
      <c r="F426" s="2"/>
      <c r="G426" s="27"/>
      <c r="H426" s="27"/>
      <c r="I426" s="27"/>
      <c r="J426" s="2"/>
      <c r="K426" s="2"/>
    </row>
    <row r="427">
      <c r="A427" s="2"/>
      <c r="B427" s="2"/>
      <c r="C427" s="2"/>
      <c r="D427" s="2"/>
      <c r="E427" s="2"/>
      <c r="F427" s="2"/>
      <c r="G427" s="27"/>
      <c r="H427" s="27"/>
      <c r="I427" s="27"/>
      <c r="J427" s="2"/>
      <c r="K427" s="2"/>
    </row>
    <row r="428">
      <c r="A428" s="2"/>
      <c r="B428" s="2"/>
      <c r="C428" s="2"/>
      <c r="D428" s="2"/>
      <c r="E428" s="2"/>
      <c r="F428" s="2"/>
      <c r="G428" s="27"/>
      <c r="H428" s="27"/>
      <c r="I428" s="27"/>
      <c r="J428" s="2"/>
      <c r="K428" s="2"/>
    </row>
    <row r="429">
      <c r="A429" s="2"/>
      <c r="B429" s="2"/>
      <c r="C429" s="2"/>
      <c r="D429" s="2"/>
      <c r="E429" s="2"/>
      <c r="F429" s="2"/>
      <c r="G429" s="27"/>
      <c r="H429" s="27"/>
      <c r="I429" s="27"/>
      <c r="J429" s="2"/>
      <c r="K429" s="2"/>
    </row>
    <row r="430">
      <c r="A430" s="2"/>
      <c r="B430" s="2"/>
      <c r="C430" s="2"/>
      <c r="D430" s="2"/>
      <c r="E430" s="2"/>
      <c r="F430" s="2"/>
      <c r="G430" s="27"/>
      <c r="H430" s="27"/>
      <c r="I430" s="27"/>
      <c r="J430" s="2"/>
      <c r="K430" s="2"/>
    </row>
    <row r="431">
      <c r="A431" s="2"/>
      <c r="B431" s="2"/>
      <c r="C431" s="2"/>
      <c r="D431" s="2"/>
      <c r="E431" s="2"/>
      <c r="F431" s="2"/>
      <c r="G431" s="27"/>
      <c r="H431" s="27"/>
      <c r="I431" s="27"/>
      <c r="J431" s="2"/>
      <c r="K431" s="2"/>
    </row>
    <row r="432">
      <c r="A432" s="2"/>
      <c r="B432" s="2"/>
      <c r="C432" s="2"/>
      <c r="D432" s="2"/>
      <c r="E432" s="2"/>
      <c r="F432" s="2"/>
      <c r="G432" s="27"/>
      <c r="H432" s="27"/>
      <c r="I432" s="27"/>
      <c r="J432" s="2"/>
      <c r="K432" s="2"/>
    </row>
    <row r="433">
      <c r="A433" s="2"/>
      <c r="B433" s="2"/>
      <c r="C433" s="2"/>
      <c r="D433" s="2"/>
      <c r="E433" s="2"/>
      <c r="F433" s="2"/>
      <c r="G433" s="27"/>
      <c r="H433" s="27"/>
      <c r="I433" s="27"/>
      <c r="J433" s="2"/>
      <c r="K433" s="2"/>
    </row>
    <row r="434">
      <c r="A434" s="2"/>
      <c r="B434" s="2"/>
      <c r="C434" s="2"/>
      <c r="D434" s="2"/>
      <c r="E434" s="2"/>
      <c r="F434" s="2"/>
      <c r="G434" s="27"/>
      <c r="H434" s="27"/>
      <c r="I434" s="27"/>
      <c r="J434" s="2"/>
      <c r="K434" s="2"/>
    </row>
    <row r="435">
      <c r="A435" s="2"/>
      <c r="B435" s="2"/>
      <c r="C435" s="2"/>
      <c r="D435" s="2"/>
      <c r="E435" s="2"/>
      <c r="F435" s="2"/>
      <c r="G435" s="27"/>
      <c r="H435" s="27"/>
      <c r="I435" s="27"/>
      <c r="J435" s="2"/>
      <c r="K435" s="2"/>
    </row>
    <row r="436">
      <c r="A436" s="2"/>
      <c r="B436" s="2"/>
      <c r="C436" s="2"/>
      <c r="D436" s="2"/>
      <c r="E436" s="2"/>
      <c r="F436" s="2"/>
      <c r="G436" s="27"/>
      <c r="H436" s="27"/>
      <c r="I436" s="27"/>
      <c r="J436" s="2"/>
      <c r="K436" s="2"/>
    </row>
    <row r="437">
      <c r="A437" s="2"/>
      <c r="B437" s="2"/>
      <c r="C437" s="2"/>
      <c r="D437" s="2"/>
      <c r="E437" s="2"/>
      <c r="F437" s="2"/>
      <c r="G437" s="27"/>
      <c r="H437" s="27"/>
      <c r="I437" s="27"/>
      <c r="J437" s="2"/>
      <c r="K437" s="2"/>
    </row>
    <row r="438">
      <c r="A438" s="2"/>
      <c r="B438" s="2"/>
      <c r="C438" s="2"/>
      <c r="D438" s="2"/>
      <c r="E438" s="2"/>
      <c r="F438" s="2"/>
      <c r="G438" s="27"/>
      <c r="H438" s="27"/>
      <c r="I438" s="27"/>
      <c r="J438" s="2"/>
      <c r="K438" s="2"/>
    </row>
    <row r="439">
      <c r="A439" s="2"/>
      <c r="B439" s="2"/>
      <c r="C439" s="2"/>
      <c r="D439" s="2"/>
      <c r="E439" s="2"/>
      <c r="F439" s="2"/>
      <c r="G439" s="27"/>
      <c r="H439" s="27"/>
      <c r="I439" s="27"/>
      <c r="J439" s="2"/>
      <c r="K439" s="2"/>
    </row>
    <row r="440">
      <c r="A440" s="2"/>
      <c r="B440" s="2"/>
      <c r="C440" s="2"/>
      <c r="D440" s="2"/>
      <c r="E440" s="2"/>
      <c r="F440" s="2"/>
      <c r="G440" s="27"/>
      <c r="H440" s="27"/>
      <c r="I440" s="27"/>
      <c r="J440" s="2"/>
      <c r="K440" s="2"/>
    </row>
    <row r="441">
      <c r="A441" s="2"/>
      <c r="B441" s="2"/>
      <c r="C441" s="2"/>
      <c r="D441" s="2"/>
      <c r="E441" s="2"/>
      <c r="F441" s="2"/>
      <c r="G441" s="27"/>
      <c r="H441" s="27"/>
      <c r="I441" s="27"/>
      <c r="J441" s="2"/>
      <c r="K441" s="2"/>
    </row>
    <row r="442">
      <c r="A442" s="2"/>
      <c r="B442" s="2"/>
      <c r="C442" s="2"/>
      <c r="D442" s="2"/>
      <c r="E442" s="2"/>
      <c r="F442" s="2"/>
      <c r="G442" s="27"/>
      <c r="H442" s="27"/>
      <c r="I442" s="27"/>
      <c r="J442" s="2"/>
      <c r="K442" s="2"/>
    </row>
    <row r="443">
      <c r="A443" s="2"/>
      <c r="B443" s="2"/>
      <c r="C443" s="2"/>
      <c r="D443" s="2"/>
      <c r="E443" s="2"/>
      <c r="F443" s="2"/>
      <c r="G443" s="27"/>
      <c r="H443" s="27"/>
      <c r="I443" s="27"/>
      <c r="J443" s="2"/>
      <c r="K443" s="2"/>
    </row>
    <row r="444">
      <c r="A444" s="2"/>
      <c r="B444" s="2"/>
      <c r="C444" s="2"/>
      <c r="D444" s="2"/>
      <c r="E444" s="2"/>
      <c r="F444" s="2"/>
      <c r="G444" s="27"/>
      <c r="H444" s="27"/>
      <c r="I444" s="27"/>
      <c r="J444" s="2"/>
      <c r="K444" s="2"/>
    </row>
    <row r="445">
      <c r="A445" s="2"/>
      <c r="B445" s="2"/>
      <c r="C445" s="2"/>
      <c r="D445" s="2"/>
      <c r="E445" s="2"/>
      <c r="F445" s="2"/>
      <c r="G445" s="27"/>
      <c r="H445" s="27"/>
      <c r="I445" s="27"/>
      <c r="J445" s="2"/>
      <c r="K445" s="2"/>
    </row>
    <row r="446">
      <c r="A446" s="2"/>
      <c r="B446" s="2"/>
      <c r="C446" s="2"/>
      <c r="D446" s="2"/>
      <c r="E446" s="2"/>
      <c r="F446" s="2"/>
      <c r="G446" s="27"/>
      <c r="H446" s="27"/>
      <c r="I446" s="27"/>
      <c r="J446" s="2"/>
      <c r="K446" s="2"/>
    </row>
    <row r="447">
      <c r="A447" s="2"/>
      <c r="B447" s="2"/>
      <c r="C447" s="2"/>
      <c r="D447" s="2"/>
      <c r="E447" s="2"/>
      <c r="F447" s="2"/>
      <c r="G447" s="27"/>
      <c r="H447" s="27"/>
      <c r="I447" s="27"/>
      <c r="J447" s="2"/>
      <c r="K447" s="2"/>
    </row>
    <row r="448">
      <c r="A448" s="2"/>
      <c r="B448" s="2"/>
      <c r="C448" s="2"/>
      <c r="D448" s="2"/>
      <c r="E448" s="2"/>
      <c r="F448" s="2"/>
      <c r="G448" s="27"/>
      <c r="H448" s="27"/>
      <c r="I448" s="27"/>
      <c r="J448" s="2"/>
      <c r="K448" s="2"/>
    </row>
    <row r="449">
      <c r="A449" s="2"/>
      <c r="B449" s="2"/>
      <c r="C449" s="2"/>
      <c r="D449" s="2"/>
      <c r="E449" s="2"/>
      <c r="F449" s="2"/>
      <c r="G449" s="27"/>
      <c r="H449" s="27"/>
      <c r="I449" s="27"/>
      <c r="J449" s="2"/>
      <c r="K449" s="2"/>
    </row>
    <row r="450">
      <c r="A450" s="2"/>
      <c r="B450" s="2"/>
      <c r="C450" s="2"/>
      <c r="D450" s="2"/>
      <c r="E450" s="2"/>
      <c r="F450" s="2"/>
      <c r="G450" s="27"/>
      <c r="H450" s="27"/>
      <c r="I450" s="27"/>
      <c r="J450" s="2"/>
      <c r="K450" s="2"/>
    </row>
    <row r="451">
      <c r="A451" s="2"/>
      <c r="B451" s="2"/>
      <c r="C451" s="2"/>
      <c r="D451" s="2"/>
      <c r="E451" s="2"/>
      <c r="F451" s="2"/>
      <c r="G451" s="27"/>
      <c r="H451" s="27"/>
      <c r="I451" s="27"/>
      <c r="J451" s="2"/>
      <c r="K451" s="2"/>
    </row>
    <row r="452">
      <c r="A452" s="2"/>
      <c r="B452" s="2"/>
      <c r="C452" s="2"/>
      <c r="D452" s="2"/>
      <c r="E452" s="2"/>
      <c r="F452" s="2"/>
      <c r="G452" s="27"/>
      <c r="H452" s="27"/>
      <c r="I452" s="27"/>
      <c r="J452" s="2"/>
      <c r="K452" s="2"/>
    </row>
    <row r="453">
      <c r="A453" s="2"/>
      <c r="B453" s="2"/>
      <c r="C453" s="2"/>
      <c r="D453" s="2"/>
      <c r="E453" s="2"/>
      <c r="F453" s="2"/>
      <c r="G453" s="27"/>
      <c r="H453" s="27"/>
      <c r="I453" s="27"/>
      <c r="J453" s="2"/>
      <c r="K453" s="2"/>
    </row>
    <row r="454">
      <c r="A454" s="2"/>
      <c r="B454" s="2"/>
      <c r="C454" s="2"/>
      <c r="D454" s="2"/>
      <c r="E454" s="2"/>
      <c r="F454" s="2"/>
      <c r="G454" s="27"/>
      <c r="H454" s="27"/>
      <c r="I454" s="27"/>
      <c r="J454" s="2"/>
      <c r="K454" s="2"/>
    </row>
    <row r="455">
      <c r="A455" s="2"/>
      <c r="B455" s="2"/>
      <c r="C455" s="2"/>
      <c r="D455" s="2"/>
      <c r="E455" s="2"/>
      <c r="F455" s="2"/>
      <c r="G455" s="27"/>
      <c r="H455" s="27"/>
      <c r="I455" s="27"/>
      <c r="J455" s="2"/>
      <c r="K455" s="2"/>
    </row>
    <row r="456">
      <c r="A456" s="2"/>
      <c r="B456" s="2"/>
      <c r="C456" s="2"/>
      <c r="D456" s="2"/>
      <c r="E456" s="2"/>
      <c r="F456" s="2"/>
      <c r="G456" s="27"/>
      <c r="H456" s="27"/>
      <c r="I456" s="27"/>
      <c r="J456" s="2"/>
      <c r="K456" s="2"/>
    </row>
    <row r="457">
      <c r="A457" s="2"/>
      <c r="B457" s="2"/>
      <c r="C457" s="2"/>
      <c r="D457" s="2"/>
      <c r="E457" s="2"/>
      <c r="F457" s="2"/>
      <c r="G457" s="27"/>
      <c r="H457" s="27"/>
      <c r="I457" s="27"/>
      <c r="J457" s="2"/>
      <c r="K457" s="2"/>
    </row>
    <row r="458">
      <c r="A458" s="2"/>
      <c r="B458" s="2"/>
      <c r="C458" s="2"/>
      <c r="D458" s="2"/>
      <c r="E458" s="2"/>
      <c r="F458" s="2"/>
      <c r="G458" s="27"/>
      <c r="H458" s="27"/>
      <c r="I458" s="27"/>
      <c r="J458" s="2"/>
      <c r="K458" s="2"/>
    </row>
    <row r="459">
      <c r="A459" s="2"/>
      <c r="B459" s="2"/>
      <c r="C459" s="2"/>
      <c r="D459" s="2"/>
      <c r="E459" s="2"/>
      <c r="F459" s="2"/>
      <c r="G459" s="27"/>
      <c r="H459" s="27"/>
      <c r="I459" s="27"/>
      <c r="J459" s="2"/>
      <c r="K459" s="2"/>
    </row>
    <row r="460">
      <c r="A460" s="2"/>
      <c r="B460" s="2"/>
      <c r="C460" s="2"/>
      <c r="D460" s="2"/>
      <c r="E460" s="2"/>
      <c r="F460" s="2"/>
      <c r="G460" s="27"/>
      <c r="H460" s="27"/>
      <c r="I460" s="27"/>
      <c r="J460" s="2"/>
      <c r="K460" s="2"/>
    </row>
    <row r="461">
      <c r="A461" s="2"/>
      <c r="B461" s="2"/>
      <c r="C461" s="2"/>
      <c r="D461" s="2"/>
      <c r="E461" s="2"/>
      <c r="F461" s="2"/>
      <c r="G461" s="27"/>
      <c r="H461" s="27"/>
      <c r="I461" s="27"/>
      <c r="J461" s="2"/>
      <c r="K461" s="2"/>
    </row>
    <row r="462">
      <c r="A462" s="2"/>
      <c r="B462" s="2"/>
      <c r="C462" s="2"/>
      <c r="D462" s="2"/>
      <c r="E462" s="2"/>
      <c r="F462" s="2"/>
      <c r="G462" s="27"/>
      <c r="H462" s="27"/>
      <c r="I462" s="27"/>
      <c r="J462" s="2"/>
      <c r="K462" s="2"/>
    </row>
    <row r="463">
      <c r="A463" s="2"/>
      <c r="B463" s="2"/>
      <c r="C463" s="2"/>
      <c r="D463" s="2"/>
      <c r="E463" s="2"/>
      <c r="F463" s="2"/>
      <c r="G463" s="27"/>
      <c r="H463" s="27"/>
      <c r="I463" s="27"/>
      <c r="J463" s="2"/>
      <c r="K463" s="2"/>
    </row>
    <row r="464">
      <c r="A464" s="2"/>
      <c r="B464" s="2"/>
      <c r="C464" s="2"/>
      <c r="D464" s="2"/>
      <c r="E464" s="2"/>
      <c r="F464" s="2"/>
      <c r="G464" s="27"/>
      <c r="H464" s="27"/>
      <c r="I464" s="27"/>
      <c r="J464" s="2"/>
      <c r="K464" s="2"/>
    </row>
    <row r="465">
      <c r="A465" s="2"/>
      <c r="B465" s="2"/>
      <c r="C465" s="2"/>
      <c r="D465" s="2"/>
      <c r="E465" s="2"/>
      <c r="F465" s="2"/>
      <c r="G465" s="27"/>
      <c r="H465" s="27"/>
      <c r="I465" s="27"/>
      <c r="J465" s="2"/>
      <c r="K465" s="2"/>
    </row>
    <row r="466">
      <c r="A466" s="2"/>
      <c r="B466" s="2"/>
      <c r="C466" s="2"/>
      <c r="D466" s="2"/>
      <c r="E466" s="2"/>
      <c r="F466" s="2"/>
      <c r="G466" s="27"/>
      <c r="H466" s="27"/>
      <c r="I466" s="27"/>
      <c r="J466" s="2"/>
      <c r="K466" s="2"/>
    </row>
    <row r="467">
      <c r="A467" s="2"/>
      <c r="B467" s="2"/>
      <c r="C467" s="2"/>
      <c r="D467" s="2"/>
      <c r="E467" s="2"/>
      <c r="F467" s="2"/>
      <c r="G467" s="27"/>
      <c r="H467" s="27"/>
      <c r="I467" s="27"/>
      <c r="J467" s="2"/>
      <c r="K467" s="2"/>
    </row>
    <row r="468">
      <c r="A468" s="2"/>
      <c r="B468" s="2"/>
      <c r="C468" s="2"/>
      <c r="D468" s="2"/>
      <c r="E468" s="2"/>
      <c r="F468" s="2"/>
      <c r="G468" s="27"/>
      <c r="H468" s="27"/>
      <c r="I468" s="27"/>
      <c r="J468" s="2"/>
      <c r="K468" s="2"/>
    </row>
    <row r="469">
      <c r="A469" s="2"/>
      <c r="B469" s="2"/>
      <c r="C469" s="2"/>
      <c r="D469" s="2"/>
      <c r="E469" s="2"/>
      <c r="F469" s="2"/>
      <c r="G469" s="27"/>
      <c r="H469" s="27"/>
      <c r="I469" s="27"/>
      <c r="J469" s="2"/>
      <c r="K469" s="2"/>
    </row>
    <row r="470">
      <c r="A470" s="2"/>
      <c r="B470" s="2"/>
      <c r="C470" s="2"/>
      <c r="D470" s="2"/>
      <c r="E470" s="2"/>
      <c r="F470" s="2"/>
      <c r="G470" s="27"/>
      <c r="H470" s="27"/>
      <c r="I470" s="27"/>
      <c r="J470" s="2"/>
      <c r="K470" s="2"/>
    </row>
    <row r="471">
      <c r="A471" s="2"/>
      <c r="B471" s="2"/>
      <c r="C471" s="2"/>
      <c r="D471" s="2"/>
      <c r="E471" s="2"/>
      <c r="F471" s="2"/>
      <c r="G471" s="27"/>
      <c r="H471" s="27"/>
      <c r="I471" s="27"/>
      <c r="J471" s="2"/>
      <c r="K471" s="2"/>
    </row>
    <row r="472">
      <c r="A472" s="2"/>
      <c r="B472" s="2"/>
      <c r="C472" s="2"/>
      <c r="D472" s="2"/>
      <c r="E472" s="2"/>
      <c r="F472" s="2"/>
      <c r="G472" s="27"/>
      <c r="H472" s="27"/>
      <c r="I472" s="27"/>
      <c r="J472" s="2"/>
      <c r="K472" s="2"/>
    </row>
    <row r="473">
      <c r="A473" s="2"/>
      <c r="B473" s="2"/>
      <c r="C473" s="2"/>
      <c r="D473" s="2"/>
      <c r="E473" s="2"/>
      <c r="F473" s="2"/>
      <c r="G473" s="27"/>
      <c r="H473" s="27"/>
      <c r="I473" s="27"/>
      <c r="J473" s="2"/>
      <c r="K473" s="2"/>
    </row>
    <row r="474">
      <c r="A474" s="2"/>
      <c r="B474" s="2"/>
      <c r="C474" s="2"/>
      <c r="D474" s="2"/>
      <c r="E474" s="2"/>
      <c r="F474" s="2"/>
      <c r="G474" s="27"/>
      <c r="H474" s="27"/>
      <c r="I474" s="27"/>
      <c r="J474" s="2"/>
      <c r="K474" s="2"/>
    </row>
    <row r="475">
      <c r="A475" s="2"/>
      <c r="B475" s="2"/>
      <c r="C475" s="2"/>
      <c r="D475" s="2"/>
      <c r="E475" s="2"/>
      <c r="F475" s="2"/>
      <c r="G475" s="27"/>
      <c r="H475" s="27"/>
      <c r="I475" s="27"/>
      <c r="J475" s="2"/>
      <c r="K475" s="2"/>
    </row>
    <row r="476">
      <c r="A476" s="2"/>
      <c r="B476" s="2"/>
      <c r="C476" s="2"/>
      <c r="D476" s="2"/>
      <c r="E476" s="2"/>
      <c r="F476" s="2"/>
      <c r="G476" s="27"/>
      <c r="H476" s="27"/>
      <c r="I476" s="27"/>
      <c r="J476" s="2"/>
      <c r="K476" s="2"/>
    </row>
    <row r="477">
      <c r="A477" s="2"/>
      <c r="B477" s="2"/>
      <c r="C477" s="2"/>
      <c r="D477" s="2"/>
      <c r="E477" s="2"/>
      <c r="F477" s="2"/>
      <c r="G477" s="27"/>
      <c r="H477" s="27"/>
      <c r="I477" s="27"/>
      <c r="J477" s="2"/>
      <c r="K477" s="2"/>
    </row>
    <row r="478">
      <c r="A478" s="2"/>
      <c r="B478" s="2"/>
      <c r="C478" s="2"/>
      <c r="D478" s="2"/>
      <c r="E478" s="2"/>
      <c r="F478" s="2"/>
      <c r="G478" s="27"/>
      <c r="H478" s="27"/>
      <c r="I478" s="27"/>
      <c r="J478" s="2"/>
      <c r="K478" s="2"/>
    </row>
    <row r="479">
      <c r="A479" s="2"/>
      <c r="B479" s="2"/>
      <c r="C479" s="2"/>
      <c r="D479" s="2"/>
      <c r="E479" s="2"/>
      <c r="F479" s="2"/>
      <c r="G479" s="27"/>
      <c r="H479" s="27"/>
      <c r="I479" s="27"/>
      <c r="J479" s="2"/>
      <c r="K479" s="2"/>
    </row>
    <row r="480">
      <c r="A480" s="2"/>
      <c r="B480" s="2"/>
      <c r="C480" s="2"/>
      <c r="D480" s="2"/>
      <c r="E480" s="2"/>
      <c r="F480" s="2"/>
      <c r="G480" s="27"/>
      <c r="H480" s="27"/>
      <c r="I480" s="27"/>
      <c r="J480" s="2"/>
      <c r="K480" s="2"/>
    </row>
    <row r="481">
      <c r="A481" s="2"/>
      <c r="B481" s="2"/>
      <c r="C481" s="2"/>
      <c r="D481" s="2"/>
      <c r="E481" s="2"/>
      <c r="F481" s="2"/>
      <c r="G481" s="27"/>
      <c r="H481" s="27"/>
      <c r="I481" s="27"/>
      <c r="J481" s="2"/>
      <c r="K481" s="2"/>
    </row>
    <row r="482">
      <c r="A482" s="2"/>
      <c r="B482" s="2"/>
      <c r="C482" s="2"/>
      <c r="D482" s="2"/>
      <c r="E482" s="2"/>
      <c r="F482" s="2"/>
      <c r="G482" s="27"/>
      <c r="H482" s="27"/>
      <c r="I482" s="27"/>
      <c r="J482" s="2"/>
      <c r="K482" s="2"/>
    </row>
    <row r="483">
      <c r="A483" s="2"/>
      <c r="B483" s="2"/>
      <c r="C483" s="2"/>
      <c r="D483" s="2"/>
      <c r="E483" s="2"/>
      <c r="F483" s="2"/>
      <c r="G483" s="27"/>
      <c r="H483" s="27"/>
      <c r="I483" s="27"/>
      <c r="J483" s="2"/>
      <c r="K483" s="2"/>
    </row>
    <row r="484">
      <c r="A484" s="2"/>
      <c r="B484" s="2"/>
      <c r="C484" s="2"/>
      <c r="D484" s="2"/>
      <c r="E484" s="2"/>
      <c r="F484" s="2"/>
      <c r="G484" s="27"/>
      <c r="H484" s="27"/>
      <c r="I484" s="27"/>
      <c r="J484" s="2"/>
      <c r="K484" s="2"/>
    </row>
    <row r="485">
      <c r="A485" s="2"/>
      <c r="B485" s="2"/>
      <c r="C485" s="2"/>
      <c r="D485" s="2"/>
      <c r="E485" s="2"/>
      <c r="F485" s="2"/>
      <c r="G485" s="27"/>
      <c r="H485" s="27"/>
      <c r="I485" s="27"/>
      <c r="J485" s="2"/>
      <c r="K485" s="2"/>
    </row>
    <row r="486">
      <c r="A486" s="2"/>
      <c r="B486" s="2"/>
      <c r="C486" s="2"/>
      <c r="D486" s="2"/>
      <c r="E486" s="2"/>
      <c r="F486" s="2"/>
      <c r="G486" s="27"/>
      <c r="H486" s="27"/>
      <c r="I486" s="27"/>
      <c r="J486" s="2"/>
      <c r="K486" s="2"/>
    </row>
    <row r="487">
      <c r="A487" s="2"/>
      <c r="B487" s="2"/>
      <c r="C487" s="2"/>
      <c r="D487" s="2"/>
      <c r="E487" s="2"/>
      <c r="F487" s="2"/>
      <c r="G487" s="27"/>
      <c r="H487" s="27"/>
      <c r="I487" s="27"/>
      <c r="J487" s="2"/>
      <c r="K487" s="2"/>
    </row>
    <row r="488">
      <c r="A488" s="2"/>
      <c r="B488" s="2"/>
      <c r="C488" s="2"/>
      <c r="D488" s="2"/>
      <c r="E488" s="2"/>
      <c r="F488" s="2"/>
      <c r="G488" s="27"/>
      <c r="H488" s="27"/>
      <c r="I488" s="27"/>
      <c r="J488" s="2"/>
      <c r="K488" s="2"/>
    </row>
    <row r="489">
      <c r="A489" s="2"/>
      <c r="B489" s="2"/>
      <c r="C489" s="2"/>
      <c r="D489" s="2"/>
      <c r="E489" s="2"/>
      <c r="F489" s="2"/>
      <c r="G489" s="27"/>
      <c r="H489" s="27"/>
      <c r="I489" s="27"/>
      <c r="J489" s="2"/>
      <c r="K489" s="2"/>
    </row>
    <row r="490">
      <c r="A490" s="2"/>
      <c r="B490" s="2"/>
      <c r="C490" s="2"/>
      <c r="D490" s="2"/>
      <c r="E490" s="2"/>
      <c r="F490" s="2"/>
      <c r="G490" s="27"/>
      <c r="H490" s="27"/>
      <c r="I490" s="27"/>
      <c r="J490" s="2"/>
      <c r="K490" s="2"/>
    </row>
    <row r="491">
      <c r="A491" s="2"/>
      <c r="B491" s="2"/>
      <c r="C491" s="2"/>
      <c r="D491" s="2"/>
      <c r="E491" s="2"/>
      <c r="F491" s="2"/>
      <c r="G491" s="27"/>
      <c r="H491" s="27"/>
      <c r="I491" s="27"/>
      <c r="J491" s="2"/>
      <c r="K491" s="2"/>
    </row>
    <row r="492">
      <c r="A492" s="2"/>
      <c r="B492" s="2"/>
      <c r="C492" s="2"/>
      <c r="D492" s="2"/>
      <c r="E492" s="2"/>
      <c r="F492" s="2"/>
      <c r="G492" s="27"/>
      <c r="H492" s="27"/>
      <c r="I492" s="27"/>
      <c r="J492" s="2"/>
      <c r="K492" s="2"/>
    </row>
    <row r="493">
      <c r="A493" s="2"/>
      <c r="B493" s="2"/>
      <c r="C493" s="2"/>
      <c r="D493" s="2"/>
      <c r="E493" s="2"/>
      <c r="F493" s="2"/>
      <c r="G493" s="27"/>
      <c r="H493" s="27"/>
      <c r="I493" s="27"/>
      <c r="J493" s="2"/>
      <c r="K493" s="2"/>
    </row>
    <row r="494">
      <c r="A494" s="2"/>
      <c r="B494" s="2"/>
      <c r="C494" s="2"/>
      <c r="D494" s="2"/>
      <c r="E494" s="2"/>
      <c r="F494" s="2"/>
      <c r="G494" s="27"/>
      <c r="H494" s="27"/>
      <c r="I494" s="27"/>
      <c r="J494" s="2"/>
      <c r="K494" s="2"/>
    </row>
    <row r="495">
      <c r="A495" s="2"/>
      <c r="B495" s="2"/>
      <c r="C495" s="2"/>
      <c r="D495" s="2"/>
      <c r="E495" s="2"/>
      <c r="F495" s="2"/>
      <c r="G495" s="27"/>
      <c r="H495" s="27"/>
      <c r="I495" s="27"/>
      <c r="J495" s="2"/>
      <c r="K495" s="2"/>
    </row>
    <row r="496">
      <c r="A496" s="2"/>
      <c r="B496" s="2"/>
      <c r="C496" s="2"/>
      <c r="D496" s="2"/>
      <c r="E496" s="2"/>
      <c r="F496" s="2"/>
      <c r="G496" s="27"/>
      <c r="H496" s="27"/>
      <c r="I496" s="27"/>
      <c r="J496" s="2"/>
      <c r="K496" s="2"/>
    </row>
    <row r="497">
      <c r="A497" s="2"/>
      <c r="B497" s="2"/>
      <c r="C497" s="2"/>
      <c r="D497" s="2"/>
      <c r="E497" s="2"/>
      <c r="F497" s="2"/>
      <c r="G497" s="27"/>
      <c r="H497" s="27"/>
      <c r="I497" s="27"/>
      <c r="J497" s="2"/>
      <c r="K497" s="2"/>
    </row>
    <row r="498">
      <c r="A498" s="2"/>
      <c r="B498" s="2"/>
      <c r="C498" s="2"/>
      <c r="D498" s="2"/>
      <c r="E498" s="2"/>
      <c r="F498" s="2"/>
      <c r="G498" s="27"/>
      <c r="H498" s="27"/>
      <c r="I498" s="27"/>
      <c r="J498" s="2"/>
      <c r="K498" s="2"/>
    </row>
    <row r="499">
      <c r="A499" s="2"/>
      <c r="B499" s="2"/>
      <c r="C499" s="2"/>
      <c r="D499" s="2"/>
      <c r="E499" s="2"/>
      <c r="F499" s="2"/>
      <c r="G499" s="27"/>
      <c r="H499" s="27"/>
      <c r="I499" s="27"/>
      <c r="J499" s="2"/>
      <c r="K499" s="2"/>
    </row>
    <row r="500">
      <c r="A500" s="2"/>
      <c r="B500" s="2"/>
      <c r="C500" s="2"/>
      <c r="D500" s="2"/>
      <c r="E500" s="2"/>
      <c r="F500" s="2"/>
      <c r="G500" s="27"/>
      <c r="H500" s="27"/>
      <c r="I500" s="27"/>
      <c r="J500" s="2"/>
      <c r="K500" s="2"/>
    </row>
    <row r="501">
      <c r="A501" s="2"/>
      <c r="B501" s="2"/>
      <c r="C501" s="2"/>
      <c r="D501" s="2"/>
      <c r="E501" s="2"/>
      <c r="F501" s="2"/>
      <c r="G501" s="27"/>
      <c r="H501" s="27"/>
      <c r="I501" s="27"/>
      <c r="J501" s="2"/>
      <c r="K501" s="2"/>
    </row>
    <row r="502">
      <c r="A502" s="2"/>
      <c r="B502" s="2"/>
      <c r="C502" s="2"/>
      <c r="D502" s="2"/>
      <c r="E502" s="2"/>
      <c r="F502" s="2"/>
      <c r="G502" s="27"/>
      <c r="H502" s="27"/>
      <c r="I502" s="27"/>
      <c r="J502" s="2"/>
      <c r="K502" s="2"/>
    </row>
    <row r="503">
      <c r="A503" s="2"/>
      <c r="B503" s="2"/>
      <c r="C503" s="2"/>
      <c r="D503" s="2"/>
      <c r="E503" s="2"/>
      <c r="F503" s="2"/>
      <c r="G503" s="27"/>
      <c r="H503" s="27"/>
      <c r="I503" s="27"/>
      <c r="J503" s="2"/>
      <c r="K503" s="2"/>
    </row>
    <row r="504">
      <c r="A504" s="2"/>
      <c r="B504" s="2"/>
      <c r="C504" s="2"/>
      <c r="D504" s="2"/>
      <c r="E504" s="2"/>
      <c r="F504" s="2"/>
      <c r="G504" s="27"/>
      <c r="H504" s="27"/>
      <c r="I504" s="27"/>
      <c r="J504" s="2"/>
      <c r="K504" s="2"/>
    </row>
    <row r="505">
      <c r="A505" s="2"/>
      <c r="B505" s="2"/>
      <c r="C505" s="2"/>
      <c r="D505" s="2"/>
      <c r="E505" s="2"/>
      <c r="F505" s="2"/>
      <c r="G505" s="27"/>
      <c r="H505" s="27"/>
      <c r="I505" s="27"/>
      <c r="J505" s="2"/>
      <c r="K505" s="2"/>
    </row>
    <row r="506">
      <c r="A506" s="2"/>
      <c r="B506" s="2"/>
      <c r="C506" s="2"/>
      <c r="D506" s="2"/>
      <c r="E506" s="2"/>
      <c r="F506" s="2"/>
      <c r="G506" s="27"/>
      <c r="H506" s="27"/>
      <c r="I506" s="27"/>
      <c r="J506" s="2"/>
      <c r="K506" s="2"/>
    </row>
    <row r="507">
      <c r="A507" s="2"/>
      <c r="B507" s="2"/>
      <c r="C507" s="2"/>
      <c r="D507" s="2"/>
      <c r="E507" s="2"/>
      <c r="F507" s="2"/>
      <c r="G507" s="27"/>
      <c r="H507" s="27"/>
      <c r="I507" s="27"/>
      <c r="J507" s="2"/>
      <c r="K507" s="2"/>
    </row>
    <row r="508">
      <c r="A508" s="2"/>
      <c r="B508" s="2"/>
      <c r="C508" s="2"/>
      <c r="D508" s="2"/>
      <c r="E508" s="2"/>
      <c r="F508" s="2"/>
      <c r="G508" s="27"/>
      <c r="H508" s="27"/>
      <c r="I508" s="27"/>
      <c r="J508" s="2"/>
      <c r="K508" s="2"/>
    </row>
    <row r="509">
      <c r="A509" s="2"/>
      <c r="B509" s="2"/>
      <c r="C509" s="2"/>
      <c r="D509" s="2"/>
      <c r="E509" s="2"/>
      <c r="F509" s="2"/>
      <c r="G509" s="27"/>
      <c r="H509" s="27"/>
      <c r="I509" s="27"/>
      <c r="J509" s="2"/>
      <c r="K509" s="2"/>
    </row>
    <row r="510">
      <c r="A510" s="2"/>
      <c r="B510" s="2"/>
      <c r="C510" s="2"/>
      <c r="D510" s="2"/>
      <c r="E510" s="2"/>
      <c r="F510" s="2"/>
      <c r="G510" s="27"/>
      <c r="H510" s="27"/>
      <c r="I510" s="27"/>
      <c r="J510" s="2"/>
      <c r="K510" s="2"/>
    </row>
    <row r="511">
      <c r="A511" s="2"/>
      <c r="B511" s="2"/>
      <c r="C511" s="2"/>
      <c r="D511" s="2"/>
      <c r="E511" s="2"/>
      <c r="F511" s="2"/>
      <c r="G511" s="27"/>
      <c r="H511" s="27"/>
      <c r="I511" s="27"/>
      <c r="J511" s="2"/>
      <c r="K511" s="2"/>
    </row>
    <row r="512">
      <c r="A512" s="2"/>
      <c r="B512" s="2"/>
      <c r="C512" s="2"/>
      <c r="D512" s="2"/>
      <c r="E512" s="2"/>
      <c r="F512" s="2"/>
      <c r="G512" s="27"/>
      <c r="H512" s="27"/>
      <c r="I512" s="27"/>
      <c r="J512" s="2"/>
      <c r="K512" s="2"/>
    </row>
    <row r="513">
      <c r="A513" s="2"/>
      <c r="B513" s="2"/>
      <c r="C513" s="2"/>
      <c r="D513" s="2"/>
      <c r="E513" s="2"/>
      <c r="F513" s="2"/>
      <c r="G513" s="27"/>
      <c r="H513" s="27"/>
      <c r="I513" s="27"/>
      <c r="J513" s="2"/>
      <c r="K513" s="2"/>
    </row>
    <row r="514">
      <c r="A514" s="2"/>
      <c r="B514" s="2"/>
      <c r="C514" s="2"/>
      <c r="D514" s="2"/>
      <c r="E514" s="2"/>
      <c r="F514" s="2"/>
      <c r="G514" s="27"/>
      <c r="H514" s="27"/>
      <c r="I514" s="27"/>
      <c r="J514" s="2"/>
      <c r="K514" s="2"/>
    </row>
    <row r="515">
      <c r="A515" s="2"/>
      <c r="B515" s="2"/>
      <c r="C515" s="2"/>
      <c r="D515" s="2"/>
      <c r="E515" s="2"/>
      <c r="F515" s="2"/>
      <c r="G515" s="27"/>
      <c r="H515" s="27"/>
      <c r="I515" s="27"/>
      <c r="J515" s="2"/>
      <c r="K515" s="2"/>
    </row>
    <row r="516">
      <c r="A516" s="2"/>
      <c r="B516" s="2"/>
      <c r="C516" s="2"/>
      <c r="D516" s="2"/>
      <c r="E516" s="2"/>
      <c r="F516" s="2"/>
      <c r="G516" s="27"/>
      <c r="H516" s="27"/>
      <c r="I516" s="27"/>
      <c r="J516" s="2"/>
      <c r="K516" s="2"/>
    </row>
    <row r="517">
      <c r="A517" s="2"/>
      <c r="B517" s="2"/>
      <c r="C517" s="2"/>
      <c r="D517" s="2"/>
      <c r="E517" s="2"/>
      <c r="F517" s="2"/>
      <c r="G517" s="27"/>
      <c r="H517" s="27"/>
      <c r="I517" s="27"/>
      <c r="J517" s="2"/>
      <c r="K517" s="2"/>
    </row>
    <row r="518">
      <c r="A518" s="2"/>
      <c r="B518" s="2"/>
      <c r="C518" s="2"/>
      <c r="D518" s="2"/>
      <c r="E518" s="2"/>
      <c r="F518" s="2"/>
      <c r="G518" s="27"/>
      <c r="H518" s="27"/>
      <c r="I518" s="27"/>
      <c r="J518" s="2"/>
      <c r="K518" s="2"/>
    </row>
    <row r="519">
      <c r="A519" s="2"/>
      <c r="B519" s="2"/>
      <c r="C519" s="2"/>
      <c r="D519" s="2"/>
      <c r="E519" s="2"/>
      <c r="F519" s="2"/>
      <c r="G519" s="27"/>
      <c r="H519" s="27"/>
      <c r="I519" s="27"/>
      <c r="J519" s="2"/>
      <c r="K519" s="2"/>
    </row>
    <row r="520">
      <c r="A520" s="2"/>
      <c r="B520" s="2"/>
      <c r="C520" s="2"/>
      <c r="D520" s="2"/>
      <c r="E520" s="2"/>
      <c r="F520" s="2"/>
      <c r="G520" s="27"/>
      <c r="H520" s="27"/>
      <c r="I520" s="27"/>
      <c r="J520" s="2"/>
      <c r="K520" s="2"/>
    </row>
    <row r="521">
      <c r="A521" s="2"/>
      <c r="B521" s="2"/>
      <c r="C521" s="2"/>
      <c r="D521" s="2"/>
      <c r="E521" s="2"/>
      <c r="F521" s="2"/>
      <c r="G521" s="27"/>
      <c r="H521" s="27"/>
      <c r="I521" s="27"/>
      <c r="J521" s="2"/>
      <c r="K521" s="2"/>
    </row>
    <row r="522">
      <c r="A522" s="2"/>
      <c r="B522" s="2"/>
      <c r="C522" s="2"/>
      <c r="D522" s="2"/>
      <c r="E522" s="2"/>
      <c r="F522" s="2"/>
      <c r="G522" s="27"/>
      <c r="H522" s="27"/>
      <c r="I522" s="27"/>
      <c r="J522" s="2"/>
      <c r="K522" s="2"/>
    </row>
    <row r="523">
      <c r="A523" s="2"/>
      <c r="B523" s="2"/>
      <c r="C523" s="2"/>
      <c r="D523" s="2"/>
      <c r="E523" s="2"/>
      <c r="F523" s="2"/>
      <c r="G523" s="27"/>
      <c r="H523" s="27"/>
      <c r="I523" s="27"/>
      <c r="J523" s="2"/>
      <c r="K523" s="2"/>
    </row>
    <row r="524">
      <c r="A524" s="2"/>
      <c r="B524" s="2"/>
      <c r="C524" s="2"/>
      <c r="D524" s="2"/>
      <c r="E524" s="2"/>
      <c r="F524" s="2"/>
      <c r="G524" s="27"/>
      <c r="H524" s="27"/>
      <c r="I524" s="27"/>
      <c r="J524" s="2"/>
      <c r="K524" s="2"/>
    </row>
    <row r="525">
      <c r="A525" s="2"/>
      <c r="B525" s="2"/>
      <c r="C525" s="2"/>
      <c r="D525" s="2"/>
      <c r="E525" s="2"/>
      <c r="F525" s="2"/>
      <c r="G525" s="27"/>
      <c r="H525" s="27"/>
      <c r="I525" s="27"/>
      <c r="J525" s="2"/>
      <c r="K525" s="2"/>
    </row>
    <row r="526">
      <c r="A526" s="2"/>
      <c r="B526" s="2"/>
      <c r="C526" s="2"/>
      <c r="D526" s="2"/>
      <c r="E526" s="2"/>
      <c r="F526" s="2"/>
      <c r="G526" s="27"/>
      <c r="H526" s="27"/>
      <c r="I526" s="27"/>
      <c r="J526" s="2"/>
      <c r="K526" s="2"/>
    </row>
    <row r="527">
      <c r="A527" s="2"/>
      <c r="B527" s="2"/>
      <c r="C527" s="2"/>
      <c r="D527" s="2"/>
      <c r="E527" s="2"/>
      <c r="F527" s="2"/>
      <c r="G527" s="27"/>
      <c r="H527" s="27"/>
      <c r="I527" s="27"/>
      <c r="J527" s="2"/>
      <c r="K527" s="2"/>
    </row>
    <row r="528">
      <c r="A528" s="2"/>
      <c r="B528" s="2"/>
      <c r="C528" s="2"/>
      <c r="D528" s="2"/>
      <c r="E528" s="2"/>
      <c r="F528" s="2"/>
      <c r="G528" s="27"/>
      <c r="H528" s="27"/>
      <c r="I528" s="27"/>
      <c r="J528" s="2"/>
      <c r="K528" s="2"/>
    </row>
    <row r="529">
      <c r="A529" s="2"/>
      <c r="B529" s="2"/>
      <c r="C529" s="2"/>
      <c r="D529" s="2"/>
      <c r="E529" s="2"/>
      <c r="F529" s="2"/>
      <c r="G529" s="27"/>
      <c r="H529" s="27"/>
      <c r="I529" s="27"/>
      <c r="J529" s="2"/>
      <c r="K529" s="2"/>
    </row>
    <row r="530">
      <c r="A530" s="2"/>
      <c r="B530" s="2"/>
      <c r="C530" s="2"/>
      <c r="D530" s="2"/>
      <c r="E530" s="2"/>
      <c r="F530" s="2"/>
      <c r="G530" s="27"/>
      <c r="H530" s="27"/>
      <c r="I530" s="27"/>
      <c r="J530" s="2"/>
      <c r="K530" s="2"/>
    </row>
    <row r="531">
      <c r="A531" s="2"/>
      <c r="B531" s="2"/>
      <c r="C531" s="2"/>
      <c r="D531" s="2"/>
      <c r="E531" s="2"/>
      <c r="F531" s="2"/>
      <c r="G531" s="27"/>
      <c r="H531" s="27"/>
      <c r="I531" s="27"/>
      <c r="J531" s="2"/>
      <c r="K531" s="2"/>
    </row>
    <row r="532">
      <c r="A532" s="2"/>
      <c r="B532" s="2"/>
      <c r="C532" s="2"/>
      <c r="D532" s="2"/>
      <c r="E532" s="2"/>
      <c r="F532" s="2"/>
      <c r="G532" s="27"/>
      <c r="H532" s="27"/>
      <c r="I532" s="27"/>
      <c r="J532" s="2"/>
      <c r="K532" s="2"/>
    </row>
    <row r="533">
      <c r="A533" s="2"/>
      <c r="B533" s="2"/>
      <c r="C533" s="2"/>
      <c r="D533" s="2"/>
      <c r="E533" s="2"/>
      <c r="F533" s="2"/>
      <c r="G533" s="27"/>
      <c r="H533" s="27"/>
      <c r="I533" s="27"/>
      <c r="J533" s="2"/>
      <c r="K533" s="2"/>
    </row>
    <row r="534">
      <c r="A534" s="2"/>
      <c r="B534" s="2"/>
      <c r="C534" s="2"/>
      <c r="D534" s="2"/>
      <c r="E534" s="2"/>
      <c r="F534" s="2"/>
      <c r="G534" s="27"/>
      <c r="H534" s="27"/>
      <c r="I534" s="27"/>
      <c r="J534" s="2"/>
      <c r="K534" s="2"/>
    </row>
    <row r="535">
      <c r="A535" s="2"/>
      <c r="B535" s="2"/>
      <c r="C535" s="2"/>
      <c r="D535" s="2"/>
      <c r="E535" s="2"/>
      <c r="F535" s="2"/>
      <c r="G535" s="27"/>
      <c r="H535" s="27"/>
      <c r="I535" s="27"/>
      <c r="J535" s="2"/>
      <c r="K535" s="2"/>
    </row>
    <row r="536">
      <c r="A536" s="2"/>
      <c r="B536" s="2"/>
      <c r="C536" s="2"/>
      <c r="D536" s="2"/>
      <c r="E536" s="2"/>
      <c r="F536" s="2"/>
      <c r="G536" s="27"/>
      <c r="H536" s="27"/>
      <c r="I536" s="27"/>
      <c r="J536" s="2"/>
      <c r="K536" s="2"/>
    </row>
    <row r="537">
      <c r="A537" s="2"/>
      <c r="B537" s="2"/>
      <c r="C537" s="2"/>
      <c r="D537" s="2"/>
      <c r="E537" s="2"/>
      <c r="F537" s="2"/>
      <c r="G537" s="27"/>
      <c r="H537" s="27"/>
      <c r="I537" s="27"/>
      <c r="J537" s="2"/>
      <c r="K537" s="2"/>
    </row>
    <row r="538">
      <c r="A538" s="2"/>
      <c r="B538" s="2"/>
      <c r="C538" s="2"/>
      <c r="D538" s="2"/>
      <c r="E538" s="2"/>
      <c r="F538" s="2"/>
      <c r="G538" s="27"/>
      <c r="H538" s="27"/>
      <c r="I538" s="27"/>
      <c r="J538" s="2"/>
      <c r="K538" s="2"/>
    </row>
    <row r="539">
      <c r="A539" s="2"/>
      <c r="B539" s="2"/>
      <c r="C539" s="2"/>
      <c r="D539" s="2"/>
      <c r="E539" s="2"/>
      <c r="F539" s="2"/>
      <c r="G539" s="27"/>
      <c r="H539" s="27"/>
      <c r="I539" s="27"/>
      <c r="J539" s="2"/>
      <c r="K539" s="2"/>
    </row>
    <row r="540">
      <c r="A540" s="2"/>
      <c r="B540" s="2"/>
      <c r="C540" s="2"/>
      <c r="D540" s="2"/>
      <c r="E540" s="2"/>
      <c r="F540" s="2"/>
      <c r="G540" s="27"/>
      <c r="H540" s="27"/>
      <c r="I540" s="27"/>
      <c r="J540" s="2"/>
      <c r="K540" s="2"/>
    </row>
    <row r="541">
      <c r="A541" s="2"/>
      <c r="B541" s="2"/>
      <c r="C541" s="2"/>
      <c r="D541" s="2"/>
      <c r="E541" s="2"/>
      <c r="F541" s="2"/>
      <c r="G541" s="27"/>
      <c r="H541" s="27"/>
      <c r="I541" s="27"/>
      <c r="J541" s="2"/>
      <c r="K541" s="2"/>
    </row>
    <row r="542">
      <c r="A542" s="2"/>
      <c r="B542" s="2"/>
      <c r="C542" s="2"/>
      <c r="D542" s="2"/>
      <c r="E542" s="2"/>
      <c r="F542" s="2"/>
      <c r="G542" s="27"/>
      <c r="H542" s="27"/>
      <c r="I542" s="27"/>
      <c r="J542" s="2"/>
      <c r="K542" s="2"/>
    </row>
    <row r="543">
      <c r="A543" s="2"/>
      <c r="B543" s="2"/>
      <c r="C543" s="2"/>
      <c r="D543" s="2"/>
      <c r="E543" s="2"/>
      <c r="F543" s="2"/>
      <c r="G543" s="27"/>
      <c r="H543" s="27"/>
      <c r="I543" s="27"/>
      <c r="J543" s="2"/>
      <c r="K543" s="2"/>
    </row>
    <row r="544">
      <c r="A544" s="2"/>
      <c r="B544" s="2"/>
      <c r="C544" s="2"/>
      <c r="D544" s="2"/>
      <c r="E544" s="2"/>
      <c r="F544" s="2"/>
      <c r="G544" s="27"/>
      <c r="H544" s="27"/>
      <c r="I544" s="27"/>
      <c r="J544" s="2"/>
      <c r="K544" s="2"/>
    </row>
    <row r="545">
      <c r="A545" s="2"/>
      <c r="B545" s="2"/>
      <c r="C545" s="2"/>
      <c r="D545" s="2"/>
      <c r="E545" s="2"/>
      <c r="F545" s="2"/>
      <c r="G545" s="27"/>
      <c r="H545" s="27"/>
      <c r="I545" s="27"/>
      <c r="J545" s="2"/>
      <c r="K545" s="2"/>
    </row>
    <row r="546">
      <c r="A546" s="2"/>
      <c r="B546" s="2"/>
      <c r="C546" s="2"/>
      <c r="D546" s="2"/>
      <c r="E546" s="2"/>
      <c r="F546" s="2"/>
      <c r="G546" s="27"/>
      <c r="H546" s="27"/>
      <c r="I546" s="27"/>
      <c r="J546" s="2"/>
      <c r="K546" s="2"/>
    </row>
    <row r="547">
      <c r="A547" s="2"/>
      <c r="B547" s="2"/>
      <c r="C547" s="2"/>
      <c r="D547" s="2"/>
      <c r="E547" s="2"/>
      <c r="F547" s="2"/>
      <c r="G547" s="27"/>
      <c r="H547" s="27"/>
      <c r="I547" s="27"/>
      <c r="J547" s="2"/>
      <c r="K547" s="2"/>
    </row>
    <row r="548">
      <c r="A548" s="2"/>
      <c r="B548" s="2"/>
      <c r="C548" s="2"/>
      <c r="D548" s="2"/>
      <c r="E548" s="2"/>
      <c r="F548" s="2"/>
      <c r="G548" s="27"/>
      <c r="H548" s="27"/>
      <c r="I548" s="27"/>
      <c r="J548" s="2"/>
      <c r="K548" s="2"/>
    </row>
    <row r="549">
      <c r="A549" s="2"/>
      <c r="B549" s="2"/>
      <c r="C549" s="2"/>
      <c r="D549" s="2"/>
      <c r="E549" s="2"/>
      <c r="F549" s="2"/>
      <c r="G549" s="27"/>
      <c r="H549" s="27"/>
      <c r="I549" s="27"/>
      <c r="J549" s="2"/>
      <c r="K549" s="2"/>
    </row>
    <row r="550">
      <c r="A550" s="2"/>
      <c r="B550" s="2"/>
      <c r="C550" s="2"/>
      <c r="D550" s="2"/>
      <c r="E550" s="2"/>
      <c r="F550" s="2"/>
      <c r="G550" s="27"/>
      <c r="H550" s="27"/>
      <c r="I550" s="27"/>
      <c r="J550" s="2"/>
      <c r="K550" s="2"/>
    </row>
    <row r="551">
      <c r="A551" s="2"/>
      <c r="B551" s="2"/>
      <c r="C551" s="2"/>
      <c r="D551" s="2"/>
      <c r="E551" s="2"/>
      <c r="F551" s="2"/>
      <c r="G551" s="27"/>
      <c r="H551" s="27"/>
      <c r="I551" s="27"/>
      <c r="J551" s="2"/>
      <c r="K551" s="2"/>
    </row>
    <row r="552">
      <c r="A552" s="2"/>
      <c r="B552" s="2"/>
      <c r="C552" s="2"/>
      <c r="D552" s="2"/>
      <c r="E552" s="2"/>
      <c r="F552" s="2"/>
      <c r="G552" s="27"/>
      <c r="H552" s="27"/>
      <c r="I552" s="27"/>
      <c r="J552" s="2"/>
      <c r="K552" s="2"/>
    </row>
    <row r="553">
      <c r="A553" s="2"/>
      <c r="B553" s="2"/>
      <c r="C553" s="2"/>
      <c r="D553" s="2"/>
      <c r="E553" s="2"/>
      <c r="F553" s="2"/>
      <c r="G553" s="27"/>
      <c r="H553" s="27"/>
      <c r="I553" s="27"/>
      <c r="J553" s="2"/>
      <c r="K553" s="2"/>
    </row>
    <row r="554">
      <c r="A554" s="2"/>
      <c r="B554" s="2"/>
      <c r="C554" s="2"/>
      <c r="D554" s="2"/>
      <c r="E554" s="2"/>
      <c r="F554" s="2"/>
      <c r="G554" s="27"/>
      <c r="H554" s="27"/>
      <c r="I554" s="27"/>
      <c r="J554" s="2"/>
      <c r="K554" s="2"/>
    </row>
    <row r="555">
      <c r="A555" s="2"/>
      <c r="B555" s="2"/>
      <c r="C555" s="2"/>
      <c r="D555" s="2"/>
      <c r="E555" s="2"/>
      <c r="F555" s="2"/>
      <c r="G555" s="27"/>
      <c r="H555" s="27"/>
      <c r="I555" s="27"/>
      <c r="J555" s="2"/>
      <c r="K555" s="2"/>
    </row>
    <row r="556">
      <c r="A556" s="2"/>
      <c r="B556" s="2"/>
      <c r="C556" s="2"/>
      <c r="D556" s="2"/>
      <c r="E556" s="2"/>
      <c r="F556" s="2"/>
      <c r="G556" s="27"/>
      <c r="H556" s="27"/>
      <c r="I556" s="27"/>
      <c r="J556" s="2"/>
      <c r="K556" s="2"/>
    </row>
    <row r="557">
      <c r="A557" s="2"/>
      <c r="B557" s="2"/>
      <c r="C557" s="2"/>
      <c r="D557" s="2"/>
      <c r="E557" s="2"/>
      <c r="F557" s="2"/>
      <c r="G557" s="27"/>
      <c r="H557" s="27"/>
      <c r="I557" s="27"/>
      <c r="J557" s="2"/>
      <c r="K557" s="2"/>
    </row>
    <row r="558">
      <c r="A558" s="2"/>
      <c r="B558" s="2"/>
      <c r="C558" s="2"/>
      <c r="D558" s="2"/>
      <c r="E558" s="2"/>
      <c r="F558" s="2"/>
      <c r="G558" s="27"/>
      <c r="H558" s="27"/>
      <c r="I558" s="27"/>
      <c r="J558" s="2"/>
      <c r="K558" s="2"/>
    </row>
    <row r="559">
      <c r="A559" s="2"/>
      <c r="B559" s="2"/>
      <c r="C559" s="2"/>
      <c r="D559" s="2"/>
      <c r="E559" s="2"/>
      <c r="F559" s="2"/>
      <c r="G559" s="27"/>
      <c r="H559" s="27"/>
      <c r="I559" s="27"/>
      <c r="J559" s="2"/>
      <c r="K559" s="2"/>
    </row>
    <row r="560">
      <c r="A560" s="2"/>
      <c r="B560" s="2"/>
      <c r="C560" s="2"/>
      <c r="D560" s="2"/>
      <c r="E560" s="2"/>
      <c r="F560" s="2"/>
      <c r="G560" s="27"/>
      <c r="H560" s="27"/>
      <c r="I560" s="27"/>
      <c r="J560" s="2"/>
      <c r="K560" s="2"/>
    </row>
    <row r="561">
      <c r="A561" s="2"/>
      <c r="B561" s="2"/>
      <c r="C561" s="2"/>
      <c r="D561" s="2"/>
      <c r="E561" s="2"/>
      <c r="F561" s="2"/>
      <c r="G561" s="27"/>
      <c r="H561" s="27"/>
      <c r="I561" s="27"/>
      <c r="J561" s="2"/>
      <c r="K561" s="2"/>
    </row>
    <row r="562">
      <c r="A562" s="2"/>
      <c r="B562" s="2"/>
      <c r="C562" s="2"/>
      <c r="D562" s="2"/>
      <c r="E562" s="2"/>
      <c r="F562" s="2"/>
      <c r="G562" s="27"/>
      <c r="H562" s="27"/>
      <c r="I562" s="27"/>
      <c r="J562" s="2"/>
      <c r="K562" s="2"/>
    </row>
    <row r="563">
      <c r="A563" s="2"/>
      <c r="B563" s="2"/>
      <c r="C563" s="2"/>
      <c r="D563" s="2"/>
      <c r="E563" s="2"/>
      <c r="F563" s="2"/>
      <c r="G563" s="27"/>
      <c r="H563" s="27"/>
      <c r="I563" s="27"/>
      <c r="J563" s="2"/>
      <c r="K563" s="2"/>
    </row>
    <row r="564">
      <c r="A564" s="2"/>
      <c r="B564" s="2"/>
      <c r="C564" s="2"/>
      <c r="D564" s="2"/>
      <c r="E564" s="2"/>
      <c r="F564" s="2"/>
      <c r="G564" s="27"/>
      <c r="H564" s="27"/>
      <c r="I564" s="27"/>
      <c r="J564" s="2"/>
      <c r="K564" s="2"/>
    </row>
    <row r="565">
      <c r="A565" s="2"/>
      <c r="B565" s="2"/>
      <c r="C565" s="2"/>
      <c r="D565" s="2"/>
      <c r="E565" s="2"/>
      <c r="F565" s="2"/>
      <c r="G565" s="27"/>
      <c r="H565" s="27"/>
      <c r="I565" s="27"/>
      <c r="J565" s="2"/>
      <c r="K565" s="2"/>
    </row>
    <row r="566">
      <c r="A566" s="2"/>
      <c r="B566" s="2"/>
      <c r="C566" s="2"/>
      <c r="D566" s="2"/>
      <c r="E566" s="2"/>
      <c r="F566" s="2"/>
      <c r="G566" s="27"/>
      <c r="H566" s="27"/>
      <c r="I566" s="27"/>
      <c r="J566" s="2"/>
      <c r="K566" s="2"/>
    </row>
    <row r="567">
      <c r="A567" s="2"/>
      <c r="B567" s="2"/>
      <c r="C567" s="2"/>
      <c r="D567" s="2"/>
      <c r="E567" s="2"/>
      <c r="F567" s="2"/>
      <c r="G567" s="27"/>
      <c r="H567" s="27"/>
      <c r="I567" s="27"/>
      <c r="J567" s="2"/>
      <c r="K567" s="2"/>
    </row>
    <row r="568">
      <c r="A568" s="2"/>
      <c r="B568" s="2"/>
      <c r="C568" s="2"/>
      <c r="D568" s="2"/>
      <c r="E568" s="2"/>
      <c r="F568" s="2"/>
      <c r="G568" s="27"/>
      <c r="H568" s="27"/>
      <c r="I568" s="27"/>
      <c r="J568" s="2"/>
      <c r="K568" s="2"/>
    </row>
    <row r="569">
      <c r="A569" s="2"/>
      <c r="B569" s="2"/>
      <c r="C569" s="2"/>
      <c r="D569" s="2"/>
      <c r="E569" s="2"/>
      <c r="F569" s="2"/>
      <c r="G569" s="27"/>
      <c r="H569" s="27"/>
      <c r="I569" s="27"/>
      <c r="J569" s="2"/>
      <c r="K569" s="2"/>
    </row>
    <row r="570">
      <c r="A570" s="2"/>
      <c r="B570" s="2"/>
      <c r="C570" s="2"/>
      <c r="D570" s="2"/>
      <c r="E570" s="2"/>
      <c r="F570" s="2"/>
      <c r="G570" s="27"/>
      <c r="H570" s="27"/>
      <c r="I570" s="27"/>
      <c r="J570" s="2"/>
      <c r="K570" s="2"/>
    </row>
    <row r="571">
      <c r="A571" s="2"/>
      <c r="B571" s="2"/>
      <c r="C571" s="2"/>
      <c r="D571" s="2"/>
      <c r="E571" s="2"/>
      <c r="F571" s="2"/>
      <c r="G571" s="27"/>
      <c r="H571" s="27"/>
      <c r="I571" s="27"/>
      <c r="J571" s="2"/>
      <c r="K571" s="2"/>
    </row>
    <row r="572">
      <c r="A572" s="2"/>
      <c r="B572" s="2"/>
      <c r="C572" s="2"/>
      <c r="D572" s="2"/>
      <c r="E572" s="2"/>
      <c r="F572" s="2"/>
      <c r="G572" s="27"/>
      <c r="H572" s="27"/>
      <c r="I572" s="27"/>
      <c r="J572" s="2"/>
      <c r="K572" s="2"/>
    </row>
    <row r="573">
      <c r="A573" s="2"/>
      <c r="B573" s="2"/>
      <c r="C573" s="2"/>
      <c r="D573" s="2"/>
      <c r="E573" s="2"/>
      <c r="F573" s="2"/>
      <c r="G573" s="27"/>
      <c r="H573" s="27"/>
      <c r="I573" s="27"/>
      <c r="J573" s="2"/>
      <c r="K573" s="2"/>
    </row>
    <row r="574">
      <c r="A574" s="2"/>
      <c r="B574" s="2"/>
      <c r="C574" s="2"/>
      <c r="D574" s="2"/>
      <c r="E574" s="2"/>
      <c r="F574" s="2"/>
      <c r="G574" s="27"/>
      <c r="H574" s="27"/>
      <c r="I574" s="27"/>
      <c r="J574" s="2"/>
      <c r="K574" s="2"/>
    </row>
    <row r="575">
      <c r="A575" s="2"/>
      <c r="B575" s="2"/>
      <c r="C575" s="2"/>
      <c r="D575" s="2"/>
      <c r="E575" s="2"/>
      <c r="F575" s="2"/>
      <c r="G575" s="27"/>
      <c r="H575" s="27"/>
      <c r="I575" s="27"/>
      <c r="J575" s="2"/>
      <c r="K575" s="2"/>
    </row>
    <row r="576">
      <c r="A576" s="2"/>
      <c r="B576" s="2"/>
      <c r="C576" s="2"/>
      <c r="D576" s="2"/>
      <c r="E576" s="2"/>
      <c r="F576" s="2"/>
      <c r="G576" s="27"/>
      <c r="H576" s="27"/>
      <c r="I576" s="27"/>
      <c r="J576" s="2"/>
      <c r="K576" s="2"/>
    </row>
    <row r="577">
      <c r="A577" s="2"/>
      <c r="B577" s="2"/>
      <c r="C577" s="2"/>
      <c r="D577" s="2"/>
      <c r="E577" s="2"/>
      <c r="F577" s="2"/>
      <c r="G577" s="27"/>
      <c r="H577" s="27"/>
      <c r="I577" s="27"/>
      <c r="J577" s="2"/>
      <c r="K577" s="2"/>
    </row>
    <row r="578">
      <c r="A578" s="2"/>
      <c r="B578" s="2"/>
      <c r="C578" s="2"/>
      <c r="D578" s="2"/>
      <c r="E578" s="2"/>
      <c r="F578" s="2"/>
      <c r="G578" s="27"/>
      <c r="H578" s="27"/>
      <c r="I578" s="27"/>
      <c r="J578" s="2"/>
      <c r="K578" s="2"/>
    </row>
    <row r="579">
      <c r="A579" s="2"/>
      <c r="B579" s="2"/>
      <c r="C579" s="2"/>
      <c r="D579" s="2"/>
      <c r="E579" s="2"/>
      <c r="F579" s="2"/>
      <c r="G579" s="27"/>
      <c r="H579" s="27"/>
      <c r="I579" s="27"/>
      <c r="J579" s="2"/>
      <c r="K579" s="2"/>
    </row>
    <row r="580">
      <c r="A580" s="2"/>
      <c r="B580" s="2"/>
      <c r="C580" s="2"/>
      <c r="D580" s="2"/>
      <c r="E580" s="2"/>
      <c r="F580" s="2"/>
      <c r="G580" s="27"/>
      <c r="H580" s="27"/>
      <c r="I580" s="27"/>
      <c r="J580" s="2"/>
      <c r="K580" s="2"/>
    </row>
    <row r="581">
      <c r="A581" s="2"/>
      <c r="B581" s="2"/>
      <c r="C581" s="2"/>
      <c r="D581" s="2"/>
      <c r="E581" s="2"/>
      <c r="F581" s="2"/>
      <c r="G581" s="27"/>
      <c r="H581" s="27"/>
      <c r="I581" s="27"/>
      <c r="J581" s="2"/>
      <c r="K581" s="2"/>
    </row>
    <row r="582">
      <c r="A582" s="2"/>
      <c r="B582" s="2"/>
      <c r="C582" s="2"/>
      <c r="D582" s="2"/>
      <c r="E582" s="2"/>
      <c r="F582" s="2"/>
      <c r="G582" s="27"/>
      <c r="H582" s="27"/>
      <c r="I582" s="27"/>
      <c r="J582" s="2"/>
      <c r="K582" s="2"/>
    </row>
    <row r="583">
      <c r="A583" s="2"/>
      <c r="B583" s="2"/>
      <c r="C583" s="2"/>
      <c r="D583" s="2"/>
      <c r="E583" s="2"/>
      <c r="F583" s="2"/>
      <c r="G583" s="27"/>
      <c r="H583" s="27"/>
      <c r="I583" s="27"/>
      <c r="J583" s="2"/>
      <c r="K583" s="2"/>
    </row>
    <row r="584">
      <c r="A584" s="2"/>
      <c r="B584" s="2"/>
      <c r="C584" s="2"/>
      <c r="D584" s="2"/>
      <c r="E584" s="2"/>
      <c r="F584" s="2"/>
      <c r="G584" s="27"/>
      <c r="H584" s="27"/>
      <c r="I584" s="27"/>
      <c r="J584" s="2"/>
      <c r="K584" s="2"/>
    </row>
    <row r="585">
      <c r="A585" s="2"/>
      <c r="B585" s="2"/>
      <c r="C585" s="2"/>
      <c r="D585" s="2"/>
      <c r="E585" s="2"/>
      <c r="F585" s="2"/>
      <c r="G585" s="27"/>
      <c r="H585" s="27"/>
      <c r="I585" s="27"/>
      <c r="J585" s="2"/>
      <c r="K585" s="2"/>
    </row>
    <row r="586">
      <c r="A586" s="2"/>
      <c r="B586" s="2"/>
      <c r="C586" s="2"/>
      <c r="D586" s="2"/>
      <c r="E586" s="2"/>
      <c r="F586" s="2"/>
      <c r="G586" s="27"/>
      <c r="H586" s="27"/>
      <c r="I586" s="27"/>
      <c r="J586" s="2"/>
      <c r="K586" s="2"/>
    </row>
    <row r="587">
      <c r="A587" s="2"/>
      <c r="B587" s="2"/>
      <c r="C587" s="2"/>
      <c r="D587" s="2"/>
      <c r="E587" s="2"/>
      <c r="F587" s="2"/>
      <c r="G587" s="27"/>
      <c r="H587" s="27"/>
      <c r="I587" s="27"/>
      <c r="J587" s="2"/>
      <c r="K587" s="2"/>
    </row>
    <row r="588">
      <c r="A588" s="2"/>
      <c r="B588" s="2"/>
      <c r="C588" s="2"/>
      <c r="D588" s="2"/>
      <c r="E588" s="2"/>
      <c r="F588" s="2"/>
      <c r="G588" s="27"/>
      <c r="H588" s="27"/>
      <c r="I588" s="27"/>
      <c r="J588" s="2"/>
      <c r="K588" s="2"/>
    </row>
    <row r="589">
      <c r="A589" s="2"/>
      <c r="B589" s="2"/>
      <c r="C589" s="2"/>
      <c r="D589" s="2"/>
      <c r="E589" s="2"/>
      <c r="F589" s="2"/>
      <c r="G589" s="27"/>
      <c r="H589" s="27"/>
      <c r="I589" s="27"/>
      <c r="J589" s="2"/>
      <c r="K589" s="2"/>
    </row>
    <row r="590">
      <c r="A590" s="2"/>
      <c r="B590" s="2"/>
      <c r="C590" s="2"/>
      <c r="D590" s="2"/>
      <c r="E590" s="2"/>
      <c r="F590" s="2"/>
      <c r="G590" s="27"/>
      <c r="H590" s="27"/>
      <c r="I590" s="27"/>
      <c r="J590" s="2"/>
      <c r="K590" s="2"/>
    </row>
    <row r="591">
      <c r="A591" s="2"/>
      <c r="B591" s="2"/>
      <c r="C591" s="2"/>
      <c r="D591" s="2"/>
      <c r="E591" s="2"/>
      <c r="F591" s="2"/>
      <c r="G591" s="27"/>
      <c r="H591" s="27"/>
      <c r="I591" s="27"/>
      <c r="J591" s="2"/>
      <c r="K591" s="2"/>
    </row>
    <row r="592">
      <c r="A592" s="2"/>
      <c r="B592" s="2"/>
      <c r="C592" s="2"/>
      <c r="D592" s="2"/>
      <c r="E592" s="2"/>
      <c r="F592" s="2"/>
      <c r="G592" s="27"/>
      <c r="H592" s="27"/>
      <c r="I592" s="27"/>
      <c r="J592" s="2"/>
      <c r="K592" s="2"/>
    </row>
    <row r="593">
      <c r="A593" s="2"/>
      <c r="B593" s="2"/>
      <c r="C593" s="2"/>
      <c r="D593" s="2"/>
      <c r="E593" s="2"/>
      <c r="F593" s="2"/>
      <c r="G593" s="27"/>
      <c r="H593" s="27"/>
      <c r="I593" s="27"/>
      <c r="J593" s="2"/>
      <c r="K593" s="2"/>
    </row>
    <row r="594">
      <c r="A594" s="2"/>
      <c r="B594" s="2"/>
      <c r="C594" s="2"/>
      <c r="D594" s="2"/>
      <c r="E594" s="2"/>
      <c r="F594" s="2"/>
      <c r="G594" s="27"/>
      <c r="H594" s="27"/>
      <c r="I594" s="27"/>
      <c r="J594" s="2"/>
      <c r="K594" s="2"/>
    </row>
    <row r="595">
      <c r="A595" s="2"/>
      <c r="B595" s="2"/>
      <c r="C595" s="2"/>
      <c r="D595" s="2"/>
      <c r="E595" s="2"/>
      <c r="F595" s="2"/>
      <c r="G595" s="27"/>
      <c r="H595" s="27"/>
      <c r="I595" s="27"/>
      <c r="J595" s="2"/>
      <c r="K595" s="2"/>
    </row>
    <row r="596">
      <c r="A596" s="2"/>
      <c r="B596" s="2"/>
      <c r="C596" s="2"/>
      <c r="D596" s="2"/>
      <c r="E596" s="2"/>
      <c r="F596" s="2"/>
      <c r="G596" s="27"/>
      <c r="H596" s="27"/>
      <c r="I596" s="27"/>
      <c r="J596" s="2"/>
      <c r="K596" s="2"/>
    </row>
    <row r="597">
      <c r="A597" s="2"/>
      <c r="B597" s="2"/>
      <c r="C597" s="2"/>
      <c r="D597" s="2"/>
      <c r="E597" s="2"/>
      <c r="F597" s="2"/>
      <c r="G597" s="27"/>
      <c r="H597" s="27"/>
      <c r="I597" s="27"/>
      <c r="J597" s="2"/>
      <c r="K597" s="2"/>
    </row>
    <row r="598">
      <c r="A598" s="2"/>
      <c r="B598" s="2"/>
      <c r="C598" s="2"/>
      <c r="D598" s="2"/>
      <c r="E598" s="2"/>
      <c r="F598" s="2"/>
      <c r="G598" s="27"/>
      <c r="H598" s="27"/>
      <c r="I598" s="27"/>
      <c r="J598" s="2"/>
      <c r="K598" s="2"/>
    </row>
    <row r="599">
      <c r="A599" s="2"/>
      <c r="B599" s="2"/>
      <c r="C599" s="2"/>
      <c r="D599" s="2"/>
      <c r="E599" s="2"/>
      <c r="F599" s="2"/>
      <c r="G599" s="27"/>
      <c r="H599" s="27"/>
      <c r="I599" s="27"/>
      <c r="J599" s="2"/>
      <c r="K599" s="2"/>
    </row>
    <row r="600">
      <c r="A600" s="2"/>
      <c r="B600" s="2"/>
      <c r="C600" s="2"/>
      <c r="D600" s="2"/>
      <c r="E600" s="2"/>
      <c r="F600" s="2"/>
      <c r="G600" s="27"/>
      <c r="H600" s="27"/>
      <c r="I600" s="27"/>
      <c r="J600" s="2"/>
      <c r="K600" s="2"/>
    </row>
    <row r="601">
      <c r="A601" s="2"/>
      <c r="B601" s="2"/>
      <c r="C601" s="2"/>
      <c r="D601" s="2"/>
      <c r="E601" s="2"/>
      <c r="F601" s="2"/>
      <c r="G601" s="27"/>
      <c r="H601" s="27"/>
      <c r="I601" s="27"/>
      <c r="J601" s="2"/>
      <c r="K601" s="2"/>
    </row>
    <row r="602">
      <c r="A602" s="2"/>
      <c r="B602" s="2"/>
      <c r="C602" s="2"/>
      <c r="D602" s="2"/>
      <c r="E602" s="2"/>
      <c r="F602" s="2"/>
      <c r="G602" s="27"/>
      <c r="H602" s="27"/>
      <c r="I602" s="27"/>
      <c r="J602" s="2"/>
      <c r="K602" s="2"/>
    </row>
    <row r="603">
      <c r="A603" s="2"/>
      <c r="B603" s="2"/>
      <c r="C603" s="2"/>
      <c r="D603" s="2"/>
      <c r="E603" s="2"/>
      <c r="F603" s="2"/>
      <c r="G603" s="27"/>
      <c r="H603" s="27"/>
      <c r="I603" s="27"/>
      <c r="J603" s="2"/>
      <c r="K603" s="2"/>
    </row>
    <row r="604">
      <c r="A604" s="2"/>
      <c r="B604" s="2"/>
      <c r="C604" s="2"/>
      <c r="D604" s="2"/>
      <c r="E604" s="2"/>
      <c r="F604" s="2"/>
      <c r="G604" s="27"/>
      <c r="H604" s="27"/>
      <c r="I604" s="27"/>
      <c r="J604" s="2"/>
      <c r="K604" s="2"/>
    </row>
    <row r="605">
      <c r="A605" s="2"/>
      <c r="B605" s="2"/>
      <c r="C605" s="2"/>
      <c r="D605" s="2"/>
      <c r="E605" s="2"/>
      <c r="F605" s="2"/>
      <c r="G605" s="27"/>
      <c r="H605" s="27"/>
      <c r="I605" s="27"/>
      <c r="J605" s="2"/>
      <c r="K605" s="2"/>
    </row>
    <row r="606">
      <c r="A606" s="2"/>
      <c r="B606" s="2"/>
      <c r="C606" s="2"/>
      <c r="D606" s="2"/>
      <c r="E606" s="2"/>
      <c r="F606" s="2"/>
      <c r="G606" s="27"/>
      <c r="H606" s="27"/>
      <c r="I606" s="27"/>
      <c r="J606" s="2"/>
      <c r="K606" s="2"/>
    </row>
    <row r="607">
      <c r="A607" s="2"/>
      <c r="B607" s="2"/>
      <c r="C607" s="2"/>
      <c r="D607" s="2"/>
      <c r="E607" s="2"/>
      <c r="F607" s="2"/>
      <c r="G607" s="27"/>
      <c r="H607" s="27"/>
      <c r="I607" s="27"/>
      <c r="J607" s="2"/>
      <c r="K607" s="2"/>
    </row>
    <row r="608">
      <c r="A608" s="2"/>
      <c r="B608" s="2"/>
      <c r="C608" s="2"/>
      <c r="D608" s="2"/>
      <c r="E608" s="2"/>
      <c r="F608" s="2"/>
      <c r="G608" s="27"/>
      <c r="H608" s="27"/>
      <c r="I608" s="27"/>
      <c r="J608" s="2"/>
      <c r="K608" s="2"/>
    </row>
    <row r="609">
      <c r="A609" s="2"/>
      <c r="B609" s="2"/>
      <c r="C609" s="2"/>
      <c r="D609" s="2"/>
      <c r="E609" s="2"/>
      <c r="F609" s="2"/>
      <c r="G609" s="27"/>
      <c r="H609" s="27"/>
      <c r="I609" s="27"/>
      <c r="J609" s="2"/>
      <c r="K609" s="2"/>
    </row>
    <row r="610">
      <c r="A610" s="2"/>
      <c r="B610" s="2"/>
      <c r="C610" s="2"/>
      <c r="D610" s="2"/>
      <c r="E610" s="2"/>
      <c r="F610" s="2"/>
      <c r="G610" s="27"/>
      <c r="H610" s="27"/>
      <c r="I610" s="27"/>
      <c r="J610" s="2"/>
      <c r="K610" s="2"/>
    </row>
    <row r="611">
      <c r="A611" s="2"/>
      <c r="B611" s="2"/>
      <c r="C611" s="2"/>
      <c r="D611" s="2"/>
      <c r="E611" s="2"/>
      <c r="F611" s="2"/>
      <c r="G611" s="27"/>
      <c r="H611" s="27"/>
      <c r="I611" s="27"/>
      <c r="J611" s="2"/>
      <c r="K611" s="2"/>
    </row>
    <row r="612">
      <c r="A612" s="2"/>
      <c r="B612" s="2"/>
      <c r="C612" s="2"/>
      <c r="D612" s="2"/>
      <c r="E612" s="2"/>
      <c r="F612" s="2"/>
      <c r="G612" s="27"/>
      <c r="H612" s="27"/>
      <c r="I612" s="27"/>
      <c r="J612" s="2"/>
      <c r="K612" s="2"/>
    </row>
    <row r="613">
      <c r="A613" s="2"/>
      <c r="B613" s="2"/>
      <c r="C613" s="2"/>
      <c r="D613" s="2"/>
      <c r="E613" s="2"/>
      <c r="F613" s="2"/>
      <c r="G613" s="27"/>
      <c r="H613" s="27"/>
      <c r="I613" s="27"/>
      <c r="J613" s="2"/>
      <c r="K613" s="2"/>
    </row>
    <row r="614">
      <c r="A614" s="2"/>
      <c r="B614" s="2"/>
      <c r="C614" s="2"/>
      <c r="D614" s="2"/>
      <c r="E614" s="2"/>
      <c r="F614" s="2"/>
      <c r="G614" s="27"/>
      <c r="H614" s="27"/>
      <c r="I614" s="27"/>
      <c r="J614" s="2"/>
      <c r="K614" s="2"/>
    </row>
    <row r="615">
      <c r="A615" s="2"/>
      <c r="B615" s="2"/>
      <c r="C615" s="2"/>
      <c r="D615" s="2"/>
      <c r="E615" s="2"/>
      <c r="F615" s="2"/>
      <c r="G615" s="27"/>
      <c r="H615" s="27"/>
      <c r="I615" s="27"/>
      <c r="J615" s="2"/>
      <c r="K615" s="2"/>
    </row>
    <row r="616">
      <c r="A616" s="2"/>
      <c r="B616" s="2"/>
      <c r="C616" s="2"/>
      <c r="D616" s="2"/>
      <c r="E616" s="2"/>
      <c r="F616" s="2"/>
      <c r="G616" s="27"/>
      <c r="H616" s="27"/>
      <c r="I616" s="27"/>
      <c r="J616" s="2"/>
      <c r="K616" s="2"/>
    </row>
    <row r="617">
      <c r="A617" s="2"/>
      <c r="B617" s="2"/>
      <c r="C617" s="2"/>
      <c r="D617" s="2"/>
      <c r="E617" s="2"/>
      <c r="F617" s="2"/>
      <c r="G617" s="27"/>
      <c r="H617" s="27"/>
      <c r="I617" s="27"/>
      <c r="J617" s="2"/>
      <c r="K617" s="2"/>
    </row>
    <row r="618">
      <c r="A618" s="2"/>
      <c r="B618" s="2"/>
      <c r="C618" s="2"/>
      <c r="D618" s="2"/>
      <c r="E618" s="2"/>
      <c r="F618" s="2"/>
      <c r="G618" s="27"/>
      <c r="H618" s="27"/>
      <c r="I618" s="27"/>
      <c r="J618" s="2"/>
      <c r="K618" s="2"/>
    </row>
    <row r="619">
      <c r="A619" s="2"/>
      <c r="B619" s="2"/>
      <c r="C619" s="2"/>
      <c r="D619" s="2"/>
      <c r="E619" s="2"/>
      <c r="F619" s="2"/>
      <c r="G619" s="27"/>
      <c r="H619" s="27"/>
      <c r="I619" s="27"/>
      <c r="J619" s="2"/>
      <c r="K619" s="2"/>
    </row>
    <row r="620">
      <c r="A620" s="2"/>
      <c r="B620" s="2"/>
      <c r="C620" s="2"/>
      <c r="D620" s="2"/>
      <c r="E620" s="2"/>
      <c r="F620" s="2"/>
      <c r="G620" s="27"/>
      <c r="H620" s="27"/>
      <c r="I620" s="27"/>
      <c r="J620" s="2"/>
      <c r="K620" s="2"/>
    </row>
    <row r="621">
      <c r="A621" s="2"/>
      <c r="B621" s="2"/>
      <c r="C621" s="2"/>
      <c r="D621" s="2"/>
      <c r="E621" s="2"/>
      <c r="F621" s="2"/>
      <c r="G621" s="27"/>
      <c r="H621" s="27"/>
      <c r="I621" s="27"/>
      <c r="J621" s="2"/>
      <c r="K621" s="2"/>
    </row>
    <row r="622">
      <c r="A622" s="2"/>
      <c r="B622" s="2"/>
      <c r="C622" s="2"/>
      <c r="D622" s="2"/>
      <c r="E622" s="2"/>
      <c r="F622" s="2"/>
      <c r="G622" s="27"/>
      <c r="H622" s="27"/>
      <c r="I622" s="27"/>
      <c r="J622" s="2"/>
      <c r="K622" s="2"/>
    </row>
    <row r="623">
      <c r="A623" s="2"/>
      <c r="B623" s="2"/>
      <c r="C623" s="2"/>
      <c r="D623" s="2"/>
      <c r="E623" s="2"/>
      <c r="F623" s="2"/>
      <c r="G623" s="27"/>
      <c r="H623" s="27"/>
      <c r="I623" s="27"/>
      <c r="J623" s="2"/>
      <c r="K623" s="2"/>
    </row>
    <row r="624">
      <c r="A624" s="2"/>
      <c r="B624" s="2"/>
      <c r="C624" s="2"/>
      <c r="D624" s="2"/>
      <c r="E624" s="2"/>
      <c r="F624" s="2"/>
      <c r="G624" s="27"/>
      <c r="H624" s="27"/>
      <c r="I624" s="27"/>
      <c r="J624" s="2"/>
      <c r="K624" s="2"/>
    </row>
    <row r="625">
      <c r="A625" s="2"/>
      <c r="B625" s="2"/>
      <c r="C625" s="2"/>
      <c r="D625" s="2"/>
      <c r="E625" s="2"/>
      <c r="F625" s="2"/>
      <c r="G625" s="27"/>
      <c r="H625" s="27"/>
      <c r="I625" s="27"/>
      <c r="J625" s="2"/>
      <c r="K625" s="2"/>
    </row>
    <row r="626">
      <c r="A626" s="2"/>
      <c r="B626" s="2"/>
      <c r="C626" s="2"/>
      <c r="D626" s="2"/>
      <c r="E626" s="2"/>
      <c r="F626" s="2"/>
      <c r="G626" s="27"/>
      <c r="H626" s="27"/>
      <c r="I626" s="27"/>
      <c r="J626" s="2"/>
      <c r="K626" s="2"/>
    </row>
    <row r="627">
      <c r="A627" s="2"/>
      <c r="B627" s="2"/>
      <c r="C627" s="2"/>
      <c r="D627" s="2"/>
      <c r="E627" s="2"/>
      <c r="F627" s="2"/>
      <c r="G627" s="27"/>
      <c r="H627" s="27"/>
      <c r="I627" s="27"/>
      <c r="J627" s="2"/>
      <c r="K627" s="2"/>
    </row>
    <row r="628">
      <c r="A628" s="2"/>
      <c r="B628" s="2"/>
      <c r="C628" s="2"/>
      <c r="D628" s="2"/>
      <c r="E628" s="2"/>
      <c r="F628" s="2"/>
      <c r="G628" s="27"/>
      <c r="H628" s="27"/>
      <c r="I628" s="27"/>
      <c r="J628" s="2"/>
      <c r="K628" s="2"/>
    </row>
    <row r="629">
      <c r="A629" s="2"/>
      <c r="B629" s="2"/>
      <c r="C629" s="2"/>
      <c r="D629" s="2"/>
      <c r="E629" s="2"/>
      <c r="F629" s="2"/>
      <c r="G629" s="27"/>
      <c r="H629" s="27"/>
      <c r="I629" s="27"/>
      <c r="J629" s="2"/>
      <c r="K629" s="2"/>
    </row>
    <row r="630">
      <c r="A630" s="2"/>
      <c r="B630" s="2"/>
      <c r="C630" s="2"/>
      <c r="D630" s="2"/>
      <c r="E630" s="2"/>
      <c r="F630" s="2"/>
      <c r="G630" s="27"/>
      <c r="H630" s="27"/>
      <c r="I630" s="27"/>
      <c r="J630" s="2"/>
      <c r="K630" s="2"/>
    </row>
    <row r="631">
      <c r="A631" s="2"/>
      <c r="B631" s="2"/>
      <c r="C631" s="2"/>
      <c r="D631" s="2"/>
      <c r="E631" s="2"/>
      <c r="F631" s="2"/>
      <c r="G631" s="27"/>
      <c r="H631" s="27"/>
      <c r="I631" s="27"/>
      <c r="J631" s="2"/>
      <c r="K631" s="2"/>
    </row>
    <row r="632">
      <c r="A632" s="2"/>
      <c r="B632" s="2"/>
      <c r="C632" s="2"/>
      <c r="D632" s="2"/>
      <c r="E632" s="2"/>
      <c r="F632" s="2"/>
      <c r="G632" s="27"/>
      <c r="H632" s="27"/>
      <c r="I632" s="27"/>
      <c r="J632" s="2"/>
      <c r="K632" s="2"/>
    </row>
    <row r="633">
      <c r="A633" s="2"/>
      <c r="B633" s="2"/>
      <c r="C633" s="2"/>
      <c r="D633" s="2"/>
      <c r="E633" s="2"/>
      <c r="F633" s="2"/>
      <c r="G633" s="27"/>
      <c r="H633" s="27"/>
      <c r="I633" s="27"/>
      <c r="J633" s="2"/>
      <c r="K633" s="2"/>
    </row>
    <row r="634">
      <c r="A634" s="2"/>
      <c r="B634" s="2"/>
      <c r="C634" s="2"/>
      <c r="D634" s="2"/>
      <c r="E634" s="2"/>
      <c r="F634" s="2"/>
      <c r="G634" s="27"/>
      <c r="H634" s="27"/>
      <c r="I634" s="27"/>
      <c r="J634" s="2"/>
      <c r="K634" s="2"/>
    </row>
    <row r="635">
      <c r="A635" s="2"/>
      <c r="B635" s="2"/>
      <c r="C635" s="2"/>
      <c r="D635" s="2"/>
      <c r="E635" s="2"/>
      <c r="F635" s="2"/>
      <c r="G635" s="27"/>
      <c r="H635" s="27"/>
      <c r="I635" s="27"/>
      <c r="J635" s="2"/>
      <c r="K635" s="2"/>
    </row>
    <row r="636">
      <c r="A636" s="2"/>
      <c r="B636" s="2"/>
      <c r="C636" s="2"/>
      <c r="D636" s="2"/>
      <c r="E636" s="2"/>
      <c r="F636" s="2"/>
      <c r="G636" s="27"/>
      <c r="H636" s="27"/>
      <c r="I636" s="27"/>
      <c r="J636" s="2"/>
      <c r="K636" s="2"/>
    </row>
    <row r="637">
      <c r="A637" s="2"/>
      <c r="B637" s="2"/>
      <c r="C637" s="2"/>
      <c r="D637" s="2"/>
      <c r="E637" s="2"/>
      <c r="F637" s="2"/>
      <c r="G637" s="27"/>
      <c r="H637" s="27"/>
      <c r="I637" s="27"/>
      <c r="J637" s="2"/>
      <c r="K637" s="2"/>
    </row>
    <row r="638">
      <c r="A638" s="2"/>
      <c r="B638" s="2"/>
      <c r="C638" s="2"/>
      <c r="D638" s="2"/>
      <c r="E638" s="2"/>
      <c r="F638" s="2"/>
      <c r="G638" s="27"/>
      <c r="H638" s="27"/>
      <c r="I638" s="27"/>
      <c r="J638" s="2"/>
      <c r="K638" s="2"/>
    </row>
    <row r="639">
      <c r="A639" s="2"/>
      <c r="B639" s="2"/>
      <c r="C639" s="2"/>
      <c r="D639" s="2"/>
      <c r="E639" s="2"/>
      <c r="F639" s="2"/>
      <c r="G639" s="27"/>
      <c r="H639" s="27"/>
      <c r="I639" s="27"/>
      <c r="J639" s="2"/>
      <c r="K639" s="2"/>
    </row>
    <row r="640">
      <c r="A640" s="2"/>
      <c r="B640" s="2"/>
      <c r="C640" s="2"/>
      <c r="D640" s="2"/>
      <c r="E640" s="2"/>
      <c r="F640" s="2"/>
      <c r="G640" s="27"/>
      <c r="H640" s="27"/>
      <c r="I640" s="27"/>
      <c r="J640" s="2"/>
      <c r="K640" s="2"/>
    </row>
    <row r="641">
      <c r="A641" s="2"/>
      <c r="B641" s="2"/>
      <c r="C641" s="2"/>
      <c r="D641" s="2"/>
      <c r="E641" s="2"/>
      <c r="F641" s="2"/>
      <c r="G641" s="27"/>
      <c r="H641" s="27"/>
      <c r="I641" s="27"/>
      <c r="J641" s="2"/>
      <c r="K641" s="2"/>
    </row>
    <row r="642">
      <c r="A642" s="2"/>
      <c r="B642" s="2"/>
      <c r="C642" s="2"/>
      <c r="D642" s="2"/>
      <c r="E642" s="2"/>
      <c r="F642" s="2"/>
      <c r="G642" s="27"/>
      <c r="H642" s="27"/>
      <c r="I642" s="27"/>
      <c r="J642" s="2"/>
      <c r="K642" s="2"/>
    </row>
    <row r="643">
      <c r="A643" s="2"/>
      <c r="B643" s="2"/>
      <c r="C643" s="2"/>
      <c r="D643" s="2"/>
      <c r="E643" s="2"/>
      <c r="F643" s="2"/>
      <c r="G643" s="27"/>
      <c r="H643" s="27"/>
      <c r="I643" s="27"/>
      <c r="J643" s="2"/>
      <c r="K643" s="2"/>
    </row>
    <row r="644">
      <c r="A644" s="2"/>
      <c r="B644" s="2"/>
      <c r="C644" s="2"/>
      <c r="D644" s="2"/>
      <c r="E644" s="2"/>
      <c r="F644" s="2"/>
      <c r="G644" s="27"/>
      <c r="H644" s="27"/>
      <c r="I644" s="27"/>
      <c r="J644" s="2"/>
      <c r="K644" s="2"/>
    </row>
    <row r="645">
      <c r="A645" s="2"/>
      <c r="B645" s="2"/>
      <c r="C645" s="2"/>
      <c r="D645" s="2"/>
      <c r="E645" s="2"/>
      <c r="F645" s="2"/>
      <c r="G645" s="27"/>
      <c r="H645" s="27"/>
      <c r="I645" s="27"/>
      <c r="J645" s="2"/>
      <c r="K645" s="2"/>
    </row>
    <row r="646">
      <c r="A646" s="2"/>
      <c r="B646" s="2"/>
      <c r="C646" s="2"/>
      <c r="D646" s="2"/>
      <c r="E646" s="2"/>
      <c r="F646" s="2"/>
      <c r="G646" s="27"/>
      <c r="H646" s="27"/>
      <c r="I646" s="27"/>
      <c r="J646" s="2"/>
      <c r="K646" s="2"/>
    </row>
    <row r="647">
      <c r="A647" s="2"/>
      <c r="B647" s="2"/>
      <c r="C647" s="2"/>
      <c r="D647" s="2"/>
      <c r="E647" s="2"/>
      <c r="F647" s="2"/>
      <c r="G647" s="27"/>
      <c r="H647" s="27"/>
      <c r="I647" s="27"/>
      <c r="J647" s="2"/>
      <c r="K647" s="2"/>
    </row>
    <row r="648">
      <c r="A648" s="2"/>
      <c r="B648" s="2"/>
      <c r="C648" s="2"/>
      <c r="D648" s="2"/>
      <c r="E648" s="2"/>
      <c r="F648" s="2"/>
      <c r="G648" s="27"/>
      <c r="H648" s="27"/>
      <c r="I648" s="27"/>
      <c r="J648" s="2"/>
      <c r="K648" s="2"/>
    </row>
    <row r="649">
      <c r="A649" s="2"/>
      <c r="B649" s="2"/>
      <c r="C649" s="2"/>
      <c r="D649" s="2"/>
      <c r="E649" s="2"/>
      <c r="F649" s="2"/>
      <c r="G649" s="27"/>
      <c r="H649" s="27"/>
      <c r="I649" s="27"/>
      <c r="J649" s="2"/>
      <c r="K649" s="2"/>
    </row>
    <row r="650">
      <c r="A650" s="2"/>
      <c r="B650" s="2"/>
      <c r="C650" s="2"/>
      <c r="D650" s="2"/>
      <c r="E650" s="2"/>
      <c r="F650" s="2"/>
      <c r="G650" s="27"/>
      <c r="H650" s="27"/>
      <c r="I650" s="27"/>
      <c r="J650" s="2"/>
      <c r="K650" s="2"/>
    </row>
    <row r="651">
      <c r="A651" s="2"/>
      <c r="B651" s="2"/>
      <c r="C651" s="2"/>
      <c r="D651" s="2"/>
      <c r="E651" s="2"/>
      <c r="F651" s="2"/>
      <c r="G651" s="27"/>
      <c r="H651" s="27"/>
      <c r="I651" s="27"/>
      <c r="J651" s="2"/>
      <c r="K651" s="2"/>
    </row>
    <row r="652">
      <c r="A652" s="2"/>
      <c r="B652" s="2"/>
      <c r="C652" s="2"/>
      <c r="D652" s="2"/>
      <c r="E652" s="2"/>
      <c r="F652" s="2"/>
      <c r="G652" s="27"/>
      <c r="H652" s="27"/>
      <c r="I652" s="27"/>
      <c r="J652" s="2"/>
      <c r="K652" s="2"/>
    </row>
    <row r="653">
      <c r="A653" s="2"/>
      <c r="B653" s="2"/>
      <c r="C653" s="2"/>
      <c r="D653" s="2"/>
      <c r="E653" s="2"/>
      <c r="F653" s="2"/>
      <c r="G653" s="27"/>
      <c r="H653" s="27"/>
      <c r="I653" s="27"/>
      <c r="J653" s="2"/>
      <c r="K653" s="2"/>
    </row>
    <row r="654">
      <c r="A654" s="2"/>
      <c r="B654" s="2"/>
      <c r="C654" s="2"/>
      <c r="D654" s="2"/>
      <c r="E654" s="2"/>
      <c r="F654" s="2"/>
      <c r="G654" s="27"/>
      <c r="H654" s="27"/>
      <c r="I654" s="27"/>
      <c r="J654" s="2"/>
      <c r="K654" s="2"/>
    </row>
    <row r="655">
      <c r="A655" s="2"/>
      <c r="B655" s="2"/>
      <c r="C655" s="2"/>
      <c r="D655" s="2"/>
      <c r="E655" s="2"/>
      <c r="F655" s="2"/>
      <c r="G655" s="27"/>
      <c r="H655" s="27"/>
      <c r="I655" s="27"/>
      <c r="J655" s="2"/>
      <c r="K655" s="2"/>
    </row>
    <row r="656">
      <c r="A656" s="2"/>
      <c r="B656" s="2"/>
      <c r="C656" s="2"/>
      <c r="D656" s="2"/>
      <c r="E656" s="2"/>
      <c r="F656" s="2"/>
      <c r="G656" s="27"/>
      <c r="H656" s="27"/>
      <c r="I656" s="27"/>
      <c r="J656" s="2"/>
      <c r="K656" s="2"/>
    </row>
    <row r="657">
      <c r="A657" s="2"/>
      <c r="B657" s="2"/>
      <c r="C657" s="2"/>
      <c r="D657" s="2"/>
      <c r="E657" s="2"/>
      <c r="F657" s="2"/>
      <c r="G657" s="27"/>
      <c r="H657" s="27"/>
      <c r="I657" s="27"/>
      <c r="J657" s="2"/>
      <c r="K657" s="2"/>
    </row>
    <row r="658">
      <c r="A658" s="2"/>
      <c r="B658" s="2"/>
      <c r="C658" s="2"/>
      <c r="D658" s="2"/>
      <c r="E658" s="2"/>
      <c r="F658" s="2"/>
      <c r="G658" s="27"/>
      <c r="H658" s="27"/>
      <c r="I658" s="27"/>
      <c r="J658" s="2"/>
      <c r="K658" s="2"/>
    </row>
    <row r="659">
      <c r="A659" s="2"/>
      <c r="B659" s="2"/>
      <c r="C659" s="2"/>
      <c r="D659" s="2"/>
      <c r="E659" s="2"/>
      <c r="F659" s="2"/>
      <c r="G659" s="27"/>
      <c r="H659" s="27"/>
      <c r="I659" s="27"/>
      <c r="J659" s="2"/>
      <c r="K659" s="2"/>
    </row>
    <row r="660">
      <c r="A660" s="2"/>
      <c r="B660" s="2"/>
      <c r="C660" s="2"/>
      <c r="D660" s="2"/>
      <c r="E660" s="2"/>
      <c r="F660" s="2"/>
      <c r="G660" s="27"/>
      <c r="H660" s="27"/>
      <c r="I660" s="27"/>
      <c r="J660" s="2"/>
      <c r="K660" s="2"/>
    </row>
    <row r="661">
      <c r="A661" s="2"/>
      <c r="B661" s="2"/>
      <c r="C661" s="2"/>
      <c r="D661" s="2"/>
      <c r="E661" s="2"/>
      <c r="F661" s="2"/>
      <c r="G661" s="27"/>
      <c r="H661" s="27"/>
      <c r="I661" s="27"/>
      <c r="J661" s="2"/>
      <c r="K661" s="2"/>
    </row>
    <row r="662">
      <c r="A662" s="2"/>
      <c r="B662" s="2"/>
      <c r="C662" s="2"/>
      <c r="D662" s="2"/>
      <c r="E662" s="2"/>
      <c r="F662" s="2"/>
      <c r="G662" s="27"/>
      <c r="H662" s="27"/>
      <c r="I662" s="27"/>
      <c r="J662" s="2"/>
      <c r="K662" s="2"/>
    </row>
    <row r="663">
      <c r="A663" s="2"/>
      <c r="B663" s="2"/>
      <c r="C663" s="2"/>
      <c r="D663" s="2"/>
      <c r="E663" s="2"/>
      <c r="F663" s="2"/>
      <c r="G663" s="27"/>
      <c r="H663" s="27"/>
      <c r="I663" s="27"/>
      <c r="J663" s="2"/>
      <c r="K663" s="2"/>
    </row>
    <row r="664">
      <c r="A664" s="2"/>
      <c r="B664" s="2"/>
      <c r="C664" s="2"/>
      <c r="D664" s="2"/>
      <c r="E664" s="2"/>
      <c r="F664" s="2"/>
      <c r="G664" s="27"/>
      <c r="H664" s="27"/>
      <c r="I664" s="27"/>
      <c r="J664" s="2"/>
      <c r="K664" s="2"/>
    </row>
    <row r="665">
      <c r="A665" s="2"/>
      <c r="B665" s="2"/>
      <c r="C665" s="2"/>
      <c r="D665" s="2"/>
      <c r="E665" s="2"/>
      <c r="F665" s="2"/>
      <c r="G665" s="27"/>
      <c r="H665" s="27"/>
      <c r="I665" s="27"/>
      <c r="J665" s="2"/>
      <c r="K665" s="2"/>
    </row>
    <row r="666">
      <c r="A666" s="2"/>
      <c r="B666" s="2"/>
      <c r="C666" s="2"/>
      <c r="D666" s="2"/>
      <c r="E666" s="2"/>
      <c r="F666" s="2"/>
      <c r="G666" s="27"/>
      <c r="H666" s="27"/>
      <c r="I666" s="27"/>
      <c r="J666" s="2"/>
      <c r="K666" s="2"/>
    </row>
    <row r="667">
      <c r="A667" s="2"/>
      <c r="B667" s="2"/>
      <c r="C667" s="2"/>
      <c r="D667" s="2"/>
      <c r="E667" s="2"/>
      <c r="F667" s="2"/>
      <c r="G667" s="27"/>
      <c r="H667" s="27"/>
      <c r="I667" s="27"/>
      <c r="J667" s="2"/>
      <c r="K667" s="2"/>
    </row>
    <row r="668">
      <c r="A668" s="2"/>
      <c r="B668" s="2"/>
      <c r="C668" s="2"/>
      <c r="D668" s="2"/>
      <c r="E668" s="2"/>
      <c r="F668" s="2"/>
      <c r="G668" s="27"/>
      <c r="H668" s="27"/>
      <c r="I668" s="27"/>
      <c r="J668" s="2"/>
      <c r="K668" s="2"/>
    </row>
    <row r="669">
      <c r="A669" s="2"/>
      <c r="B669" s="2"/>
      <c r="C669" s="2"/>
      <c r="D669" s="2"/>
      <c r="E669" s="2"/>
      <c r="F669" s="2"/>
      <c r="G669" s="27"/>
      <c r="H669" s="27"/>
      <c r="I669" s="27"/>
      <c r="J669" s="2"/>
      <c r="K669" s="2"/>
    </row>
    <row r="670">
      <c r="A670" s="2"/>
      <c r="B670" s="2"/>
      <c r="C670" s="2"/>
      <c r="D670" s="2"/>
      <c r="E670" s="2"/>
      <c r="F670" s="2"/>
      <c r="G670" s="27"/>
      <c r="H670" s="27"/>
      <c r="I670" s="27"/>
      <c r="J670" s="2"/>
      <c r="K670" s="2"/>
    </row>
    <row r="671">
      <c r="A671" s="2"/>
      <c r="B671" s="2"/>
      <c r="C671" s="2"/>
      <c r="D671" s="2"/>
      <c r="E671" s="2"/>
      <c r="F671" s="2"/>
      <c r="G671" s="27"/>
      <c r="H671" s="27"/>
      <c r="I671" s="27"/>
      <c r="J671" s="2"/>
      <c r="K671" s="2"/>
    </row>
    <row r="672">
      <c r="A672" s="2"/>
      <c r="B672" s="2"/>
      <c r="C672" s="2"/>
      <c r="D672" s="2"/>
      <c r="E672" s="2"/>
      <c r="F672" s="2"/>
      <c r="G672" s="27"/>
      <c r="H672" s="27"/>
      <c r="I672" s="27"/>
      <c r="J672" s="2"/>
      <c r="K672" s="2"/>
    </row>
    <row r="673">
      <c r="A673" s="2"/>
      <c r="B673" s="2"/>
      <c r="C673" s="2"/>
      <c r="D673" s="2"/>
      <c r="E673" s="2"/>
      <c r="F673" s="2"/>
      <c r="G673" s="27"/>
      <c r="H673" s="27"/>
      <c r="I673" s="27"/>
      <c r="J673" s="2"/>
      <c r="K673" s="2"/>
    </row>
    <row r="674">
      <c r="A674" s="2"/>
      <c r="B674" s="2"/>
      <c r="C674" s="2"/>
      <c r="D674" s="2"/>
      <c r="E674" s="2"/>
      <c r="F674" s="2"/>
      <c r="G674" s="27"/>
      <c r="H674" s="27"/>
      <c r="I674" s="27"/>
      <c r="J674" s="2"/>
      <c r="K674" s="2"/>
    </row>
    <row r="675">
      <c r="A675" s="2"/>
      <c r="B675" s="2"/>
      <c r="C675" s="2"/>
      <c r="D675" s="2"/>
      <c r="E675" s="2"/>
      <c r="F675" s="2"/>
      <c r="G675" s="27"/>
      <c r="H675" s="27"/>
      <c r="I675" s="27"/>
      <c r="J675" s="2"/>
      <c r="K675" s="2"/>
    </row>
    <row r="676">
      <c r="A676" s="2"/>
      <c r="B676" s="2"/>
      <c r="C676" s="2"/>
      <c r="D676" s="2"/>
      <c r="E676" s="2"/>
      <c r="F676" s="2"/>
      <c r="G676" s="27"/>
      <c r="H676" s="27"/>
      <c r="I676" s="27"/>
      <c r="J676" s="2"/>
      <c r="K676" s="2"/>
    </row>
    <row r="677">
      <c r="A677" s="2"/>
      <c r="B677" s="2"/>
      <c r="C677" s="2"/>
      <c r="D677" s="2"/>
      <c r="E677" s="2"/>
      <c r="F677" s="2"/>
      <c r="G677" s="27"/>
      <c r="H677" s="27"/>
      <c r="I677" s="27"/>
      <c r="J677" s="2"/>
      <c r="K677" s="2"/>
    </row>
    <row r="678">
      <c r="A678" s="2"/>
      <c r="B678" s="2"/>
      <c r="C678" s="2"/>
      <c r="D678" s="2"/>
      <c r="E678" s="2"/>
      <c r="F678" s="2"/>
      <c r="G678" s="27"/>
      <c r="H678" s="27"/>
      <c r="I678" s="27"/>
      <c r="J678" s="2"/>
      <c r="K678" s="2"/>
    </row>
    <row r="679">
      <c r="A679" s="2"/>
      <c r="B679" s="2"/>
      <c r="C679" s="2"/>
      <c r="D679" s="2"/>
      <c r="E679" s="2"/>
      <c r="F679" s="2"/>
      <c r="G679" s="27"/>
      <c r="H679" s="27"/>
      <c r="I679" s="27"/>
      <c r="J679" s="2"/>
      <c r="K679" s="2"/>
    </row>
    <row r="680">
      <c r="A680" s="2"/>
      <c r="B680" s="2"/>
      <c r="C680" s="2"/>
      <c r="D680" s="2"/>
      <c r="E680" s="2"/>
      <c r="F680" s="2"/>
      <c r="G680" s="27"/>
      <c r="H680" s="27"/>
      <c r="I680" s="27"/>
      <c r="J680" s="2"/>
      <c r="K680" s="2"/>
    </row>
    <row r="681">
      <c r="A681" s="2"/>
      <c r="B681" s="2"/>
      <c r="C681" s="2"/>
      <c r="D681" s="2"/>
      <c r="E681" s="2"/>
      <c r="F681" s="2"/>
      <c r="G681" s="27"/>
      <c r="H681" s="27"/>
      <c r="I681" s="27"/>
      <c r="J681" s="2"/>
      <c r="K681" s="2"/>
    </row>
    <row r="682">
      <c r="A682" s="2"/>
      <c r="B682" s="2"/>
      <c r="C682" s="2"/>
      <c r="D682" s="2"/>
      <c r="E682" s="2"/>
      <c r="F682" s="2"/>
      <c r="G682" s="27"/>
      <c r="H682" s="27"/>
      <c r="I682" s="27"/>
      <c r="J682" s="2"/>
      <c r="K682" s="2"/>
    </row>
    <row r="683">
      <c r="A683" s="2"/>
      <c r="B683" s="2"/>
      <c r="C683" s="2"/>
      <c r="D683" s="2"/>
      <c r="E683" s="2"/>
      <c r="F683" s="2"/>
      <c r="G683" s="27"/>
      <c r="H683" s="27"/>
      <c r="I683" s="27"/>
      <c r="J683" s="2"/>
      <c r="K683" s="2"/>
    </row>
    <row r="684">
      <c r="A684" s="2"/>
      <c r="B684" s="2"/>
      <c r="C684" s="2"/>
      <c r="D684" s="2"/>
      <c r="E684" s="2"/>
      <c r="F684" s="2"/>
      <c r="G684" s="27"/>
      <c r="H684" s="27"/>
      <c r="I684" s="27"/>
      <c r="J684" s="2"/>
      <c r="K684" s="2"/>
    </row>
    <row r="685">
      <c r="A685" s="2"/>
      <c r="B685" s="2"/>
      <c r="C685" s="2"/>
      <c r="D685" s="2"/>
      <c r="E685" s="2"/>
      <c r="F685" s="2"/>
      <c r="G685" s="27"/>
      <c r="H685" s="27"/>
      <c r="I685" s="27"/>
      <c r="J685" s="2"/>
      <c r="K685" s="2"/>
    </row>
    <row r="686">
      <c r="A686" s="2"/>
      <c r="B686" s="2"/>
      <c r="C686" s="2"/>
      <c r="D686" s="2"/>
      <c r="E686" s="2"/>
      <c r="F686" s="2"/>
      <c r="G686" s="27"/>
      <c r="H686" s="27"/>
      <c r="I686" s="27"/>
      <c r="J686" s="2"/>
      <c r="K686" s="2"/>
    </row>
    <row r="687">
      <c r="A687" s="2"/>
      <c r="B687" s="2"/>
      <c r="C687" s="2"/>
      <c r="D687" s="2"/>
      <c r="E687" s="2"/>
      <c r="F687" s="2"/>
      <c r="G687" s="27"/>
      <c r="H687" s="27"/>
      <c r="I687" s="27"/>
      <c r="J687" s="2"/>
      <c r="K687" s="2"/>
    </row>
    <row r="688">
      <c r="A688" s="2"/>
      <c r="B688" s="2"/>
      <c r="C688" s="2"/>
      <c r="D688" s="2"/>
      <c r="E688" s="2"/>
      <c r="F688" s="2"/>
      <c r="G688" s="27"/>
      <c r="H688" s="27"/>
      <c r="I688" s="27"/>
      <c r="J688" s="2"/>
      <c r="K688" s="2"/>
    </row>
    <row r="689">
      <c r="A689" s="2"/>
      <c r="B689" s="2"/>
      <c r="C689" s="2"/>
      <c r="D689" s="2"/>
      <c r="E689" s="2"/>
      <c r="F689" s="2"/>
      <c r="G689" s="27"/>
      <c r="H689" s="27"/>
      <c r="I689" s="27"/>
      <c r="J689" s="2"/>
      <c r="K689" s="2"/>
    </row>
    <row r="690">
      <c r="A690" s="2"/>
      <c r="B690" s="2"/>
      <c r="C690" s="2"/>
      <c r="D690" s="2"/>
      <c r="E690" s="2"/>
      <c r="F690" s="2"/>
      <c r="G690" s="27"/>
      <c r="H690" s="27"/>
      <c r="I690" s="27"/>
      <c r="J690" s="2"/>
      <c r="K690" s="2"/>
    </row>
    <row r="691">
      <c r="A691" s="2"/>
      <c r="B691" s="2"/>
      <c r="C691" s="2"/>
      <c r="D691" s="2"/>
      <c r="E691" s="2"/>
      <c r="F691" s="2"/>
      <c r="G691" s="27"/>
      <c r="H691" s="27"/>
      <c r="I691" s="27"/>
      <c r="J691" s="2"/>
      <c r="K691" s="2"/>
    </row>
    <row r="692">
      <c r="A692" s="2"/>
      <c r="B692" s="2"/>
      <c r="C692" s="2"/>
      <c r="D692" s="2"/>
      <c r="E692" s="2"/>
      <c r="F692" s="2"/>
      <c r="G692" s="27"/>
      <c r="H692" s="27"/>
      <c r="I692" s="27"/>
      <c r="J692" s="2"/>
      <c r="K692" s="2"/>
    </row>
    <row r="693">
      <c r="A693" s="2"/>
      <c r="B693" s="2"/>
      <c r="C693" s="2"/>
      <c r="D693" s="2"/>
      <c r="E693" s="2"/>
      <c r="F693" s="2"/>
      <c r="G693" s="27"/>
      <c r="H693" s="27"/>
      <c r="I693" s="27"/>
      <c r="J693" s="2"/>
      <c r="K693" s="2"/>
    </row>
    <row r="694">
      <c r="A694" s="2"/>
      <c r="B694" s="2"/>
      <c r="C694" s="2"/>
      <c r="D694" s="2"/>
      <c r="E694" s="2"/>
      <c r="F694" s="2"/>
      <c r="G694" s="27"/>
      <c r="H694" s="27"/>
      <c r="I694" s="27"/>
      <c r="J694" s="2"/>
      <c r="K694" s="2"/>
    </row>
    <row r="695">
      <c r="A695" s="2"/>
      <c r="B695" s="2"/>
      <c r="C695" s="2"/>
      <c r="D695" s="2"/>
      <c r="E695" s="2"/>
      <c r="F695" s="2"/>
      <c r="G695" s="27"/>
      <c r="H695" s="27"/>
      <c r="I695" s="27"/>
      <c r="J695" s="2"/>
      <c r="K695" s="2"/>
    </row>
    <row r="696">
      <c r="A696" s="2"/>
      <c r="B696" s="2"/>
      <c r="C696" s="2"/>
      <c r="D696" s="2"/>
      <c r="E696" s="2"/>
      <c r="F696" s="2"/>
      <c r="G696" s="27"/>
      <c r="H696" s="27"/>
      <c r="I696" s="27"/>
      <c r="J696" s="2"/>
      <c r="K696" s="2"/>
    </row>
    <row r="697">
      <c r="A697" s="2"/>
      <c r="B697" s="2"/>
      <c r="C697" s="2"/>
      <c r="D697" s="2"/>
      <c r="E697" s="2"/>
      <c r="F697" s="2"/>
      <c r="G697" s="27"/>
      <c r="H697" s="27"/>
      <c r="I697" s="27"/>
      <c r="J697" s="2"/>
      <c r="K697" s="2"/>
    </row>
    <row r="698">
      <c r="A698" s="2"/>
      <c r="B698" s="2"/>
      <c r="C698" s="2"/>
      <c r="D698" s="2"/>
      <c r="E698" s="2"/>
      <c r="F698" s="2"/>
      <c r="G698" s="27"/>
      <c r="H698" s="27"/>
      <c r="I698" s="27"/>
      <c r="J698" s="2"/>
      <c r="K698" s="2"/>
    </row>
    <row r="699">
      <c r="A699" s="2"/>
      <c r="B699" s="2"/>
      <c r="C699" s="2"/>
      <c r="D699" s="2"/>
      <c r="E699" s="2"/>
      <c r="F699" s="2"/>
      <c r="G699" s="27"/>
      <c r="H699" s="27"/>
      <c r="I699" s="27"/>
      <c r="J699" s="2"/>
      <c r="K699" s="2"/>
    </row>
    <row r="700">
      <c r="A700" s="2"/>
      <c r="B700" s="2"/>
      <c r="C700" s="2"/>
      <c r="D700" s="2"/>
      <c r="E700" s="2"/>
      <c r="F700" s="2"/>
      <c r="G700" s="27"/>
      <c r="H700" s="27"/>
      <c r="I700" s="27"/>
      <c r="J700" s="2"/>
      <c r="K700" s="2"/>
    </row>
    <row r="701">
      <c r="A701" s="2"/>
      <c r="B701" s="2"/>
      <c r="C701" s="2"/>
      <c r="D701" s="2"/>
      <c r="E701" s="2"/>
      <c r="F701" s="2"/>
      <c r="G701" s="27"/>
      <c r="H701" s="27"/>
      <c r="I701" s="27"/>
      <c r="J701" s="2"/>
      <c r="K701" s="2"/>
    </row>
    <row r="702">
      <c r="A702" s="2"/>
      <c r="B702" s="2"/>
      <c r="C702" s="2"/>
      <c r="D702" s="2"/>
      <c r="E702" s="2"/>
      <c r="F702" s="2"/>
      <c r="G702" s="27"/>
      <c r="H702" s="27"/>
      <c r="I702" s="27"/>
      <c r="J702" s="2"/>
      <c r="K702" s="2"/>
    </row>
    <row r="703">
      <c r="A703" s="2"/>
      <c r="B703" s="2"/>
      <c r="C703" s="2"/>
      <c r="D703" s="2"/>
      <c r="E703" s="2"/>
      <c r="F703" s="2"/>
      <c r="G703" s="27"/>
      <c r="H703" s="27"/>
      <c r="I703" s="27"/>
      <c r="J703" s="2"/>
      <c r="K703" s="2"/>
    </row>
    <row r="704">
      <c r="A704" s="2"/>
      <c r="B704" s="2"/>
      <c r="C704" s="2"/>
      <c r="D704" s="2"/>
      <c r="E704" s="2"/>
      <c r="F704" s="2"/>
      <c r="G704" s="27"/>
      <c r="H704" s="27"/>
      <c r="I704" s="27"/>
      <c r="J704" s="2"/>
      <c r="K704" s="2"/>
    </row>
    <row r="705">
      <c r="A705" s="2"/>
      <c r="B705" s="2"/>
      <c r="C705" s="2"/>
      <c r="D705" s="2"/>
      <c r="E705" s="2"/>
      <c r="F705" s="2"/>
      <c r="G705" s="27"/>
      <c r="H705" s="27"/>
      <c r="I705" s="27"/>
      <c r="J705" s="2"/>
      <c r="K705" s="2"/>
    </row>
    <row r="706">
      <c r="A706" s="2"/>
      <c r="B706" s="2"/>
      <c r="C706" s="2"/>
      <c r="D706" s="2"/>
      <c r="E706" s="2"/>
      <c r="F706" s="2"/>
      <c r="G706" s="27"/>
      <c r="H706" s="27"/>
      <c r="I706" s="27"/>
      <c r="J706" s="2"/>
      <c r="K706" s="2"/>
    </row>
    <row r="707">
      <c r="A707" s="2"/>
      <c r="B707" s="2"/>
      <c r="C707" s="2"/>
      <c r="D707" s="2"/>
      <c r="E707" s="2"/>
      <c r="F707" s="2"/>
      <c r="G707" s="27"/>
      <c r="H707" s="27"/>
      <c r="I707" s="27"/>
      <c r="J707" s="2"/>
      <c r="K707" s="2"/>
    </row>
    <row r="708">
      <c r="A708" s="2"/>
      <c r="B708" s="2"/>
      <c r="C708" s="2"/>
      <c r="D708" s="2"/>
      <c r="E708" s="2"/>
      <c r="F708" s="2"/>
      <c r="G708" s="27"/>
      <c r="H708" s="27"/>
      <c r="I708" s="27"/>
      <c r="J708" s="2"/>
      <c r="K708" s="2"/>
    </row>
    <row r="709">
      <c r="A709" s="2"/>
      <c r="B709" s="2"/>
      <c r="C709" s="2"/>
      <c r="D709" s="2"/>
      <c r="E709" s="2"/>
      <c r="F709" s="2"/>
      <c r="G709" s="27"/>
      <c r="H709" s="27"/>
      <c r="I709" s="27"/>
      <c r="J709" s="2"/>
      <c r="K709" s="2"/>
    </row>
    <row r="710">
      <c r="A710" s="2"/>
      <c r="B710" s="2"/>
      <c r="C710" s="2"/>
      <c r="D710" s="2"/>
      <c r="E710" s="2"/>
      <c r="F710" s="2"/>
      <c r="G710" s="27"/>
      <c r="H710" s="27"/>
      <c r="I710" s="27"/>
      <c r="J710" s="2"/>
      <c r="K710" s="2"/>
    </row>
    <row r="711">
      <c r="A711" s="2"/>
      <c r="B711" s="2"/>
      <c r="C711" s="2"/>
      <c r="D711" s="2"/>
      <c r="E711" s="2"/>
      <c r="F711" s="2"/>
      <c r="G711" s="27"/>
      <c r="H711" s="27"/>
      <c r="I711" s="27"/>
      <c r="J711" s="2"/>
      <c r="K711" s="2"/>
    </row>
    <row r="712">
      <c r="A712" s="2"/>
      <c r="B712" s="2"/>
      <c r="C712" s="2"/>
      <c r="D712" s="2"/>
      <c r="E712" s="2"/>
      <c r="F712" s="2"/>
      <c r="G712" s="27"/>
      <c r="H712" s="27"/>
      <c r="I712" s="27"/>
      <c r="J712" s="2"/>
      <c r="K712" s="2"/>
    </row>
    <row r="713">
      <c r="A713" s="2"/>
      <c r="B713" s="2"/>
      <c r="C713" s="2"/>
      <c r="D713" s="2"/>
      <c r="E713" s="2"/>
      <c r="F713" s="2"/>
      <c r="G713" s="27"/>
      <c r="H713" s="27"/>
      <c r="I713" s="27"/>
      <c r="J713" s="2"/>
      <c r="K713" s="2"/>
    </row>
    <row r="714">
      <c r="A714" s="2"/>
      <c r="B714" s="2"/>
      <c r="C714" s="2"/>
      <c r="D714" s="2"/>
      <c r="E714" s="2"/>
      <c r="F714" s="2"/>
      <c r="G714" s="27"/>
      <c r="H714" s="27"/>
      <c r="I714" s="27"/>
      <c r="J714" s="2"/>
      <c r="K714" s="2"/>
    </row>
    <row r="715">
      <c r="A715" s="2"/>
      <c r="B715" s="2"/>
      <c r="C715" s="2"/>
      <c r="D715" s="2"/>
      <c r="E715" s="2"/>
      <c r="F715" s="2"/>
      <c r="G715" s="27"/>
      <c r="H715" s="27"/>
      <c r="I715" s="27"/>
      <c r="J715" s="2"/>
      <c r="K715" s="2"/>
    </row>
    <row r="716">
      <c r="A716" s="2"/>
      <c r="B716" s="2"/>
      <c r="C716" s="2"/>
      <c r="D716" s="2"/>
      <c r="E716" s="2"/>
      <c r="F716" s="2"/>
      <c r="G716" s="27"/>
      <c r="H716" s="27"/>
      <c r="I716" s="27"/>
      <c r="J716" s="2"/>
      <c r="K716" s="2"/>
    </row>
    <row r="717">
      <c r="A717" s="2"/>
      <c r="B717" s="2"/>
      <c r="C717" s="2"/>
      <c r="D717" s="2"/>
      <c r="E717" s="2"/>
      <c r="F717" s="2"/>
      <c r="G717" s="27"/>
      <c r="H717" s="27"/>
      <c r="I717" s="27"/>
      <c r="J717" s="2"/>
      <c r="K717" s="2"/>
    </row>
    <row r="718">
      <c r="A718" s="2"/>
      <c r="B718" s="2"/>
      <c r="C718" s="2"/>
      <c r="D718" s="2"/>
      <c r="E718" s="2"/>
      <c r="F718" s="2"/>
      <c r="G718" s="27"/>
      <c r="H718" s="27"/>
      <c r="I718" s="27"/>
      <c r="J718" s="2"/>
      <c r="K718" s="2"/>
    </row>
    <row r="719">
      <c r="A719" s="2"/>
      <c r="B719" s="2"/>
      <c r="C719" s="2"/>
      <c r="D719" s="2"/>
      <c r="E719" s="2"/>
      <c r="F719" s="2"/>
      <c r="G719" s="27"/>
      <c r="H719" s="27"/>
      <c r="I719" s="27"/>
      <c r="J719" s="2"/>
      <c r="K719" s="2"/>
    </row>
    <row r="720">
      <c r="A720" s="2"/>
      <c r="B720" s="2"/>
      <c r="C720" s="2"/>
      <c r="D720" s="2"/>
      <c r="E720" s="2"/>
      <c r="F720" s="2"/>
      <c r="G720" s="27"/>
      <c r="H720" s="27"/>
      <c r="I720" s="27"/>
      <c r="J720" s="2"/>
      <c r="K720" s="2"/>
    </row>
    <row r="721">
      <c r="A721" s="2"/>
      <c r="B721" s="2"/>
      <c r="C721" s="2"/>
      <c r="D721" s="2"/>
      <c r="E721" s="2"/>
      <c r="F721" s="2"/>
      <c r="G721" s="27"/>
      <c r="H721" s="27"/>
      <c r="I721" s="27"/>
      <c r="J721" s="2"/>
      <c r="K721" s="2"/>
    </row>
    <row r="722">
      <c r="A722" s="2"/>
      <c r="B722" s="2"/>
      <c r="C722" s="2"/>
      <c r="D722" s="2"/>
      <c r="E722" s="2"/>
      <c r="F722" s="2"/>
      <c r="G722" s="27"/>
      <c r="H722" s="27"/>
      <c r="I722" s="27"/>
      <c r="J722" s="2"/>
      <c r="K722" s="2"/>
    </row>
    <row r="723">
      <c r="A723" s="2"/>
      <c r="B723" s="2"/>
      <c r="C723" s="2"/>
      <c r="D723" s="2"/>
      <c r="E723" s="2"/>
      <c r="F723" s="2"/>
      <c r="G723" s="27"/>
      <c r="H723" s="27"/>
      <c r="I723" s="27"/>
      <c r="J723" s="2"/>
      <c r="K723" s="2"/>
    </row>
    <row r="724">
      <c r="A724" s="2"/>
      <c r="B724" s="2"/>
      <c r="C724" s="2"/>
      <c r="D724" s="2"/>
      <c r="E724" s="2"/>
      <c r="F724" s="2"/>
      <c r="G724" s="27"/>
      <c r="H724" s="27"/>
      <c r="I724" s="27"/>
      <c r="J724" s="2"/>
      <c r="K724" s="2"/>
    </row>
    <row r="725">
      <c r="A725" s="2"/>
      <c r="B725" s="2"/>
      <c r="C725" s="2"/>
      <c r="D725" s="2"/>
      <c r="E725" s="2"/>
      <c r="F725" s="2"/>
      <c r="G725" s="27"/>
      <c r="H725" s="27"/>
      <c r="I725" s="27"/>
      <c r="J725" s="2"/>
      <c r="K725" s="2"/>
    </row>
    <row r="726">
      <c r="A726" s="2"/>
      <c r="B726" s="2"/>
      <c r="C726" s="2"/>
      <c r="D726" s="2"/>
      <c r="E726" s="2"/>
      <c r="F726" s="2"/>
      <c r="G726" s="27"/>
      <c r="H726" s="27"/>
      <c r="I726" s="27"/>
      <c r="J726" s="2"/>
      <c r="K726" s="2"/>
    </row>
    <row r="727">
      <c r="A727" s="2"/>
      <c r="B727" s="2"/>
      <c r="C727" s="2"/>
      <c r="D727" s="2"/>
      <c r="E727" s="2"/>
      <c r="F727" s="2"/>
      <c r="G727" s="27"/>
      <c r="H727" s="27"/>
      <c r="I727" s="27"/>
      <c r="J727" s="2"/>
      <c r="K727" s="2"/>
    </row>
    <row r="728">
      <c r="A728" s="2"/>
      <c r="B728" s="2"/>
      <c r="C728" s="2"/>
      <c r="D728" s="2"/>
      <c r="E728" s="2"/>
      <c r="F728" s="2"/>
      <c r="G728" s="27"/>
      <c r="H728" s="27"/>
      <c r="I728" s="27"/>
      <c r="J728" s="2"/>
      <c r="K728" s="2"/>
    </row>
    <row r="729">
      <c r="A729" s="2"/>
      <c r="B729" s="2"/>
      <c r="C729" s="2"/>
      <c r="D729" s="2"/>
      <c r="E729" s="2"/>
      <c r="F729" s="2"/>
      <c r="G729" s="27"/>
      <c r="H729" s="27"/>
      <c r="I729" s="27"/>
      <c r="J729" s="2"/>
      <c r="K729" s="2"/>
    </row>
    <row r="730">
      <c r="A730" s="2"/>
      <c r="B730" s="2"/>
      <c r="C730" s="2"/>
      <c r="D730" s="2"/>
      <c r="E730" s="2"/>
      <c r="F730" s="2"/>
      <c r="G730" s="27"/>
      <c r="H730" s="27"/>
      <c r="I730" s="27"/>
      <c r="J730" s="2"/>
      <c r="K730" s="2"/>
    </row>
    <row r="731">
      <c r="A731" s="2"/>
      <c r="B731" s="2"/>
      <c r="C731" s="2"/>
      <c r="D731" s="2"/>
      <c r="E731" s="2"/>
      <c r="F731" s="2"/>
      <c r="G731" s="27"/>
      <c r="H731" s="27"/>
      <c r="I731" s="27"/>
      <c r="J731" s="2"/>
      <c r="K731" s="2"/>
    </row>
    <row r="732">
      <c r="A732" s="2"/>
      <c r="B732" s="2"/>
      <c r="C732" s="2"/>
      <c r="D732" s="2"/>
      <c r="E732" s="2"/>
      <c r="F732" s="2"/>
      <c r="G732" s="27"/>
      <c r="H732" s="27"/>
      <c r="I732" s="27"/>
      <c r="J732" s="2"/>
      <c r="K732" s="2"/>
    </row>
    <row r="733">
      <c r="A733" s="2"/>
      <c r="B733" s="2"/>
      <c r="C733" s="2"/>
      <c r="D733" s="2"/>
      <c r="E733" s="2"/>
      <c r="F733" s="2"/>
      <c r="G733" s="27"/>
      <c r="H733" s="27"/>
      <c r="I733" s="27"/>
      <c r="J733" s="2"/>
      <c r="K733" s="2"/>
    </row>
    <row r="734">
      <c r="A734" s="2"/>
      <c r="B734" s="2"/>
      <c r="C734" s="2"/>
      <c r="D734" s="2"/>
      <c r="E734" s="2"/>
      <c r="F734" s="2"/>
      <c r="G734" s="27"/>
      <c r="H734" s="27"/>
      <c r="I734" s="27"/>
      <c r="J734" s="2"/>
      <c r="K734" s="2"/>
    </row>
    <row r="735">
      <c r="A735" s="2"/>
      <c r="B735" s="2"/>
      <c r="C735" s="2"/>
      <c r="D735" s="2"/>
      <c r="E735" s="2"/>
      <c r="F735" s="2"/>
      <c r="G735" s="27"/>
      <c r="H735" s="27"/>
      <c r="I735" s="27"/>
      <c r="J735" s="2"/>
      <c r="K735" s="2"/>
    </row>
    <row r="736">
      <c r="A736" s="2"/>
      <c r="B736" s="2"/>
      <c r="C736" s="2"/>
      <c r="D736" s="2"/>
      <c r="E736" s="2"/>
      <c r="F736" s="2"/>
      <c r="G736" s="27"/>
      <c r="H736" s="27"/>
      <c r="I736" s="27"/>
      <c r="J736" s="2"/>
      <c r="K736" s="2"/>
    </row>
    <row r="737">
      <c r="A737" s="2"/>
      <c r="B737" s="2"/>
      <c r="C737" s="2"/>
      <c r="D737" s="2"/>
      <c r="E737" s="2"/>
      <c r="F737" s="2"/>
      <c r="G737" s="27"/>
      <c r="H737" s="27"/>
      <c r="I737" s="27"/>
      <c r="J737" s="2"/>
      <c r="K737" s="2"/>
    </row>
    <row r="738">
      <c r="A738" s="2"/>
      <c r="B738" s="2"/>
      <c r="C738" s="2"/>
      <c r="D738" s="2"/>
      <c r="E738" s="2"/>
      <c r="F738" s="2"/>
      <c r="G738" s="27"/>
      <c r="H738" s="27"/>
      <c r="I738" s="27"/>
      <c r="J738" s="2"/>
      <c r="K738" s="2"/>
    </row>
    <row r="739">
      <c r="A739" s="2"/>
      <c r="B739" s="2"/>
      <c r="C739" s="2"/>
      <c r="D739" s="2"/>
      <c r="E739" s="2"/>
      <c r="F739" s="2"/>
      <c r="G739" s="27"/>
      <c r="H739" s="27"/>
      <c r="I739" s="27"/>
      <c r="J739" s="2"/>
      <c r="K739" s="2"/>
    </row>
    <row r="740">
      <c r="A740" s="2"/>
      <c r="B740" s="2"/>
      <c r="C740" s="2"/>
      <c r="D740" s="2"/>
      <c r="E740" s="2"/>
      <c r="F740" s="2"/>
      <c r="G740" s="27"/>
      <c r="H740" s="27"/>
      <c r="I740" s="27"/>
      <c r="J740" s="2"/>
      <c r="K740" s="2"/>
    </row>
    <row r="741">
      <c r="A741" s="2"/>
      <c r="B741" s="2"/>
      <c r="C741" s="2"/>
      <c r="D741" s="2"/>
      <c r="E741" s="2"/>
      <c r="F741" s="2"/>
      <c r="G741" s="27"/>
      <c r="H741" s="27"/>
      <c r="I741" s="27"/>
      <c r="J741" s="2"/>
      <c r="K741" s="2"/>
    </row>
    <row r="742">
      <c r="A742" s="2"/>
      <c r="B742" s="2"/>
      <c r="C742" s="2"/>
      <c r="D742" s="2"/>
      <c r="E742" s="2"/>
      <c r="F742" s="2"/>
      <c r="G742" s="27"/>
      <c r="H742" s="27"/>
      <c r="I742" s="27"/>
      <c r="J742" s="2"/>
      <c r="K742" s="2"/>
    </row>
    <row r="743">
      <c r="A743" s="2"/>
      <c r="B743" s="2"/>
      <c r="C743" s="2"/>
      <c r="D743" s="2"/>
      <c r="E743" s="2"/>
      <c r="F743" s="2"/>
      <c r="G743" s="27"/>
      <c r="H743" s="27"/>
      <c r="I743" s="27"/>
      <c r="J743" s="2"/>
      <c r="K743" s="2"/>
    </row>
    <row r="744">
      <c r="A744" s="2"/>
      <c r="B744" s="2"/>
      <c r="C744" s="2"/>
      <c r="D744" s="2"/>
      <c r="E744" s="2"/>
      <c r="F744" s="2"/>
      <c r="G744" s="27"/>
      <c r="H744" s="27"/>
      <c r="I744" s="27"/>
      <c r="J744" s="2"/>
      <c r="K744" s="2"/>
    </row>
    <row r="745">
      <c r="A745" s="2"/>
      <c r="B745" s="2"/>
      <c r="C745" s="2"/>
      <c r="D745" s="2"/>
      <c r="E745" s="2"/>
      <c r="F745" s="2"/>
      <c r="G745" s="27"/>
      <c r="H745" s="27"/>
      <c r="I745" s="27"/>
      <c r="J745" s="2"/>
      <c r="K745" s="2"/>
    </row>
    <row r="746">
      <c r="A746" s="2"/>
      <c r="B746" s="2"/>
      <c r="C746" s="2"/>
      <c r="D746" s="2"/>
      <c r="E746" s="2"/>
      <c r="F746" s="2"/>
      <c r="G746" s="27"/>
      <c r="H746" s="27"/>
      <c r="I746" s="27"/>
      <c r="J746" s="2"/>
      <c r="K746" s="2"/>
    </row>
    <row r="747">
      <c r="A747" s="2"/>
      <c r="B747" s="2"/>
      <c r="C747" s="2"/>
      <c r="D747" s="2"/>
      <c r="E747" s="2"/>
      <c r="F747" s="2"/>
      <c r="G747" s="27"/>
      <c r="H747" s="27"/>
      <c r="I747" s="27"/>
      <c r="J747" s="2"/>
      <c r="K747" s="2"/>
    </row>
    <row r="748">
      <c r="A748" s="2"/>
      <c r="B748" s="2"/>
      <c r="C748" s="2"/>
      <c r="D748" s="2"/>
      <c r="E748" s="2"/>
      <c r="F748" s="2"/>
      <c r="G748" s="27"/>
      <c r="H748" s="27"/>
      <c r="I748" s="27"/>
      <c r="J748" s="2"/>
      <c r="K748" s="2"/>
    </row>
    <row r="749">
      <c r="A749" s="2"/>
      <c r="B749" s="2"/>
      <c r="C749" s="2"/>
      <c r="D749" s="2"/>
      <c r="E749" s="2"/>
      <c r="F749" s="2"/>
      <c r="G749" s="27"/>
      <c r="H749" s="27"/>
      <c r="I749" s="27"/>
      <c r="J749" s="2"/>
      <c r="K749" s="2"/>
    </row>
    <row r="750">
      <c r="A750" s="2"/>
      <c r="B750" s="2"/>
      <c r="C750" s="2"/>
      <c r="D750" s="2"/>
      <c r="E750" s="2"/>
      <c r="F750" s="2"/>
      <c r="G750" s="27"/>
      <c r="H750" s="27"/>
      <c r="I750" s="27"/>
      <c r="J750" s="2"/>
      <c r="K750" s="2"/>
    </row>
    <row r="751">
      <c r="A751" s="2"/>
      <c r="B751" s="2"/>
      <c r="C751" s="2"/>
      <c r="D751" s="2"/>
      <c r="E751" s="2"/>
      <c r="F751" s="2"/>
      <c r="G751" s="27"/>
      <c r="H751" s="27"/>
      <c r="I751" s="27"/>
      <c r="J751" s="2"/>
      <c r="K751" s="2"/>
    </row>
    <row r="752">
      <c r="A752" s="2"/>
      <c r="B752" s="2"/>
      <c r="C752" s="2"/>
      <c r="D752" s="2"/>
      <c r="E752" s="2"/>
      <c r="F752" s="2"/>
      <c r="G752" s="27"/>
      <c r="H752" s="27"/>
      <c r="I752" s="27"/>
      <c r="J752" s="2"/>
      <c r="K752" s="2"/>
    </row>
    <row r="753">
      <c r="A753" s="2"/>
      <c r="B753" s="2"/>
      <c r="C753" s="2"/>
      <c r="D753" s="2"/>
      <c r="E753" s="2"/>
      <c r="F753" s="2"/>
      <c r="G753" s="27"/>
      <c r="H753" s="27"/>
      <c r="I753" s="27"/>
      <c r="J753" s="2"/>
      <c r="K753" s="2"/>
    </row>
    <row r="754">
      <c r="A754" s="2"/>
      <c r="B754" s="2"/>
      <c r="C754" s="2"/>
      <c r="D754" s="2"/>
      <c r="E754" s="2"/>
      <c r="F754" s="2"/>
      <c r="G754" s="27"/>
      <c r="H754" s="27"/>
      <c r="I754" s="27"/>
      <c r="J754" s="2"/>
      <c r="K754" s="2"/>
    </row>
    <row r="755">
      <c r="A755" s="2"/>
      <c r="B755" s="2"/>
      <c r="C755" s="2"/>
      <c r="D755" s="2"/>
      <c r="E755" s="2"/>
      <c r="F755" s="2"/>
      <c r="G755" s="27"/>
      <c r="H755" s="27"/>
      <c r="I755" s="27"/>
      <c r="J755" s="2"/>
      <c r="K755" s="2"/>
    </row>
    <row r="756">
      <c r="A756" s="2"/>
      <c r="B756" s="2"/>
      <c r="C756" s="2"/>
      <c r="D756" s="2"/>
      <c r="E756" s="2"/>
      <c r="F756" s="2"/>
      <c r="G756" s="27"/>
      <c r="H756" s="27"/>
      <c r="I756" s="27"/>
      <c r="J756" s="2"/>
      <c r="K756" s="2"/>
    </row>
    <row r="757">
      <c r="A757" s="2"/>
      <c r="B757" s="2"/>
      <c r="C757" s="2"/>
      <c r="D757" s="2"/>
      <c r="E757" s="2"/>
      <c r="F757" s="2"/>
      <c r="G757" s="27"/>
      <c r="H757" s="27"/>
      <c r="I757" s="27"/>
      <c r="J757" s="2"/>
      <c r="K757" s="2"/>
    </row>
    <row r="758">
      <c r="A758" s="2"/>
      <c r="B758" s="2"/>
      <c r="C758" s="2"/>
      <c r="D758" s="2"/>
      <c r="E758" s="2"/>
      <c r="F758" s="2"/>
      <c r="G758" s="27"/>
      <c r="H758" s="27"/>
      <c r="I758" s="27"/>
      <c r="J758" s="2"/>
      <c r="K758" s="2"/>
    </row>
    <row r="759">
      <c r="A759" s="2"/>
      <c r="B759" s="2"/>
      <c r="C759" s="2"/>
      <c r="D759" s="2"/>
      <c r="E759" s="2"/>
      <c r="F759" s="2"/>
      <c r="G759" s="27"/>
      <c r="H759" s="27"/>
      <c r="I759" s="27"/>
      <c r="J759" s="2"/>
      <c r="K759" s="2"/>
    </row>
    <row r="760">
      <c r="A760" s="2"/>
      <c r="B760" s="2"/>
      <c r="C760" s="2"/>
      <c r="D760" s="2"/>
      <c r="E760" s="2"/>
      <c r="F760" s="2"/>
      <c r="G760" s="27"/>
      <c r="H760" s="27"/>
      <c r="I760" s="27"/>
      <c r="J760" s="2"/>
      <c r="K760" s="2"/>
    </row>
    <row r="761">
      <c r="A761" s="2"/>
      <c r="B761" s="2"/>
      <c r="C761" s="2"/>
      <c r="D761" s="2"/>
      <c r="E761" s="2"/>
      <c r="F761" s="2"/>
      <c r="G761" s="27"/>
      <c r="H761" s="27"/>
      <c r="I761" s="27"/>
      <c r="J761" s="2"/>
      <c r="K761" s="2"/>
    </row>
    <row r="762">
      <c r="A762" s="2"/>
      <c r="B762" s="2"/>
      <c r="C762" s="2"/>
      <c r="D762" s="2"/>
      <c r="E762" s="2"/>
      <c r="F762" s="2"/>
      <c r="G762" s="27"/>
      <c r="H762" s="27"/>
      <c r="I762" s="27"/>
      <c r="J762" s="2"/>
      <c r="K762" s="2"/>
    </row>
    <row r="763">
      <c r="A763" s="2"/>
      <c r="B763" s="2"/>
      <c r="C763" s="2"/>
      <c r="D763" s="2"/>
      <c r="E763" s="2"/>
      <c r="F763" s="2"/>
      <c r="G763" s="27"/>
      <c r="H763" s="27"/>
      <c r="I763" s="27"/>
      <c r="J763" s="2"/>
      <c r="K763" s="2"/>
    </row>
    <row r="764">
      <c r="A764" s="2"/>
      <c r="B764" s="2"/>
      <c r="C764" s="2"/>
      <c r="D764" s="2"/>
      <c r="E764" s="2"/>
      <c r="F764" s="2"/>
      <c r="G764" s="27"/>
      <c r="H764" s="27"/>
      <c r="I764" s="27"/>
      <c r="J764" s="2"/>
      <c r="K764" s="2"/>
    </row>
    <row r="765">
      <c r="A765" s="2"/>
      <c r="B765" s="2"/>
      <c r="C765" s="2"/>
      <c r="D765" s="2"/>
      <c r="E765" s="2"/>
      <c r="F765" s="2"/>
      <c r="G765" s="27"/>
      <c r="H765" s="27"/>
      <c r="I765" s="27"/>
      <c r="J765" s="2"/>
      <c r="K765" s="2"/>
    </row>
    <row r="766">
      <c r="A766" s="2"/>
      <c r="B766" s="2"/>
      <c r="C766" s="2"/>
      <c r="D766" s="2"/>
      <c r="E766" s="2"/>
      <c r="F766" s="2"/>
      <c r="G766" s="27"/>
      <c r="H766" s="27"/>
      <c r="I766" s="27"/>
      <c r="J766" s="2"/>
      <c r="K766" s="2"/>
    </row>
    <row r="767">
      <c r="A767" s="2"/>
      <c r="B767" s="2"/>
      <c r="C767" s="2"/>
      <c r="D767" s="2"/>
      <c r="E767" s="2"/>
      <c r="F767" s="2"/>
      <c r="G767" s="27"/>
      <c r="H767" s="27"/>
      <c r="I767" s="27"/>
      <c r="J767" s="2"/>
      <c r="K767" s="2"/>
    </row>
    <row r="768">
      <c r="A768" s="2"/>
      <c r="B768" s="2"/>
      <c r="C768" s="2"/>
      <c r="D768" s="2"/>
      <c r="E768" s="2"/>
      <c r="F768" s="2"/>
      <c r="G768" s="27"/>
      <c r="H768" s="27"/>
      <c r="I768" s="27"/>
      <c r="J768" s="2"/>
      <c r="K768" s="2"/>
    </row>
    <row r="769">
      <c r="A769" s="2"/>
      <c r="B769" s="2"/>
      <c r="C769" s="2"/>
      <c r="D769" s="2"/>
      <c r="E769" s="2"/>
      <c r="F769" s="2"/>
      <c r="G769" s="27"/>
      <c r="H769" s="27"/>
      <c r="I769" s="27"/>
      <c r="J769" s="2"/>
      <c r="K769" s="2"/>
    </row>
    <row r="770">
      <c r="A770" s="2"/>
      <c r="B770" s="2"/>
      <c r="C770" s="2"/>
      <c r="D770" s="2"/>
      <c r="E770" s="2"/>
      <c r="F770" s="2"/>
      <c r="G770" s="27"/>
      <c r="H770" s="27"/>
      <c r="I770" s="27"/>
      <c r="J770" s="2"/>
      <c r="K770" s="2"/>
    </row>
    <row r="771">
      <c r="A771" s="2"/>
      <c r="B771" s="2"/>
      <c r="C771" s="2"/>
      <c r="D771" s="2"/>
      <c r="E771" s="2"/>
      <c r="F771" s="2"/>
      <c r="G771" s="27"/>
      <c r="H771" s="27"/>
      <c r="I771" s="27"/>
      <c r="J771" s="2"/>
      <c r="K771" s="2"/>
    </row>
    <row r="772">
      <c r="A772" s="2"/>
      <c r="B772" s="2"/>
      <c r="C772" s="2"/>
      <c r="D772" s="2"/>
      <c r="E772" s="2"/>
      <c r="F772" s="2"/>
      <c r="G772" s="27"/>
      <c r="H772" s="27"/>
      <c r="I772" s="27"/>
      <c r="J772" s="2"/>
      <c r="K772" s="2"/>
    </row>
    <row r="773">
      <c r="A773" s="2"/>
      <c r="B773" s="2"/>
      <c r="C773" s="2"/>
      <c r="D773" s="2"/>
      <c r="E773" s="2"/>
      <c r="F773" s="2"/>
      <c r="G773" s="27"/>
      <c r="H773" s="27"/>
      <c r="I773" s="27"/>
      <c r="J773" s="2"/>
      <c r="K773" s="2"/>
    </row>
    <row r="774">
      <c r="A774" s="2"/>
      <c r="B774" s="2"/>
      <c r="C774" s="2"/>
      <c r="D774" s="2"/>
      <c r="E774" s="2"/>
      <c r="F774" s="2"/>
      <c r="G774" s="27"/>
      <c r="H774" s="27"/>
      <c r="I774" s="27"/>
      <c r="J774" s="2"/>
      <c r="K774" s="2"/>
    </row>
    <row r="775">
      <c r="A775" s="2"/>
      <c r="B775" s="2"/>
      <c r="C775" s="2"/>
      <c r="D775" s="2"/>
      <c r="E775" s="2"/>
      <c r="F775" s="2"/>
      <c r="G775" s="27"/>
      <c r="H775" s="27"/>
      <c r="I775" s="27"/>
      <c r="J775" s="2"/>
      <c r="K775" s="2"/>
    </row>
    <row r="776">
      <c r="A776" s="2"/>
      <c r="B776" s="2"/>
      <c r="C776" s="2"/>
      <c r="D776" s="2"/>
      <c r="E776" s="2"/>
      <c r="F776" s="2"/>
      <c r="G776" s="27"/>
      <c r="H776" s="27"/>
      <c r="I776" s="27"/>
      <c r="J776" s="2"/>
      <c r="K776" s="2"/>
    </row>
    <row r="777">
      <c r="A777" s="2"/>
      <c r="B777" s="2"/>
      <c r="C777" s="2"/>
      <c r="D777" s="2"/>
      <c r="E777" s="2"/>
      <c r="F777" s="2"/>
      <c r="G777" s="27"/>
      <c r="H777" s="27"/>
      <c r="I777" s="27"/>
      <c r="J777" s="2"/>
      <c r="K777" s="2"/>
    </row>
    <row r="778">
      <c r="A778" s="2"/>
      <c r="B778" s="2"/>
      <c r="C778" s="2"/>
      <c r="D778" s="2"/>
      <c r="E778" s="2"/>
      <c r="F778" s="2"/>
      <c r="G778" s="27"/>
      <c r="H778" s="27"/>
      <c r="I778" s="27"/>
      <c r="J778" s="2"/>
      <c r="K778" s="2"/>
    </row>
    <row r="779">
      <c r="A779" s="2"/>
      <c r="B779" s="2"/>
      <c r="C779" s="2"/>
      <c r="D779" s="2"/>
      <c r="E779" s="2"/>
      <c r="F779" s="2"/>
      <c r="G779" s="27"/>
      <c r="H779" s="27"/>
      <c r="I779" s="27"/>
      <c r="J779" s="2"/>
      <c r="K779" s="2"/>
    </row>
    <row r="780">
      <c r="A780" s="2"/>
      <c r="B780" s="2"/>
      <c r="C780" s="2"/>
      <c r="D780" s="2"/>
      <c r="E780" s="2"/>
      <c r="F780" s="2"/>
      <c r="G780" s="27"/>
      <c r="H780" s="27"/>
      <c r="I780" s="27"/>
      <c r="J780" s="2"/>
      <c r="K780" s="2"/>
    </row>
    <row r="781">
      <c r="A781" s="2"/>
      <c r="B781" s="2"/>
      <c r="C781" s="2"/>
      <c r="D781" s="2"/>
      <c r="E781" s="2"/>
      <c r="F781" s="2"/>
      <c r="G781" s="27"/>
      <c r="H781" s="27"/>
      <c r="I781" s="27"/>
      <c r="J781" s="2"/>
      <c r="K781" s="2"/>
    </row>
    <row r="782">
      <c r="A782" s="2"/>
      <c r="B782" s="2"/>
      <c r="C782" s="2"/>
      <c r="D782" s="2"/>
      <c r="E782" s="2"/>
      <c r="F782" s="2"/>
      <c r="G782" s="27"/>
      <c r="H782" s="27"/>
      <c r="I782" s="27"/>
      <c r="J782" s="2"/>
      <c r="K782" s="2"/>
    </row>
    <row r="783">
      <c r="A783" s="2"/>
      <c r="B783" s="2"/>
      <c r="C783" s="2"/>
      <c r="D783" s="2"/>
      <c r="E783" s="2"/>
      <c r="F783" s="2"/>
      <c r="G783" s="27"/>
      <c r="H783" s="27"/>
      <c r="I783" s="27"/>
      <c r="J783" s="2"/>
      <c r="K783" s="2"/>
    </row>
    <row r="784">
      <c r="A784" s="2"/>
      <c r="B784" s="2"/>
      <c r="C784" s="2"/>
      <c r="D784" s="2"/>
      <c r="E784" s="2"/>
      <c r="F784" s="2"/>
      <c r="G784" s="27"/>
      <c r="H784" s="27"/>
      <c r="I784" s="27"/>
      <c r="J784" s="2"/>
      <c r="K784" s="2"/>
    </row>
    <row r="785">
      <c r="A785" s="2"/>
      <c r="B785" s="2"/>
      <c r="C785" s="2"/>
      <c r="D785" s="2"/>
      <c r="E785" s="2"/>
      <c r="F785" s="2"/>
      <c r="G785" s="27"/>
      <c r="H785" s="27"/>
      <c r="I785" s="27"/>
      <c r="J785" s="2"/>
      <c r="K785" s="2"/>
    </row>
    <row r="786">
      <c r="A786" s="2"/>
      <c r="B786" s="2"/>
      <c r="C786" s="2"/>
      <c r="D786" s="2"/>
      <c r="E786" s="2"/>
      <c r="F786" s="2"/>
      <c r="G786" s="27"/>
      <c r="H786" s="27"/>
      <c r="I786" s="27"/>
      <c r="J786" s="2"/>
      <c r="K786" s="2"/>
    </row>
    <row r="787">
      <c r="A787" s="2"/>
      <c r="B787" s="2"/>
      <c r="C787" s="2"/>
      <c r="D787" s="2"/>
      <c r="E787" s="2"/>
      <c r="F787" s="2"/>
      <c r="G787" s="27"/>
      <c r="H787" s="27"/>
      <c r="I787" s="27"/>
      <c r="J787" s="2"/>
      <c r="K787" s="2"/>
    </row>
    <row r="788">
      <c r="A788" s="2"/>
      <c r="B788" s="2"/>
      <c r="C788" s="2"/>
      <c r="D788" s="2"/>
      <c r="E788" s="2"/>
      <c r="F788" s="2"/>
      <c r="G788" s="27"/>
      <c r="H788" s="27"/>
      <c r="I788" s="27"/>
      <c r="J788" s="2"/>
      <c r="K788" s="2"/>
    </row>
    <row r="789">
      <c r="A789" s="2"/>
      <c r="B789" s="2"/>
      <c r="C789" s="2"/>
      <c r="D789" s="2"/>
      <c r="E789" s="2"/>
      <c r="F789" s="2"/>
      <c r="G789" s="27"/>
      <c r="H789" s="27"/>
      <c r="I789" s="27"/>
      <c r="J789" s="2"/>
      <c r="K789" s="2"/>
    </row>
    <row r="790">
      <c r="A790" s="2"/>
      <c r="B790" s="2"/>
      <c r="C790" s="2"/>
      <c r="D790" s="2"/>
      <c r="E790" s="2"/>
      <c r="F790" s="2"/>
      <c r="G790" s="27"/>
      <c r="H790" s="27"/>
      <c r="I790" s="27"/>
      <c r="J790" s="2"/>
      <c r="K790" s="2"/>
    </row>
    <row r="791">
      <c r="A791" s="2"/>
      <c r="B791" s="2"/>
      <c r="C791" s="2"/>
      <c r="D791" s="2"/>
      <c r="E791" s="2"/>
      <c r="F791" s="2"/>
      <c r="G791" s="27"/>
      <c r="H791" s="27"/>
      <c r="I791" s="27"/>
      <c r="J791" s="2"/>
      <c r="K791" s="2"/>
    </row>
    <row r="792">
      <c r="A792" s="2"/>
      <c r="B792" s="2"/>
      <c r="C792" s="2"/>
      <c r="D792" s="2"/>
      <c r="E792" s="2"/>
      <c r="F792" s="2"/>
      <c r="G792" s="27"/>
      <c r="H792" s="27"/>
      <c r="I792" s="27"/>
      <c r="J792" s="2"/>
      <c r="K792" s="2"/>
    </row>
    <row r="793">
      <c r="A793" s="2"/>
      <c r="B793" s="2"/>
      <c r="C793" s="2"/>
      <c r="D793" s="2"/>
      <c r="E793" s="2"/>
      <c r="F793" s="2"/>
      <c r="G793" s="27"/>
      <c r="H793" s="27"/>
      <c r="I793" s="27"/>
      <c r="J793" s="2"/>
      <c r="K793" s="2"/>
    </row>
    <row r="794">
      <c r="A794" s="2"/>
      <c r="B794" s="2"/>
      <c r="C794" s="2"/>
      <c r="D794" s="2"/>
      <c r="E794" s="2"/>
      <c r="F794" s="2"/>
      <c r="G794" s="27"/>
      <c r="H794" s="27"/>
      <c r="I794" s="27"/>
      <c r="J794" s="2"/>
      <c r="K794" s="2"/>
    </row>
    <row r="795">
      <c r="A795" s="2"/>
      <c r="B795" s="2"/>
      <c r="C795" s="2"/>
      <c r="D795" s="2"/>
      <c r="E795" s="2"/>
      <c r="F795" s="2"/>
      <c r="G795" s="27"/>
      <c r="H795" s="27"/>
      <c r="I795" s="27"/>
      <c r="J795" s="2"/>
      <c r="K795" s="2"/>
    </row>
    <row r="796">
      <c r="A796" s="2"/>
      <c r="B796" s="2"/>
      <c r="C796" s="2"/>
      <c r="D796" s="2"/>
      <c r="E796" s="2"/>
      <c r="F796" s="2"/>
      <c r="G796" s="27"/>
      <c r="H796" s="27"/>
      <c r="I796" s="27"/>
      <c r="J796" s="2"/>
      <c r="K796" s="2"/>
    </row>
    <row r="797">
      <c r="A797" s="2"/>
      <c r="B797" s="2"/>
      <c r="C797" s="2"/>
      <c r="D797" s="2"/>
      <c r="E797" s="2"/>
      <c r="F797" s="2"/>
      <c r="G797" s="27"/>
      <c r="H797" s="27"/>
      <c r="I797" s="27"/>
      <c r="J797" s="2"/>
      <c r="K797" s="2"/>
    </row>
    <row r="798">
      <c r="A798" s="2"/>
      <c r="B798" s="2"/>
      <c r="C798" s="2"/>
      <c r="D798" s="2"/>
      <c r="E798" s="2"/>
      <c r="F798" s="2"/>
      <c r="G798" s="27"/>
      <c r="H798" s="27"/>
      <c r="I798" s="27"/>
      <c r="J798" s="2"/>
      <c r="K798" s="2"/>
    </row>
    <row r="799">
      <c r="A799" s="2"/>
      <c r="B799" s="2"/>
      <c r="C799" s="2"/>
      <c r="D799" s="2"/>
      <c r="E799" s="2"/>
      <c r="F799" s="2"/>
      <c r="G799" s="27"/>
      <c r="H799" s="27"/>
      <c r="I799" s="27"/>
      <c r="J799" s="2"/>
      <c r="K799" s="2"/>
    </row>
    <row r="800">
      <c r="A800" s="2"/>
      <c r="B800" s="2"/>
      <c r="C800" s="2"/>
      <c r="D800" s="2"/>
      <c r="E800" s="2"/>
      <c r="F800" s="2"/>
      <c r="G800" s="27"/>
      <c r="H800" s="27"/>
      <c r="I800" s="27"/>
      <c r="J800" s="2"/>
      <c r="K800" s="2"/>
    </row>
    <row r="801">
      <c r="A801" s="2"/>
      <c r="B801" s="2"/>
      <c r="C801" s="2"/>
      <c r="D801" s="2"/>
      <c r="E801" s="2"/>
      <c r="F801" s="2"/>
      <c r="G801" s="27"/>
      <c r="H801" s="27"/>
      <c r="I801" s="27"/>
      <c r="J801" s="2"/>
      <c r="K801" s="2"/>
    </row>
    <row r="802">
      <c r="A802" s="2"/>
      <c r="B802" s="2"/>
      <c r="C802" s="2"/>
      <c r="D802" s="2"/>
      <c r="E802" s="2"/>
      <c r="F802" s="2"/>
      <c r="G802" s="27"/>
      <c r="H802" s="27"/>
      <c r="I802" s="27"/>
      <c r="J802" s="2"/>
      <c r="K802" s="2"/>
    </row>
    <row r="803">
      <c r="A803" s="2"/>
      <c r="B803" s="2"/>
      <c r="C803" s="2"/>
      <c r="D803" s="2"/>
      <c r="E803" s="2"/>
      <c r="F803" s="2"/>
      <c r="G803" s="27"/>
      <c r="H803" s="27"/>
      <c r="I803" s="27"/>
      <c r="J803" s="2"/>
      <c r="K803" s="2"/>
    </row>
    <row r="804">
      <c r="A804" s="2"/>
      <c r="B804" s="2"/>
      <c r="C804" s="2"/>
      <c r="D804" s="2"/>
      <c r="E804" s="2"/>
      <c r="F804" s="2"/>
      <c r="G804" s="27"/>
      <c r="H804" s="27"/>
      <c r="I804" s="27"/>
      <c r="J804" s="2"/>
      <c r="K804" s="2"/>
    </row>
    <row r="805">
      <c r="A805" s="2"/>
      <c r="B805" s="2"/>
      <c r="C805" s="2"/>
      <c r="D805" s="2"/>
      <c r="E805" s="2"/>
      <c r="F805" s="2"/>
      <c r="G805" s="27"/>
      <c r="H805" s="27"/>
      <c r="I805" s="27"/>
      <c r="J805" s="2"/>
      <c r="K805" s="2"/>
    </row>
    <row r="806">
      <c r="A806" s="2"/>
      <c r="B806" s="2"/>
      <c r="C806" s="2"/>
      <c r="D806" s="2"/>
      <c r="E806" s="2"/>
      <c r="F806" s="2"/>
      <c r="G806" s="27"/>
      <c r="H806" s="27"/>
      <c r="I806" s="27"/>
      <c r="J806" s="2"/>
      <c r="K806" s="2"/>
    </row>
    <row r="807">
      <c r="A807" s="2"/>
      <c r="B807" s="2"/>
      <c r="C807" s="2"/>
      <c r="D807" s="2"/>
      <c r="E807" s="2"/>
      <c r="F807" s="2"/>
      <c r="G807" s="27"/>
      <c r="H807" s="27"/>
      <c r="I807" s="27"/>
      <c r="J807" s="2"/>
      <c r="K807" s="2"/>
    </row>
    <row r="808">
      <c r="A808" s="2"/>
      <c r="B808" s="2"/>
      <c r="C808" s="2"/>
      <c r="D808" s="2"/>
      <c r="E808" s="2"/>
      <c r="F808" s="2"/>
      <c r="G808" s="27"/>
      <c r="H808" s="27"/>
      <c r="I808" s="27"/>
      <c r="J808" s="2"/>
      <c r="K808" s="2"/>
    </row>
    <row r="809">
      <c r="A809" s="2"/>
      <c r="B809" s="2"/>
      <c r="C809" s="2"/>
      <c r="D809" s="2"/>
      <c r="E809" s="2"/>
      <c r="F809" s="2"/>
      <c r="G809" s="27"/>
      <c r="H809" s="27"/>
      <c r="I809" s="27"/>
      <c r="J809" s="2"/>
      <c r="K809" s="2"/>
    </row>
    <row r="810">
      <c r="A810" s="2"/>
      <c r="B810" s="2"/>
      <c r="C810" s="2"/>
      <c r="D810" s="2"/>
      <c r="E810" s="2"/>
      <c r="F810" s="2"/>
      <c r="G810" s="27"/>
      <c r="H810" s="27"/>
      <c r="I810" s="27"/>
      <c r="J810" s="2"/>
      <c r="K810" s="2"/>
    </row>
    <row r="811">
      <c r="A811" s="2"/>
      <c r="B811" s="2"/>
      <c r="C811" s="2"/>
      <c r="D811" s="2"/>
      <c r="E811" s="2"/>
      <c r="F811" s="2"/>
      <c r="G811" s="27"/>
      <c r="H811" s="27"/>
      <c r="I811" s="27"/>
      <c r="J811" s="2"/>
      <c r="K811" s="2"/>
    </row>
    <row r="812">
      <c r="A812" s="2"/>
      <c r="B812" s="2"/>
      <c r="C812" s="2"/>
      <c r="D812" s="2"/>
      <c r="E812" s="2"/>
      <c r="F812" s="2"/>
      <c r="G812" s="27"/>
      <c r="H812" s="27"/>
      <c r="I812" s="27"/>
      <c r="J812" s="2"/>
      <c r="K812" s="2"/>
    </row>
    <row r="813">
      <c r="A813" s="2"/>
      <c r="B813" s="2"/>
      <c r="C813" s="2"/>
      <c r="D813" s="2"/>
      <c r="E813" s="2"/>
      <c r="F813" s="2"/>
      <c r="G813" s="27"/>
      <c r="H813" s="27"/>
      <c r="I813" s="27"/>
      <c r="J813" s="2"/>
      <c r="K813" s="2"/>
    </row>
    <row r="814">
      <c r="A814" s="2"/>
      <c r="B814" s="2"/>
      <c r="C814" s="2"/>
      <c r="D814" s="2"/>
      <c r="E814" s="2"/>
      <c r="F814" s="2"/>
      <c r="G814" s="27"/>
      <c r="H814" s="27"/>
      <c r="I814" s="27"/>
      <c r="J814" s="2"/>
      <c r="K814" s="2"/>
    </row>
    <row r="815">
      <c r="A815" s="2"/>
      <c r="B815" s="2"/>
      <c r="C815" s="2"/>
      <c r="D815" s="2"/>
      <c r="E815" s="2"/>
      <c r="F815" s="2"/>
      <c r="G815" s="27"/>
      <c r="H815" s="27"/>
      <c r="I815" s="27"/>
      <c r="J815" s="2"/>
      <c r="K815" s="2"/>
    </row>
    <row r="816">
      <c r="A816" s="2"/>
      <c r="B816" s="2"/>
      <c r="C816" s="2"/>
      <c r="D816" s="2"/>
      <c r="E816" s="2"/>
      <c r="F816" s="2"/>
      <c r="G816" s="27"/>
      <c r="H816" s="27"/>
      <c r="I816" s="27"/>
      <c r="J816" s="2"/>
      <c r="K816" s="2"/>
    </row>
    <row r="817">
      <c r="A817" s="2"/>
      <c r="B817" s="2"/>
      <c r="C817" s="2"/>
      <c r="D817" s="2"/>
      <c r="E817" s="2"/>
      <c r="F817" s="2"/>
      <c r="G817" s="27"/>
      <c r="H817" s="27"/>
      <c r="I817" s="27"/>
      <c r="J817" s="2"/>
      <c r="K817" s="2"/>
    </row>
    <row r="818">
      <c r="A818" s="2"/>
      <c r="B818" s="2"/>
      <c r="C818" s="2"/>
      <c r="D818" s="2"/>
      <c r="E818" s="2"/>
      <c r="F818" s="2"/>
      <c r="G818" s="27"/>
      <c r="H818" s="27"/>
      <c r="I818" s="27"/>
      <c r="J818" s="2"/>
      <c r="K818" s="2"/>
    </row>
    <row r="819">
      <c r="A819" s="2"/>
      <c r="B819" s="2"/>
      <c r="C819" s="2"/>
      <c r="D819" s="2"/>
      <c r="E819" s="2"/>
      <c r="F819" s="2"/>
      <c r="G819" s="27"/>
      <c r="H819" s="27"/>
      <c r="I819" s="27"/>
      <c r="J819" s="2"/>
      <c r="K819" s="2"/>
    </row>
    <row r="820">
      <c r="A820" s="2"/>
      <c r="B820" s="2"/>
      <c r="C820" s="2"/>
      <c r="D820" s="2"/>
      <c r="E820" s="2"/>
      <c r="F820" s="2"/>
      <c r="G820" s="27"/>
      <c r="H820" s="27"/>
      <c r="I820" s="27"/>
      <c r="J820" s="2"/>
      <c r="K820" s="2"/>
    </row>
    <row r="821">
      <c r="A821" s="2"/>
      <c r="B821" s="2"/>
      <c r="C821" s="2"/>
      <c r="D821" s="2"/>
      <c r="E821" s="2"/>
      <c r="F821" s="2"/>
      <c r="G821" s="27"/>
      <c r="H821" s="27"/>
      <c r="I821" s="27"/>
      <c r="J821" s="2"/>
      <c r="K821" s="2"/>
    </row>
    <row r="822">
      <c r="A822" s="2"/>
      <c r="B822" s="2"/>
      <c r="C822" s="2"/>
      <c r="D822" s="2"/>
      <c r="E822" s="2"/>
      <c r="F822" s="2"/>
      <c r="G822" s="27"/>
      <c r="H822" s="27"/>
      <c r="I822" s="27"/>
      <c r="J822" s="2"/>
      <c r="K822" s="2"/>
    </row>
    <row r="823">
      <c r="A823" s="2"/>
      <c r="B823" s="2"/>
      <c r="C823" s="2"/>
      <c r="D823" s="2"/>
      <c r="E823" s="2"/>
      <c r="F823" s="2"/>
      <c r="G823" s="27"/>
      <c r="H823" s="27"/>
      <c r="I823" s="27"/>
      <c r="J823" s="2"/>
      <c r="K823" s="2"/>
    </row>
    <row r="824">
      <c r="A824" s="2"/>
      <c r="B824" s="2"/>
      <c r="C824" s="2"/>
      <c r="D824" s="2"/>
      <c r="E824" s="2"/>
      <c r="F824" s="2"/>
      <c r="G824" s="27"/>
      <c r="H824" s="27"/>
      <c r="I824" s="27"/>
      <c r="J824" s="2"/>
      <c r="K824" s="2"/>
    </row>
    <row r="825">
      <c r="A825" s="2"/>
      <c r="B825" s="2"/>
      <c r="C825" s="2"/>
      <c r="D825" s="2"/>
      <c r="E825" s="2"/>
      <c r="F825" s="2"/>
      <c r="G825" s="27"/>
      <c r="H825" s="27"/>
      <c r="I825" s="27"/>
      <c r="J825" s="2"/>
      <c r="K825" s="2"/>
    </row>
    <row r="826">
      <c r="A826" s="2"/>
      <c r="B826" s="2"/>
      <c r="C826" s="2"/>
      <c r="D826" s="2"/>
      <c r="E826" s="2"/>
      <c r="F826" s="2"/>
      <c r="G826" s="27"/>
      <c r="H826" s="27"/>
      <c r="I826" s="27"/>
      <c r="J826" s="2"/>
      <c r="K826" s="2"/>
    </row>
    <row r="827">
      <c r="A827" s="2"/>
      <c r="B827" s="2"/>
      <c r="C827" s="2"/>
      <c r="D827" s="2"/>
      <c r="E827" s="2"/>
      <c r="F827" s="2"/>
      <c r="G827" s="27"/>
      <c r="H827" s="27"/>
      <c r="I827" s="27"/>
      <c r="J827" s="2"/>
      <c r="K827" s="2"/>
    </row>
    <row r="828">
      <c r="A828" s="2"/>
      <c r="B828" s="2"/>
      <c r="C828" s="2"/>
      <c r="D828" s="2"/>
      <c r="E828" s="2"/>
      <c r="F828" s="2"/>
      <c r="G828" s="27"/>
      <c r="H828" s="27"/>
      <c r="I828" s="27"/>
      <c r="J828" s="2"/>
      <c r="K828" s="2"/>
    </row>
    <row r="829">
      <c r="A829" s="2"/>
      <c r="B829" s="2"/>
      <c r="C829" s="2"/>
      <c r="D829" s="2"/>
      <c r="E829" s="2"/>
      <c r="F829" s="2"/>
      <c r="G829" s="27"/>
      <c r="H829" s="27"/>
      <c r="I829" s="27"/>
      <c r="J829" s="2"/>
      <c r="K829" s="2"/>
    </row>
    <row r="830">
      <c r="A830" s="2"/>
      <c r="B830" s="2"/>
      <c r="C830" s="2"/>
      <c r="D830" s="2"/>
      <c r="E830" s="2"/>
      <c r="F830" s="2"/>
      <c r="G830" s="27"/>
      <c r="H830" s="27"/>
      <c r="I830" s="27"/>
      <c r="J830" s="2"/>
      <c r="K830" s="2"/>
    </row>
    <row r="831">
      <c r="A831" s="2"/>
      <c r="B831" s="2"/>
      <c r="C831" s="2"/>
      <c r="D831" s="2"/>
      <c r="E831" s="2"/>
      <c r="F831" s="2"/>
      <c r="G831" s="27"/>
      <c r="H831" s="27"/>
      <c r="I831" s="27"/>
      <c r="J831" s="2"/>
      <c r="K831" s="2"/>
    </row>
    <row r="832">
      <c r="A832" s="2"/>
      <c r="B832" s="2"/>
      <c r="C832" s="2"/>
      <c r="D832" s="2"/>
      <c r="E832" s="2"/>
      <c r="F832" s="2"/>
      <c r="G832" s="27"/>
      <c r="H832" s="27"/>
      <c r="I832" s="27"/>
      <c r="J832" s="2"/>
      <c r="K832" s="2"/>
    </row>
    <row r="833">
      <c r="A833" s="2"/>
      <c r="B833" s="2"/>
      <c r="C833" s="2"/>
      <c r="D833" s="2"/>
      <c r="E833" s="2"/>
      <c r="F833" s="2"/>
      <c r="G833" s="27"/>
      <c r="H833" s="27"/>
      <c r="I833" s="27"/>
      <c r="J833" s="2"/>
      <c r="K833" s="2"/>
    </row>
    <row r="834">
      <c r="A834" s="2"/>
      <c r="B834" s="2"/>
      <c r="C834" s="2"/>
      <c r="D834" s="2"/>
      <c r="E834" s="2"/>
      <c r="F834" s="2"/>
      <c r="G834" s="27"/>
      <c r="H834" s="27"/>
      <c r="I834" s="27"/>
      <c r="J834" s="2"/>
      <c r="K834" s="2"/>
    </row>
    <row r="835">
      <c r="A835" s="2"/>
      <c r="B835" s="2"/>
      <c r="C835" s="2"/>
      <c r="D835" s="2"/>
      <c r="E835" s="2"/>
      <c r="F835" s="2"/>
      <c r="G835" s="27"/>
      <c r="H835" s="27"/>
      <c r="I835" s="27"/>
      <c r="J835" s="2"/>
      <c r="K835" s="2"/>
    </row>
    <row r="836">
      <c r="A836" s="2"/>
      <c r="B836" s="2"/>
      <c r="C836" s="2"/>
      <c r="D836" s="2"/>
      <c r="E836" s="2"/>
      <c r="F836" s="2"/>
      <c r="G836" s="27"/>
      <c r="H836" s="27"/>
      <c r="I836" s="27"/>
      <c r="J836" s="2"/>
      <c r="K836" s="2"/>
    </row>
    <row r="837">
      <c r="A837" s="2"/>
      <c r="B837" s="2"/>
      <c r="C837" s="2"/>
      <c r="D837" s="2"/>
      <c r="E837" s="2"/>
      <c r="F837" s="2"/>
      <c r="G837" s="27"/>
      <c r="H837" s="27"/>
      <c r="I837" s="27"/>
      <c r="J837" s="2"/>
      <c r="K837" s="2"/>
    </row>
    <row r="838">
      <c r="A838" s="2"/>
      <c r="B838" s="2"/>
      <c r="C838" s="2"/>
      <c r="D838" s="2"/>
      <c r="E838" s="2"/>
      <c r="F838" s="2"/>
      <c r="G838" s="27"/>
      <c r="H838" s="27"/>
      <c r="I838" s="27"/>
      <c r="J838" s="2"/>
      <c r="K838" s="2"/>
    </row>
    <row r="839">
      <c r="A839" s="2"/>
      <c r="B839" s="2"/>
      <c r="C839" s="2"/>
      <c r="D839" s="2"/>
      <c r="E839" s="2"/>
      <c r="F839" s="2"/>
      <c r="G839" s="27"/>
      <c r="H839" s="27"/>
      <c r="I839" s="27"/>
      <c r="J839" s="2"/>
      <c r="K839" s="2"/>
    </row>
    <row r="840">
      <c r="A840" s="2"/>
      <c r="B840" s="2"/>
      <c r="C840" s="2"/>
      <c r="D840" s="2"/>
      <c r="E840" s="2"/>
      <c r="F840" s="2"/>
      <c r="G840" s="27"/>
      <c r="H840" s="27"/>
      <c r="I840" s="27"/>
      <c r="J840" s="2"/>
      <c r="K840" s="2"/>
    </row>
    <row r="841">
      <c r="A841" s="2"/>
      <c r="B841" s="2"/>
      <c r="C841" s="2"/>
      <c r="D841" s="2"/>
      <c r="E841" s="2"/>
      <c r="F841" s="2"/>
      <c r="G841" s="27"/>
      <c r="H841" s="27"/>
      <c r="I841" s="27"/>
      <c r="J841" s="2"/>
      <c r="K841" s="2"/>
    </row>
    <row r="842">
      <c r="A842" s="2"/>
      <c r="B842" s="2"/>
      <c r="C842" s="2"/>
      <c r="D842" s="2"/>
      <c r="E842" s="2"/>
      <c r="F842" s="2"/>
      <c r="G842" s="27"/>
      <c r="H842" s="27"/>
      <c r="I842" s="27"/>
      <c r="J842" s="2"/>
      <c r="K842" s="2"/>
    </row>
    <row r="843">
      <c r="A843" s="2"/>
      <c r="B843" s="2"/>
      <c r="C843" s="2"/>
      <c r="D843" s="2"/>
      <c r="E843" s="2"/>
      <c r="F843" s="2"/>
      <c r="G843" s="27"/>
      <c r="H843" s="27"/>
      <c r="I843" s="27"/>
      <c r="J843" s="2"/>
      <c r="K843" s="2"/>
    </row>
    <row r="844">
      <c r="A844" s="2"/>
      <c r="B844" s="2"/>
      <c r="C844" s="2"/>
      <c r="D844" s="2"/>
      <c r="E844" s="2"/>
      <c r="F844" s="2"/>
      <c r="G844" s="27"/>
      <c r="H844" s="27"/>
      <c r="I844" s="27"/>
      <c r="J844" s="2"/>
      <c r="K844" s="2"/>
    </row>
    <row r="845">
      <c r="A845" s="2"/>
      <c r="B845" s="2"/>
      <c r="C845" s="2"/>
      <c r="D845" s="2"/>
      <c r="E845" s="2"/>
      <c r="F845" s="2"/>
      <c r="G845" s="27"/>
      <c r="H845" s="27"/>
      <c r="I845" s="27"/>
      <c r="J845" s="2"/>
      <c r="K845" s="2"/>
    </row>
    <row r="846">
      <c r="A846" s="2"/>
      <c r="B846" s="2"/>
      <c r="C846" s="2"/>
      <c r="D846" s="2"/>
      <c r="E846" s="2"/>
      <c r="F846" s="2"/>
      <c r="G846" s="27"/>
      <c r="H846" s="27"/>
      <c r="I846" s="27"/>
      <c r="J846" s="2"/>
      <c r="K846" s="2"/>
    </row>
    <row r="847">
      <c r="A847" s="2"/>
      <c r="B847" s="2"/>
      <c r="C847" s="2"/>
      <c r="D847" s="2"/>
      <c r="E847" s="2"/>
      <c r="F847" s="2"/>
      <c r="G847" s="27"/>
      <c r="H847" s="27"/>
      <c r="I847" s="27"/>
      <c r="J847" s="2"/>
      <c r="K847" s="2"/>
    </row>
    <row r="848">
      <c r="A848" s="2"/>
      <c r="B848" s="2"/>
      <c r="C848" s="2"/>
      <c r="D848" s="2"/>
      <c r="E848" s="2"/>
      <c r="F848" s="2"/>
      <c r="G848" s="27"/>
      <c r="H848" s="27"/>
      <c r="I848" s="27"/>
      <c r="J848" s="2"/>
      <c r="K848" s="2"/>
    </row>
    <row r="849">
      <c r="A849" s="2"/>
      <c r="B849" s="2"/>
      <c r="C849" s="2"/>
      <c r="D849" s="2"/>
      <c r="E849" s="2"/>
      <c r="F849" s="2"/>
      <c r="G849" s="27"/>
      <c r="H849" s="27"/>
      <c r="I849" s="27"/>
      <c r="J849" s="2"/>
      <c r="K849" s="2"/>
    </row>
    <row r="850">
      <c r="A850" s="2"/>
      <c r="B850" s="2"/>
      <c r="C850" s="2"/>
      <c r="D850" s="2"/>
      <c r="E850" s="2"/>
      <c r="F850" s="2"/>
      <c r="G850" s="27"/>
      <c r="H850" s="27"/>
      <c r="I850" s="27"/>
      <c r="J850" s="2"/>
      <c r="K850" s="2"/>
    </row>
    <row r="851">
      <c r="A851" s="2"/>
      <c r="B851" s="2"/>
      <c r="C851" s="2"/>
      <c r="D851" s="2"/>
      <c r="E851" s="2"/>
      <c r="F851" s="2"/>
      <c r="G851" s="27"/>
      <c r="H851" s="27"/>
      <c r="I851" s="27"/>
      <c r="J851" s="2"/>
      <c r="K851" s="2"/>
    </row>
    <row r="852">
      <c r="A852" s="2"/>
      <c r="B852" s="2"/>
      <c r="C852" s="2"/>
      <c r="D852" s="2"/>
      <c r="E852" s="2"/>
      <c r="F852" s="2"/>
      <c r="G852" s="27"/>
      <c r="H852" s="27"/>
      <c r="I852" s="27"/>
      <c r="J852" s="2"/>
      <c r="K852" s="2"/>
    </row>
    <row r="853">
      <c r="A853" s="2"/>
      <c r="B853" s="2"/>
      <c r="C853" s="2"/>
      <c r="D853" s="2"/>
      <c r="E853" s="2"/>
      <c r="F853" s="2"/>
      <c r="G853" s="27"/>
      <c r="H853" s="27"/>
      <c r="I853" s="27"/>
      <c r="J853" s="2"/>
      <c r="K853" s="2"/>
    </row>
    <row r="854">
      <c r="A854" s="2"/>
      <c r="B854" s="2"/>
      <c r="C854" s="2"/>
      <c r="D854" s="2"/>
      <c r="E854" s="2"/>
      <c r="F854" s="2"/>
      <c r="G854" s="27"/>
      <c r="H854" s="27"/>
      <c r="I854" s="27"/>
      <c r="J854" s="2"/>
      <c r="K854" s="2"/>
    </row>
    <row r="855">
      <c r="A855" s="2"/>
      <c r="B855" s="2"/>
      <c r="C855" s="2"/>
      <c r="D855" s="2"/>
      <c r="E855" s="2"/>
      <c r="F855" s="2"/>
      <c r="G855" s="27"/>
      <c r="H855" s="27"/>
      <c r="I855" s="27"/>
      <c r="J855" s="2"/>
      <c r="K855" s="2"/>
    </row>
    <row r="856">
      <c r="A856" s="2"/>
      <c r="B856" s="2"/>
      <c r="C856" s="2"/>
      <c r="D856" s="2"/>
      <c r="E856" s="2"/>
      <c r="F856" s="2"/>
      <c r="G856" s="27"/>
      <c r="H856" s="27"/>
      <c r="I856" s="27"/>
      <c r="J856" s="2"/>
      <c r="K856" s="2"/>
    </row>
    <row r="857">
      <c r="A857" s="2"/>
      <c r="B857" s="2"/>
      <c r="C857" s="2"/>
      <c r="D857" s="2"/>
      <c r="E857" s="2"/>
      <c r="F857" s="2"/>
      <c r="G857" s="27"/>
      <c r="H857" s="27"/>
      <c r="I857" s="27"/>
      <c r="J857" s="2"/>
      <c r="K857" s="2"/>
    </row>
    <row r="858">
      <c r="A858" s="2"/>
      <c r="B858" s="2"/>
      <c r="C858" s="2"/>
      <c r="D858" s="2"/>
      <c r="E858" s="2"/>
      <c r="F858" s="2"/>
      <c r="G858" s="27"/>
      <c r="H858" s="27"/>
      <c r="I858" s="27"/>
      <c r="J858" s="2"/>
      <c r="K858" s="2"/>
    </row>
    <row r="859">
      <c r="A859" s="2"/>
      <c r="B859" s="2"/>
      <c r="C859" s="2"/>
      <c r="D859" s="2"/>
      <c r="E859" s="2"/>
      <c r="F859" s="2"/>
      <c r="G859" s="27"/>
      <c r="H859" s="27"/>
      <c r="I859" s="27"/>
      <c r="J859" s="2"/>
      <c r="K859" s="2"/>
    </row>
    <row r="860">
      <c r="A860" s="2"/>
      <c r="B860" s="2"/>
      <c r="C860" s="2"/>
      <c r="D860" s="2"/>
      <c r="E860" s="2"/>
      <c r="F860" s="2"/>
      <c r="G860" s="27"/>
      <c r="H860" s="27"/>
      <c r="I860" s="27"/>
      <c r="J860" s="2"/>
      <c r="K860" s="2"/>
    </row>
    <row r="861">
      <c r="A861" s="2"/>
      <c r="B861" s="2"/>
      <c r="C861" s="2"/>
      <c r="D861" s="2"/>
      <c r="E861" s="2"/>
      <c r="F861" s="2"/>
      <c r="G861" s="27"/>
      <c r="H861" s="27"/>
      <c r="I861" s="27"/>
      <c r="J861" s="2"/>
      <c r="K861" s="2"/>
    </row>
    <row r="862">
      <c r="A862" s="2"/>
      <c r="B862" s="2"/>
      <c r="C862" s="2"/>
      <c r="D862" s="2"/>
      <c r="E862" s="2"/>
      <c r="F862" s="2"/>
      <c r="G862" s="27"/>
      <c r="H862" s="27"/>
      <c r="I862" s="27"/>
      <c r="J862" s="2"/>
      <c r="K862" s="2"/>
    </row>
    <row r="863">
      <c r="A863" s="2"/>
      <c r="B863" s="2"/>
      <c r="C863" s="2"/>
      <c r="D863" s="2"/>
      <c r="E863" s="2"/>
      <c r="F863" s="2"/>
      <c r="G863" s="27"/>
      <c r="H863" s="27"/>
      <c r="I863" s="27"/>
      <c r="J863" s="2"/>
      <c r="K863" s="2"/>
    </row>
    <row r="864">
      <c r="A864" s="2"/>
      <c r="B864" s="2"/>
      <c r="C864" s="2"/>
      <c r="D864" s="2"/>
      <c r="E864" s="2"/>
      <c r="F864" s="2"/>
      <c r="G864" s="27"/>
      <c r="H864" s="27"/>
      <c r="I864" s="27"/>
      <c r="J864" s="2"/>
      <c r="K864" s="2"/>
    </row>
    <row r="865">
      <c r="A865" s="2"/>
      <c r="B865" s="2"/>
      <c r="C865" s="2"/>
      <c r="D865" s="2"/>
      <c r="E865" s="2"/>
      <c r="F865" s="2"/>
      <c r="G865" s="27"/>
      <c r="H865" s="27"/>
      <c r="I865" s="27"/>
      <c r="J865" s="2"/>
      <c r="K865" s="2"/>
    </row>
    <row r="866">
      <c r="A866" s="2"/>
      <c r="B866" s="2"/>
      <c r="C866" s="2"/>
      <c r="D866" s="2"/>
      <c r="E866" s="2"/>
      <c r="F866" s="2"/>
      <c r="G866" s="27"/>
      <c r="H866" s="27"/>
      <c r="I866" s="27"/>
      <c r="J866" s="2"/>
      <c r="K866" s="2"/>
    </row>
    <row r="867">
      <c r="A867" s="2"/>
      <c r="B867" s="2"/>
      <c r="C867" s="2"/>
      <c r="D867" s="2"/>
      <c r="E867" s="2"/>
      <c r="F867" s="2"/>
      <c r="G867" s="27"/>
      <c r="H867" s="27"/>
      <c r="I867" s="27"/>
      <c r="J867" s="2"/>
      <c r="K867" s="2"/>
    </row>
    <row r="868">
      <c r="A868" s="2"/>
      <c r="B868" s="2"/>
      <c r="C868" s="2"/>
      <c r="D868" s="2"/>
      <c r="E868" s="2"/>
      <c r="F868" s="2"/>
      <c r="G868" s="27"/>
      <c r="H868" s="27"/>
      <c r="I868" s="27"/>
      <c r="J868" s="2"/>
      <c r="K868" s="2"/>
    </row>
    <row r="869">
      <c r="A869" s="2"/>
      <c r="B869" s="2"/>
      <c r="C869" s="2"/>
      <c r="D869" s="2"/>
      <c r="E869" s="2"/>
      <c r="F869" s="2"/>
      <c r="G869" s="27"/>
      <c r="H869" s="27"/>
      <c r="I869" s="27"/>
      <c r="J869" s="2"/>
      <c r="K869" s="2"/>
    </row>
    <row r="870">
      <c r="A870" s="2"/>
      <c r="B870" s="2"/>
      <c r="C870" s="2"/>
      <c r="D870" s="2"/>
      <c r="E870" s="2"/>
      <c r="F870" s="2"/>
      <c r="G870" s="27"/>
      <c r="H870" s="27"/>
      <c r="I870" s="27"/>
      <c r="J870" s="2"/>
      <c r="K870" s="2"/>
    </row>
    <row r="871">
      <c r="A871" s="2"/>
      <c r="B871" s="2"/>
      <c r="C871" s="2"/>
      <c r="D871" s="2"/>
      <c r="E871" s="2"/>
      <c r="F871" s="2"/>
      <c r="G871" s="27"/>
      <c r="H871" s="27"/>
      <c r="I871" s="27"/>
      <c r="J871" s="2"/>
      <c r="K871" s="2"/>
    </row>
    <row r="872">
      <c r="A872" s="2"/>
      <c r="B872" s="2"/>
      <c r="C872" s="2"/>
      <c r="D872" s="2"/>
      <c r="E872" s="2"/>
      <c r="F872" s="2"/>
      <c r="G872" s="27"/>
      <c r="H872" s="27"/>
      <c r="I872" s="27"/>
      <c r="J872" s="2"/>
      <c r="K872" s="2"/>
    </row>
    <row r="873">
      <c r="A873" s="2"/>
      <c r="B873" s="2"/>
      <c r="C873" s="2"/>
      <c r="D873" s="2"/>
      <c r="E873" s="2"/>
      <c r="F873" s="2"/>
      <c r="G873" s="27"/>
      <c r="H873" s="27"/>
      <c r="I873" s="27"/>
      <c r="J873" s="2"/>
      <c r="K873" s="2"/>
    </row>
    <row r="874">
      <c r="A874" s="2"/>
      <c r="B874" s="2"/>
      <c r="C874" s="2"/>
      <c r="D874" s="2"/>
      <c r="E874" s="2"/>
      <c r="F874" s="2"/>
      <c r="G874" s="27"/>
      <c r="H874" s="27"/>
      <c r="I874" s="27"/>
      <c r="J874" s="2"/>
      <c r="K874" s="2"/>
    </row>
    <row r="875">
      <c r="A875" s="2"/>
      <c r="B875" s="2"/>
      <c r="C875" s="2"/>
      <c r="D875" s="2"/>
      <c r="E875" s="2"/>
      <c r="F875" s="2"/>
      <c r="G875" s="27"/>
      <c r="H875" s="27"/>
      <c r="I875" s="27"/>
      <c r="J875" s="2"/>
      <c r="K875" s="2"/>
    </row>
    <row r="876">
      <c r="A876" s="2"/>
      <c r="B876" s="2"/>
      <c r="C876" s="2"/>
      <c r="D876" s="2"/>
      <c r="E876" s="2"/>
      <c r="F876" s="2"/>
      <c r="G876" s="27"/>
      <c r="H876" s="27"/>
      <c r="I876" s="27"/>
      <c r="J876" s="2"/>
      <c r="K876" s="2"/>
    </row>
    <row r="877">
      <c r="A877" s="2"/>
      <c r="B877" s="2"/>
      <c r="C877" s="2"/>
      <c r="D877" s="2"/>
      <c r="E877" s="2"/>
      <c r="F877" s="2"/>
      <c r="G877" s="27"/>
      <c r="H877" s="27"/>
      <c r="I877" s="27"/>
      <c r="J877" s="2"/>
      <c r="K877" s="2"/>
    </row>
    <row r="878">
      <c r="A878" s="2"/>
      <c r="B878" s="2"/>
      <c r="C878" s="2"/>
      <c r="D878" s="2"/>
      <c r="E878" s="2"/>
      <c r="F878" s="2"/>
      <c r="G878" s="27"/>
      <c r="H878" s="27"/>
      <c r="I878" s="27"/>
      <c r="J878" s="2"/>
      <c r="K878" s="2"/>
    </row>
    <row r="879">
      <c r="A879" s="2"/>
      <c r="B879" s="2"/>
      <c r="C879" s="2"/>
      <c r="D879" s="2"/>
      <c r="E879" s="2"/>
      <c r="F879" s="2"/>
      <c r="G879" s="27"/>
      <c r="H879" s="27"/>
      <c r="I879" s="27"/>
      <c r="J879" s="2"/>
      <c r="K879" s="2"/>
    </row>
    <row r="880">
      <c r="A880" s="2"/>
      <c r="B880" s="2"/>
      <c r="C880" s="2"/>
      <c r="D880" s="2"/>
      <c r="E880" s="2"/>
      <c r="F880" s="2"/>
      <c r="G880" s="27"/>
      <c r="H880" s="27"/>
      <c r="I880" s="27"/>
      <c r="J880" s="2"/>
      <c r="K880" s="2"/>
    </row>
    <row r="881">
      <c r="A881" s="2"/>
      <c r="B881" s="2"/>
      <c r="C881" s="2"/>
      <c r="D881" s="2"/>
      <c r="E881" s="2"/>
      <c r="F881" s="2"/>
      <c r="G881" s="27"/>
      <c r="H881" s="27"/>
      <c r="I881" s="27"/>
      <c r="J881" s="2"/>
      <c r="K881" s="2"/>
    </row>
    <row r="882">
      <c r="A882" s="2"/>
      <c r="B882" s="2"/>
      <c r="C882" s="2"/>
      <c r="D882" s="2"/>
      <c r="E882" s="2"/>
      <c r="F882" s="2"/>
      <c r="G882" s="27"/>
      <c r="H882" s="27"/>
      <c r="I882" s="27"/>
      <c r="J882" s="2"/>
      <c r="K882" s="2"/>
    </row>
    <row r="883">
      <c r="A883" s="2"/>
      <c r="B883" s="2"/>
      <c r="C883" s="2"/>
      <c r="D883" s="2"/>
      <c r="E883" s="2"/>
      <c r="F883" s="2"/>
      <c r="G883" s="27"/>
      <c r="H883" s="27"/>
      <c r="I883" s="27"/>
      <c r="J883" s="2"/>
      <c r="K883" s="2"/>
    </row>
    <row r="884">
      <c r="A884" s="2"/>
      <c r="B884" s="2"/>
      <c r="C884" s="2"/>
      <c r="D884" s="2"/>
      <c r="E884" s="2"/>
      <c r="F884" s="2"/>
      <c r="G884" s="27"/>
      <c r="H884" s="27"/>
      <c r="I884" s="27"/>
      <c r="J884" s="2"/>
      <c r="K884" s="2"/>
    </row>
    <row r="885">
      <c r="A885" s="2"/>
      <c r="B885" s="2"/>
      <c r="C885" s="2"/>
      <c r="D885" s="2"/>
      <c r="E885" s="2"/>
      <c r="F885" s="2"/>
      <c r="G885" s="27"/>
      <c r="H885" s="27"/>
      <c r="I885" s="27"/>
      <c r="J885" s="2"/>
      <c r="K885" s="2"/>
    </row>
    <row r="886">
      <c r="A886" s="2"/>
      <c r="B886" s="2"/>
      <c r="C886" s="2"/>
      <c r="D886" s="2"/>
      <c r="E886" s="2"/>
      <c r="F886" s="2"/>
      <c r="G886" s="27"/>
      <c r="H886" s="27"/>
      <c r="I886" s="27"/>
      <c r="J886" s="2"/>
      <c r="K886" s="2"/>
    </row>
    <row r="887">
      <c r="A887" s="2"/>
      <c r="B887" s="2"/>
      <c r="C887" s="2"/>
      <c r="D887" s="2"/>
      <c r="E887" s="2"/>
      <c r="F887" s="2"/>
      <c r="G887" s="27"/>
      <c r="H887" s="27"/>
      <c r="I887" s="27"/>
      <c r="J887" s="2"/>
      <c r="K887" s="2"/>
    </row>
    <row r="888">
      <c r="A888" s="2"/>
      <c r="B888" s="2"/>
      <c r="C888" s="2"/>
      <c r="D888" s="2"/>
      <c r="E888" s="2"/>
      <c r="F888" s="2"/>
      <c r="G888" s="27"/>
      <c r="H888" s="27"/>
      <c r="I888" s="27"/>
      <c r="J888" s="2"/>
      <c r="K888" s="2"/>
    </row>
    <row r="889">
      <c r="A889" s="2"/>
      <c r="B889" s="2"/>
      <c r="C889" s="2"/>
      <c r="D889" s="2"/>
      <c r="E889" s="2"/>
      <c r="F889" s="2"/>
      <c r="G889" s="27"/>
      <c r="H889" s="27"/>
      <c r="I889" s="27"/>
      <c r="J889" s="2"/>
      <c r="K889" s="2"/>
    </row>
    <row r="890">
      <c r="A890" s="2"/>
      <c r="B890" s="2"/>
      <c r="C890" s="2"/>
      <c r="D890" s="2"/>
      <c r="E890" s="2"/>
      <c r="F890" s="2"/>
      <c r="G890" s="27"/>
      <c r="H890" s="27"/>
      <c r="I890" s="27"/>
      <c r="J890" s="2"/>
      <c r="K890" s="2"/>
    </row>
    <row r="891">
      <c r="A891" s="2"/>
      <c r="B891" s="2"/>
      <c r="C891" s="2"/>
      <c r="D891" s="2"/>
      <c r="E891" s="2"/>
      <c r="F891" s="2"/>
      <c r="G891" s="27"/>
      <c r="H891" s="27"/>
      <c r="I891" s="27"/>
      <c r="J891" s="2"/>
      <c r="K891" s="2"/>
    </row>
    <row r="892">
      <c r="A892" s="2"/>
      <c r="B892" s="2"/>
      <c r="C892" s="2"/>
      <c r="D892" s="2"/>
      <c r="E892" s="2"/>
      <c r="F892" s="2"/>
      <c r="G892" s="27"/>
      <c r="H892" s="27"/>
      <c r="I892" s="27"/>
      <c r="J892" s="2"/>
      <c r="K892" s="2"/>
    </row>
    <row r="893">
      <c r="A893" s="2"/>
      <c r="B893" s="2"/>
      <c r="C893" s="2"/>
      <c r="D893" s="2"/>
      <c r="E893" s="2"/>
      <c r="F893" s="2"/>
      <c r="G893" s="27"/>
      <c r="H893" s="27"/>
      <c r="I893" s="27"/>
      <c r="J893" s="2"/>
      <c r="K893" s="2"/>
    </row>
    <row r="894">
      <c r="A894" s="2"/>
      <c r="B894" s="2"/>
      <c r="C894" s="2"/>
      <c r="D894" s="2"/>
      <c r="E894" s="2"/>
      <c r="F894" s="2"/>
      <c r="G894" s="27"/>
      <c r="H894" s="27"/>
      <c r="I894" s="27"/>
      <c r="J894" s="2"/>
      <c r="K894" s="2"/>
    </row>
    <row r="895">
      <c r="A895" s="2"/>
      <c r="B895" s="2"/>
      <c r="C895" s="2"/>
      <c r="D895" s="2"/>
      <c r="E895" s="2"/>
      <c r="F895" s="2"/>
      <c r="G895" s="27"/>
      <c r="H895" s="27"/>
      <c r="I895" s="27"/>
      <c r="J895" s="2"/>
      <c r="K895" s="2"/>
    </row>
    <row r="896">
      <c r="A896" s="2"/>
      <c r="B896" s="2"/>
      <c r="C896" s="2"/>
      <c r="D896" s="2"/>
      <c r="E896" s="2"/>
      <c r="F896" s="2"/>
      <c r="G896" s="27"/>
      <c r="H896" s="27"/>
      <c r="I896" s="27"/>
      <c r="J896" s="2"/>
      <c r="K896" s="2"/>
    </row>
    <row r="897">
      <c r="A897" s="2"/>
      <c r="B897" s="2"/>
      <c r="C897" s="2"/>
      <c r="D897" s="2"/>
      <c r="E897" s="2"/>
      <c r="F897" s="2"/>
      <c r="G897" s="27"/>
      <c r="H897" s="27"/>
      <c r="I897" s="27"/>
      <c r="J897" s="2"/>
      <c r="K897" s="2"/>
    </row>
    <row r="898">
      <c r="A898" s="2"/>
      <c r="B898" s="2"/>
      <c r="C898" s="2"/>
      <c r="D898" s="2"/>
      <c r="E898" s="2"/>
      <c r="F898" s="2"/>
      <c r="G898" s="27"/>
      <c r="H898" s="27"/>
      <c r="I898" s="27"/>
      <c r="J898" s="2"/>
      <c r="K898" s="2"/>
    </row>
    <row r="899">
      <c r="A899" s="2"/>
      <c r="B899" s="2"/>
      <c r="C899" s="2"/>
      <c r="D899" s="2"/>
      <c r="E899" s="2"/>
      <c r="F899" s="2"/>
      <c r="G899" s="27"/>
      <c r="H899" s="27"/>
      <c r="I899" s="27"/>
      <c r="J899" s="2"/>
      <c r="K899" s="2"/>
    </row>
    <row r="900">
      <c r="A900" s="2"/>
      <c r="B900" s="2"/>
      <c r="C900" s="2"/>
      <c r="D900" s="2"/>
      <c r="E900" s="2"/>
      <c r="F900" s="2"/>
      <c r="G900" s="27"/>
      <c r="H900" s="27"/>
      <c r="I900" s="27"/>
      <c r="J900" s="2"/>
      <c r="K900" s="2"/>
    </row>
    <row r="901">
      <c r="A901" s="2"/>
      <c r="B901" s="2"/>
      <c r="C901" s="2"/>
      <c r="D901" s="2"/>
      <c r="E901" s="2"/>
      <c r="F901" s="2"/>
      <c r="G901" s="27"/>
      <c r="H901" s="27"/>
      <c r="I901" s="27"/>
      <c r="J901" s="2"/>
      <c r="K901" s="2"/>
    </row>
    <row r="902">
      <c r="A902" s="2"/>
      <c r="B902" s="2"/>
      <c r="C902" s="2"/>
      <c r="D902" s="2"/>
      <c r="E902" s="2"/>
      <c r="F902" s="2"/>
      <c r="G902" s="27"/>
      <c r="H902" s="27"/>
      <c r="I902" s="27"/>
      <c r="J902" s="2"/>
      <c r="K902" s="2"/>
    </row>
    <row r="903">
      <c r="A903" s="2"/>
      <c r="B903" s="2"/>
      <c r="C903" s="2"/>
      <c r="D903" s="2"/>
      <c r="E903" s="2"/>
      <c r="F903" s="2"/>
      <c r="G903" s="27"/>
      <c r="H903" s="27"/>
      <c r="I903" s="27"/>
      <c r="J903" s="2"/>
      <c r="K903" s="2"/>
    </row>
    <row r="904">
      <c r="A904" s="2"/>
      <c r="B904" s="2"/>
      <c r="C904" s="2"/>
      <c r="D904" s="2"/>
      <c r="E904" s="2"/>
      <c r="F904" s="2"/>
      <c r="G904" s="27"/>
      <c r="H904" s="27"/>
      <c r="I904" s="27"/>
      <c r="J904" s="2"/>
      <c r="K904" s="2"/>
    </row>
    <row r="905">
      <c r="A905" s="2"/>
      <c r="B905" s="2"/>
      <c r="C905" s="2"/>
      <c r="D905" s="2"/>
      <c r="E905" s="2"/>
      <c r="F905" s="2"/>
      <c r="G905" s="27"/>
      <c r="H905" s="27"/>
      <c r="I905" s="27"/>
      <c r="J905" s="2"/>
      <c r="K905" s="2"/>
    </row>
    <row r="906">
      <c r="A906" s="2"/>
      <c r="B906" s="2"/>
      <c r="C906" s="2"/>
      <c r="D906" s="2"/>
      <c r="E906" s="2"/>
      <c r="F906" s="2"/>
      <c r="G906" s="27"/>
      <c r="H906" s="27"/>
      <c r="I906" s="27"/>
      <c r="J906" s="2"/>
      <c r="K906" s="2"/>
    </row>
    <row r="907">
      <c r="A907" s="2"/>
      <c r="B907" s="2"/>
      <c r="C907" s="2"/>
      <c r="D907" s="2"/>
      <c r="E907" s="2"/>
      <c r="F907" s="2"/>
      <c r="G907" s="27"/>
      <c r="H907" s="27"/>
      <c r="I907" s="27"/>
      <c r="J907" s="2"/>
      <c r="K907" s="2"/>
    </row>
    <row r="908">
      <c r="A908" s="2"/>
      <c r="B908" s="2"/>
      <c r="C908" s="2"/>
      <c r="D908" s="2"/>
      <c r="E908" s="2"/>
      <c r="F908" s="2"/>
      <c r="G908" s="27"/>
      <c r="H908" s="27"/>
      <c r="I908" s="27"/>
      <c r="J908" s="2"/>
      <c r="K908" s="2"/>
    </row>
    <row r="909">
      <c r="A909" s="2"/>
      <c r="B909" s="2"/>
      <c r="C909" s="2"/>
      <c r="D909" s="2"/>
      <c r="E909" s="2"/>
      <c r="F909" s="2"/>
      <c r="G909" s="27"/>
      <c r="H909" s="27"/>
      <c r="I909" s="27"/>
      <c r="J909" s="2"/>
      <c r="K909" s="2"/>
    </row>
    <row r="910">
      <c r="A910" s="2"/>
      <c r="B910" s="2"/>
      <c r="C910" s="2"/>
      <c r="D910" s="2"/>
      <c r="E910" s="2"/>
      <c r="F910" s="2"/>
      <c r="G910" s="27"/>
      <c r="H910" s="27"/>
      <c r="I910" s="27"/>
      <c r="J910" s="2"/>
      <c r="K910" s="2"/>
    </row>
    <row r="911">
      <c r="A911" s="2"/>
      <c r="B911" s="2"/>
      <c r="C911" s="2"/>
      <c r="D911" s="2"/>
      <c r="E911" s="2"/>
      <c r="F911" s="2"/>
      <c r="G911" s="27"/>
      <c r="H911" s="27"/>
      <c r="I911" s="27"/>
      <c r="J911" s="2"/>
      <c r="K911" s="2"/>
    </row>
    <row r="912">
      <c r="A912" s="2"/>
      <c r="B912" s="2"/>
      <c r="C912" s="2"/>
      <c r="D912" s="2"/>
      <c r="E912" s="2"/>
      <c r="F912" s="2"/>
      <c r="G912" s="27"/>
      <c r="H912" s="27"/>
      <c r="I912" s="27"/>
      <c r="J912" s="2"/>
      <c r="K912" s="2"/>
    </row>
    <row r="913">
      <c r="A913" s="2"/>
      <c r="B913" s="2"/>
      <c r="C913" s="2"/>
      <c r="D913" s="2"/>
      <c r="E913" s="2"/>
      <c r="F913" s="2"/>
      <c r="G913" s="27"/>
      <c r="H913" s="27"/>
      <c r="I913" s="27"/>
      <c r="J913" s="2"/>
      <c r="K913" s="2"/>
    </row>
    <row r="914">
      <c r="A914" s="2"/>
      <c r="B914" s="2"/>
      <c r="C914" s="2"/>
      <c r="D914" s="2"/>
      <c r="E914" s="2"/>
      <c r="F914" s="2"/>
      <c r="G914" s="27"/>
      <c r="H914" s="27"/>
      <c r="I914" s="27"/>
      <c r="J914" s="2"/>
      <c r="K914" s="2"/>
    </row>
    <row r="915">
      <c r="A915" s="2"/>
      <c r="B915" s="2"/>
      <c r="C915" s="2"/>
      <c r="D915" s="2"/>
      <c r="E915" s="2"/>
      <c r="F915" s="2"/>
      <c r="G915" s="27"/>
      <c r="H915" s="27"/>
      <c r="I915" s="27"/>
      <c r="J915" s="2"/>
      <c r="K915" s="2"/>
    </row>
    <row r="916">
      <c r="A916" s="2"/>
      <c r="B916" s="2"/>
      <c r="C916" s="2"/>
      <c r="D916" s="2"/>
      <c r="E916" s="2"/>
      <c r="F916" s="2"/>
      <c r="G916" s="27"/>
      <c r="H916" s="27"/>
      <c r="I916" s="27"/>
      <c r="J916" s="2"/>
      <c r="K916" s="2"/>
    </row>
    <row r="917">
      <c r="A917" s="2"/>
      <c r="B917" s="2"/>
      <c r="C917" s="2"/>
      <c r="D917" s="2"/>
      <c r="E917" s="2"/>
      <c r="F917" s="2"/>
      <c r="G917" s="27"/>
      <c r="H917" s="27"/>
      <c r="I917" s="27"/>
      <c r="J917" s="2"/>
      <c r="K917" s="2"/>
    </row>
    <row r="918">
      <c r="A918" s="2"/>
      <c r="B918" s="2"/>
      <c r="C918" s="2"/>
      <c r="D918" s="2"/>
      <c r="E918" s="2"/>
      <c r="F918" s="2"/>
      <c r="G918" s="27"/>
      <c r="H918" s="27"/>
      <c r="I918" s="27"/>
      <c r="J918" s="2"/>
      <c r="K918" s="2"/>
    </row>
    <row r="919">
      <c r="A919" s="2"/>
      <c r="B919" s="2"/>
      <c r="C919" s="2"/>
      <c r="D919" s="2"/>
      <c r="E919" s="2"/>
      <c r="F919" s="2"/>
      <c r="G919" s="27"/>
      <c r="H919" s="27"/>
      <c r="I919" s="27"/>
      <c r="J919" s="2"/>
      <c r="K919" s="2"/>
    </row>
    <row r="920">
      <c r="A920" s="2"/>
      <c r="B920" s="2"/>
      <c r="C920" s="2"/>
      <c r="D920" s="2"/>
      <c r="E920" s="2"/>
      <c r="F920" s="2"/>
      <c r="G920" s="27"/>
      <c r="H920" s="27"/>
      <c r="I920" s="27"/>
      <c r="J920" s="2"/>
      <c r="K920" s="2"/>
    </row>
    <row r="921">
      <c r="A921" s="2"/>
      <c r="B921" s="2"/>
      <c r="C921" s="2"/>
      <c r="D921" s="2"/>
      <c r="E921" s="2"/>
      <c r="F921" s="2"/>
      <c r="G921" s="27"/>
      <c r="H921" s="27"/>
      <c r="I921" s="27"/>
      <c r="J921" s="2"/>
      <c r="K921" s="2"/>
    </row>
    <row r="922">
      <c r="A922" s="2"/>
      <c r="B922" s="2"/>
      <c r="C922" s="2"/>
      <c r="D922" s="2"/>
      <c r="E922" s="2"/>
      <c r="F922" s="2"/>
      <c r="G922" s="27"/>
      <c r="H922" s="27"/>
      <c r="I922" s="27"/>
      <c r="J922" s="2"/>
      <c r="K922" s="2"/>
    </row>
    <row r="923">
      <c r="A923" s="2"/>
      <c r="B923" s="2"/>
      <c r="C923" s="2"/>
      <c r="D923" s="2"/>
      <c r="E923" s="2"/>
      <c r="F923" s="2"/>
      <c r="G923" s="27"/>
      <c r="H923" s="27"/>
      <c r="I923" s="27"/>
      <c r="J923" s="2"/>
      <c r="K923" s="2"/>
    </row>
    <row r="924">
      <c r="A924" s="2"/>
      <c r="B924" s="2"/>
      <c r="C924" s="2"/>
      <c r="D924" s="2"/>
      <c r="E924" s="2"/>
      <c r="F924" s="2"/>
      <c r="G924" s="27"/>
      <c r="H924" s="27"/>
      <c r="I924" s="27"/>
      <c r="J924" s="2"/>
      <c r="K924" s="2"/>
    </row>
    <row r="925">
      <c r="A925" s="2"/>
      <c r="B925" s="2"/>
      <c r="C925" s="2"/>
      <c r="D925" s="2"/>
      <c r="E925" s="2"/>
      <c r="F925" s="2"/>
      <c r="G925" s="27"/>
      <c r="H925" s="27"/>
      <c r="I925" s="27"/>
      <c r="J925" s="2"/>
      <c r="K925" s="2"/>
    </row>
    <row r="926">
      <c r="A926" s="2"/>
      <c r="B926" s="2"/>
      <c r="C926" s="2"/>
      <c r="D926" s="2"/>
      <c r="E926" s="2"/>
      <c r="F926" s="2"/>
      <c r="G926" s="27"/>
      <c r="H926" s="27"/>
      <c r="I926" s="27"/>
      <c r="J926" s="2"/>
      <c r="K926" s="2"/>
    </row>
    <row r="927">
      <c r="A927" s="2"/>
      <c r="B927" s="2"/>
      <c r="C927" s="2"/>
      <c r="D927" s="2"/>
      <c r="E927" s="2"/>
      <c r="F927" s="2"/>
      <c r="G927" s="27"/>
      <c r="H927" s="27"/>
      <c r="I927" s="27"/>
      <c r="J927" s="2"/>
      <c r="K927" s="2"/>
    </row>
    <row r="928">
      <c r="A928" s="2"/>
      <c r="B928" s="2"/>
      <c r="C928" s="2"/>
      <c r="D928" s="2"/>
      <c r="E928" s="2"/>
      <c r="F928" s="2"/>
      <c r="G928" s="27"/>
      <c r="H928" s="27"/>
      <c r="I928" s="27"/>
      <c r="J928" s="2"/>
      <c r="K928" s="2"/>
    </row>
    <row r="929">
      <c r="A929" s="2"/>
      <c r="B929" s="2"/>
      <c r="C929" s="2"/>
      <c r="D929" s="2"/>
      <c r="E929" s="2"/>
      <c r="F929" s="2"/>
      <c r="G929" s="27"/>
      <c r="H929" s="27"/>
      <c r="I929" s="27"/>
      <c r="J929" s="2"/>
      <c r="K929" s="2"/>
    </row>
    <row r="930">
      <c r="A930" s="2"/>
      <c r="B930" s="2"/>
      <c r="C930" s="2"/>
      <c r="D930" s="2"/>
      <c r="E930" s="2"/>
      <c r="F930" s="2"/>
      <c r="G930" s="27"/>
      <c r="H930" s="27"/>
      <c r="I930" s="27"/>
      <c r="J930" s="2"/>
      <c r="K930" s="2"/>
    </row>
    <row r="931">
      <c r="A931" s="2"/>
      <c r="B931" s="2"/>
      <c r="C931" s="2"/>
      <c r="D931" s="2"/>
      <c r="E931" s="2"/>
      <c r="F931" s="2"/>
      <c r="G931" s="27"/>
      <c r="H931" s="27"/>
      <c r="I931" s="27"/>
      <c r="J931" s="2"/>
      <c r="K931" s="2"/>
    </row>
    <row r="932">
      <c r="A932" s="2"/>
      <c r="B932" s="2"/>
      <c r="C932" s="2"/>
      <c r="D932" s="2"/>
      <c r="E932" s="2"/>
      <c r="F932" s="2"/>
      <c r="G932" s="27"/>
      <c r="H932" s="27"/>
      <c r="I932" s="27"/>
      <c r="J932" s="2"/>
      <c r="K932" s="2"/>
    </row>
    <row r="933">
      <c r="A933" s="2"/>
      <c r="B933" s="2"/>
      <c r="C933" s="2"/>
      <c r="D933" s="2"/>
      <c r="E933" s="2"/>
      <c r="F933" s="2"/>
      <c r="G933" s="27"/>
      <c r="H933" s="27"/>
      <c r="I933" s="27"/>
      <c r="J933" s="2"/>
      <c r="K933" s="2"/>
    </row>
    <row r="934">
      <c r="A934" s="2"/>
      <c r="B934" s="2"/>
      <c r="C934" s="2"/>
      <c r="D934" s="2"/>
      <c r="E934" s="2"/>
      <c r="F934" s="2"/>
      <c r="G934" s="27"/>
      <c r="H934" s="27"/>
      <c r="I934" s="27"/>
      <c r="J934" s="2"/>
      <c r="K934" s="2"/>
    </row>
    <row r="935">
      <c r="A935" s="2"/>
      <c r="B935" s="2"/>
      <c r="C935" s="2"/>
      <c r="D935" s="2"/>
      <c r="E935" s="2"/>
      <c r="F935" s="2"/>
      <c r="G935" s="27"/>
      <c r="H935" s="27"/>
      <c r="I935" s="27"/>
      <c r="J935" s="2"/>
      <c r="K935" s="2"/>
    </row>
    <row r="936">
      <c r="A936" s="2"/>
      <c r="B936" s="2"/>
      <c r="C936" s="2"/>
      <c r="D936" s="2"/>
      <c r="E936" s="2"/>
      <c r="F936" s="2"/>
      <c r="G936" s="27"/>
      <c r="H936" s="27"/>
      <c r="I936" s="27"/>
      <c r="J936" s="2"/>
      <c r="K936" s="2"/>
    </row>
    <row r="937">
      <c r="A937" s="2"/>
      <c r="B937" s="2"/>
      <c r="C937" s="2"/>
      <c r="D937" s="2"/>
      <c r="E937" s="2"/>
      <c r="F937" s="2"/>
      <c r="G937" s="27"/>
      <c r="H937" s="27"/>
      <c r="I937" s="27"/>
      <c r="J937" s="2"/>
      <c r="K937" s="2"/>
    </row>
    <row r="938">
      <c r="A938" s="2"/>
      <c r="B938" s="2"/>
      <c r="C938" s="2"/>
      <c r="D938" s="2"/>
      <c r="E938" s="2"/>
      <c r="F938" s="2"/>
      <c r="G938" s="27"/>
      <c r="H938" s="27"/>
      <c r="I938" s="27"/>
      <c r="J938" s="2"/>
      <c r="K938" s="2"/>
    </row>
    <row r="939">
      <c r="A939" s="2"/>
      <c r="B939" s="2"/>
      <c r="C939" s="2"/>
      <c r="D939" s="2"/>
      <c r="E939" s="2"/>
      <c r="F939" s="2"/>
      <c r="G939" s="27"/>
      <c r="H939" s="27"/>
      <c r="I939" s="27"/>
      <c r="J939" s="2"/>
      <c r="K939" s="2"/>
    </row>
    <row r="940">
      <c r="A940" s="2"/>
      <c r="B940" s="2"/>
      <c r="C940" s="2"/>
      <c r="D940" s="2"/>
      <c r="E940" s="2"/>
      <c r="F940" s="2"/>
      <c r="G940" s="27"/>
      <c r="H940" s="27"/>
      <c r="I940" s="27"/>
      <c r="J940" s="2"/>
      <c r="K940" s="2"/>
    </row>
    <row r="941">
      <c r="A941" s="2"/>
      <c r="B941" s="2"/>
      <c r="C941" s="2"/>
      <c r="D941" s="2"/>
      <c r="E941" s="2"/>
      <c r="F941" s="2"/>
      <c r="G941" s="27"/>
      <c r="H941" s="27"/>
      <c r="I941" s="27"/>
      <c r="J941" s="2"/>
      <c r="K941" s="2"/>
    </row>
    <row r="942">
      <c r="A942" s="2"/>
      <c r="B942" s="2"/>
      <c r="C942" s="2"/>
      <c r="D942" s="2"/>
      <c r="E942" s="2"/>
      <c r="F942" s="2"/>
      <c r="G942" s="27"/>
      <c r="H942" s="27"/>
      <c r="I942" s="27"/>
      <c r="J942" s="2"/>
      <c r="K942" s="2"/>
    </row>
    <row r="943">
      <c r="A943" s="2"/>
      <c r="B943" s="2"/>
      <c r="C943" s="2"/>
      <c r="D943" s="2"/>
      <c r="E943" s="2"/>
      <c r="F943" s="2"/>
      <c r="G943" s="27"/>
      <c r="H943" s="27"/>
      <c r="I943" s="27"/>
      <c r="J943" s="2"/>
      <c r="K943" s="2"/>
    </row>
    <row r="944">
      <c r="A944" s="2"/>
      <c r="B944" s="2"/>
      <c r="C944" s="2"/>
      <c r="D944" s="2"/>
      <c r="E944" s="2"/>
      <c r="F944" s="2"/>
      <c r="G944" s="27"/>
      <c r="H944" s="27"/>
      <c r="I944" s="27"/>
      <c r="J944" s="2"/>
      <c r="K944" s="2"/>
    </row>
    <row r="945">
      <c r="A945" s="2"/>
      <c r="B945" s="2"/>
      <c r="C945" s="2"/>
      <c r="D945" s="2"/>
      <c r="E945" s="2"/>
      <c r="F945" s="2"/>
      <c r="G945" s="27"/>
      <c r="H945" s="27"/>
      <c r="I945" s="27"/>
      <c r="J945" s="2"/>
      <c r="K945" s="2"/>
    </row>
    <row r="946">
      <c r="A946" s="2"/>
      <c r="B946" s="2"/>
      <c r="C946" s="2"/>
      <c r="D946" s="2"/>
      <c r="E946" s="2"/>
      <c r="F946" s="2"/>
      <c r="G946" s="27"/>
      <c r="H946" s="27"/>
      <c r="I946" s="27"/>
      <c r="J946" s="2"/>
      <c r="K946" s="2"/>
    </row>
    <row r="947">
      <c r="A947" s="2"/>
      <c r="B947" s="2"/>
      <c r="C947" s="2"/>
      <c r="D947" s="2"/>
      <c r="E947" s="2"/>
      <c r="F947" s="2"/>
      <c r="G947" s="27"/>
      <c r="H947" s="27"/>
      <c r="I947" s="27"/>
      <c r="J947" s="2"/>
      <c r="K947" s="2"/>
    </row>
    <row r="948">
      <c r="A948" s="2"/>
      <c r="B948" s="2"/>
      <c r="C948" s="2"/>
      <c r="D948" s="2"/>
      <c r="E948" s="2"/>
      <c r="F948" s="2"/>
      <c r="G948" s="27"/>
      <c r="H948" s="27"/>
      <c r="I948" s="27"/>
      <c r="J948" s="2"/>
      <c r="K948" s="2"/>
    </row>
    <row r="949">
      <c r="A949" s="2"/>
      <c r="B949" s="2"/>
      <c r="C949" s="2"/>
      <c r="D949" s="2"/>
      <c r="E949" s="2"/>
      <c r="F949" s="2"/>
      <c r="G949" s="27"/>
      <c r="H949" s="27"/>
      <c r="I949" s="27"/>
      <c r="J949" s="2"/>
      <c r="K949" s="2"/>
    </row>
    <row r="950">
      <c r="A950" s="2"/>
      <c r="B950" s="2"/>
      <c r="C950" s="2"/>
      <c r="D950" s="2"/>
      <c r="E950" s="2"/>
      <c r="F950" s="2"/>
      <c r="G950" s="27"/>
      <c r="H950" s="27"/>
      <c r="I950" s="27"/>
      <c r="J950" s="2"/>
      <c r="K950" s="2"/>
    </row>
    <row r="951">
      <c r="A951" s="2"/>
      <c r="B951" s="2"/>
      <c r="C951" s="2"/>
      <c r="D951" s="2"/>
      <c r="E951" s="2"/>
      <c r="F951" s="2"/>
      <c r="G951" s="27"/>
      <c r="H951" s="27"/>
      <c r="I951" s="27"/>
      <c r="J951" s="2"/>
      <c r="K951" s="2"/>
    </row>
    <row r="952">
      <c r="A952" s="2"/>
      <c r="B952" s="2"/>
      <c r="C952" s="2"/>
      <c r="D952" s="2"/>
      <c r="E952" s="2"/>
      <c r="F952" s="2"/>
      <c r="G952" s="27"/>
      <c r="H952" s="27"/>
      <c r="I952" s="27"/>
      <c r="J952" s="2"/>
      <c r="K952" s="2"/>
    </row>
    <row r="953">
      <c r="A953" s="2"/>
      <c r="B953" s="2"/>
      <c r="C953" s="2"/>
      <c r="D953" s="2"/>
      <c r="E953" s="2"/>
      <c r="F953" s="2"/>
      <c r="G953" s="27"/>
      <c r="H953" s="27"/>
      <c r="I953" s="27"/>
      <c r="J953" s="2"/>
      <c r="K953" s="2"/>
    </row>
    <row r="954">
      <c r="A954" s="2"/>
      <c r="B954" s="2"/>
      <c r="C954" s="2"/>
      <c r="D954" s="2"/>
      <c r="E954" s="2"/>
      <c r="F954" s="2"/>
      <c r="G954" s="27"/>
      <c r="H954" s="27"/>
      <c r="I954" s="27"/>
      <c r="J954" s="2"/>
      <c r="K954" s="2"/>
    </row>
    <row r="955">
      <c r="A955" s="2"/>
      <c r="B955" s="2"/>
      <c r="C955" s="2"/>
      <c r="D955" s="2"/>
      <c r="E955" s="2"/>
      <c r="F955" s="2"/>
      <c r="G955" s="27"/>
      <c r="H955" s="27"/>
      <c r="I955" s="27"/>
      <c r="J955" s="2"/>
      <c r="K955" s="2"/>
    </row>
    <row r="956">
      <c r="A956" s="2"/>
      <c r="B956" s="2"/>
      <c r="C956" s="2"/>
      <c r="D956" s="2"/>
      <c r="E956" s="2"/>
      <c r="F956" s="2"/>
      <c r="G956" s="27"/>
      <c r="H956" s="27"/>
      <c r="I956" s="27"/>
      <c r="J956" s="2"/>
      <c r="K956" s="2"/>
    </row>
    <row r="957">
      <c r="A957" s="2"/>
      <c r="B957" s="2"/>
      <c r="C957" s="2"/>
      <c r="D957" s="2"/>
      <c r="E957" s="2"/>
      <c r="F957" s="2"/>
      <c r="G957" s="27"/>
      <c r="H957" s="27"/>
      <c r="I957" s="27"/>
      <c r="J957" s="2"/>
      <c r="K957" s="2"/>
    </row>
    <row r="958">
      <c r="A958" s="2"/>
      <c r="B958" s="2"/>
      <c r="C958" s="2"/>
      <c r="D958" s="2"/>
      <c r="E958" s="2"/>
      <c r="F958" s="2"/>
      <c r="G958" s="27"/>
      <c r="H958" s="27"/>
      <c r="I958" s="27"/>
      <c r="J958" s="2"/>
      <c r="K958" s="2"/>
    </row>
    <row r="959">
      <c r="A959" s="2"/>
      <c r="B959" s="2"/>
      <c r="C959" s="2"/>
      <c r="D959" s="2"/>
      <c r="E959" s="2"/>
      <c r="F959" s="2"/>
      <c r="G959" s="27"/>
      <c r="H959" s="27"/>
      <c r="I959" s="27"/>
      <c r="J959" s="2"/>
      <c r="K959" s="2"/>
    </row>
    <row r="960">
      <c r="A960" s="2"/>
      <c r="B960" s="2"/>
      <c r="C960" s="2"/>
      <c r="D960" s="2"/>
      <c r="E960" s="2"/>
      <c r="F960" s="2"/>
      <c r="G960" s="27"/>
      <c r="H960" s="27"/>
      <c r="I960" s="27"/>
      <c r="J960" s="2"/>
      <c r="K960" s="2"/>
    </row>
    <row r="961">
      <c r="A961" s="2"/>
      <c r="B961" s="2"/>
      <c r="C961" s="2"/>
      <c r="D961" s="2"/>
      <c r="E961" s="2"/>
      <c r="F961" s="2"/>
      <c r="G961" s="27"/>
      <c r="H961" s="27"/>
      <c r="I961" s="27"/>
      <c r="J961" s="2"/>
      <c r="K961" s="2"/>
    </row>
    <row r="962">
      <c r="A962" s="2"/>
      <c r="B962" s="2"/>
      <c r="C962" s="2"/>
      <c r="D962" s="2"/>
      <c r="E962" s="2"/>
      <c r="F962" s="2"/>
      <c r="G962" s="27"/>
      <c r="H962" s="27"/>
      <c r="I962" s="27"/>
      <c r="J962" s="2"/>
      <c r="K962" s="2"/>
    </row>
    <row r="963">
      <c r="A963" s="2"/>
      <c r="B963" s="2"/>
      <c r="C963" s="2"/>
      <c r="D963" s="2"/>
      <c r="E963" s="2"/>
      <c r="F963" s="2"/>
      <c r="G963" s="27"/>
      <c r="H963" s="27"/>
      <c r="I963" s="27"/>
      <c r="J963" s="2"/>
      <c r="K963" s="2"/>
    </row>
    <row r="964">
      <c r="A964" s="2"/>
      <c r="B964" s="2"/>
      <c r="C964" s="2"/>
      <c r="D964" s="2"/>
      <c r="E964" s="2"/>
      <c r="F964" s="2"/>
      <c r="G964" s="27"/>
      <c r="H964" s="27"/>
      <c r="I964" s="27"/>
      <c r="J964" s="2"/>
      <c r="K964" s="2"/>
    </row>
    <row r="965">
      <c r="A965" s="2"/>
      <c r="B965" s="2"/>
      <c r="C965" s="2"/>
      <c r="D965" s="2"/>
      <c r="E965" s="2"/>
      <c r="F965" s="2"/>
      <c r="G965" s="27"/>
      <c r="H965" s="27"/>
      <c r="I965" s="27"/>
      <c r="J965" s="2"/>
      <c r="K965" s="2"/>
    </row>
    <row r="966">
      <c r="A966" s="2"/>
      <c r="B966" s="2"/>
      <c r="C966" s="2"/>
      <c r="D966" s="2"/>
      <c r="E966" s="2"/>
      <c r="F966" s="2"/>
      <c r="G966" s="27"/>
      <c r="H966" s="27"/>
      <c r="I966" s="27"/>
      <c r="J966" s="2"/>
      <c r="K966" s="2"/>
    </row>
    <row r="967">
      <c r="A967" s="2"/>
      <c r="B967" s="2"/>
      <c r="C967" s="2"/>
      <c r="D967" s="2"/>
      <c r="E967" s="2"/>
      <c r="F967" s="2"/>
      <c r="G967" s="27"/>
      <c r="H967" s="27"/>
      <c r="I967" s="27"/>
      <c r="J967" s="2"/>
      <c r="K967" s="2"/>
    </row>
    <row r="968">
      <c r="A968" s="2"/>
      <c r="B968" s="2"/>
      <c r="C968" s="2"/>
      <c r="D968" s="2"/>
      <c r="E968" s="2"/>
      <c r="F968" s="2"/>
      <c r="G968" s="27"/>
      <c r="H968" s="27"/>
      <c r="I968" s="27"/>
      <c r="J968" s="2"/>
      <c r="K968" s="2"/>
    </row>
    <row r="969">
      <c r="A969" s="2"/>
      <c r="B969" s="2"/>
      <c r="C969" s="2"/>
      <c r="D969" s="2"/>
      <c r="E969" s="2"/>
      <c r="F969" s="2"/>
      <c r="G969" s="27"/>
      <c r="H969" s="27"/>
      <c r="I969" s="27"/>
      <c r="J969" s="2"/>
      <c r="K969" s="2"/>
    </row>
    <row r="970">
      <c r="A970" s="2"/>
      <c r="B970" s="2"/>
      <c r="C970" s="2"/>
      <c r="D970" s="2"/>
      <c r="E970" s="2"/>
      <c r="F970" s="2"/>
      <c r="G970" s="27"/>
      <c r="H970" s="27"/>
      <c r="I970" s="27"/>
      <c r="J970" s="2"/>
      <c r="K970" s="2"/>
    </row>
    <row r="971">
      <c r="A971" s="2"/>
      <c r="B971" s="2"/>
      <c r="C971" s="2"/>
      <c r="D971" s="2"/>
      <c r="E971" s="2"/>
      <c r="F971" s="2"/>
      <c r="G971" s="27"/>
      <c r="H971" s="27"/>
      <c r="I971" s="27"/>
      <c r="J971" s="2"/>
      <c r="K971" s="2"/>
    </row>
    <row r="972">
      <c r="A972" s="2"/>
      <c r="B972" s="2"/>
      <c r="C972" s="2"/>
      <c r="D972" s="2"/>
      <c r="E972" s="2"/>
      <c r="F972" s="2"/>
      <c r="G972" s="27"/>
      <c r="H972" s="27"/>
      <c r="I972" s="27"/>
      <c r="J972" s="2"/>
      <c r="K972" s="2"/>
    </row>
    <row r="973">
      <c r="A973" s="2"/>
      <c r="B973" s="2"/>
      <c r="C973" s="2"/>
      <c r="D973" s="2"/>
      <c r="E973" s="2"/>
      <c r="F973" s="2"/>
      <c r="G973" s="27"/>
      <c r="H973" s="27"/>
      <c r="I973" s="27"/>
      <c r="J973" s="2"/>
      <c r="K973" s="2"/>
    </row>
    <row r="974">
      <c r="A974" s="2"/>
      <c r="B974" s="2"/>
      <c r="C974" s="2"/>
      <c r="D974" s="2"/>
      <c r="E974" s="2"/>
      <c r="F974" s="2"/>
      <c r="G974" s="27"/>
      <c r="H974" s="27"/>
      <c r="I974" s="27"/>
      <c r="J974" s="2"/>
      <c r="K974" s="2"/>
    </row>
    <row r="975">
      <c r="A975" s="2"/>
      <c r="B975" s="2"/>
      <c r="C975" s="2"/>
      <c r="D975" s="2"/>
      <c r="E975" s="2"/>
      <c r="F975" s="2"/>
      <c r="G975" s="27"/>
      <c r="H975" s="27"/>
      <c r="I975" s="27"/>
      <c r="J975" s="2"/>
      <c r="K975" s="2"/>
    </row>
    <row r="976">
      <c r="A976" s="2"/>
      <c r="B976" s="2"/>
      <c r="C976" s="2"/>
      <c r="D976" s="2"/>
      <c r="E976" s="2"/>
      <c r="F976" s="2"/>
      <c r="G976" s="27"/>
      <c r="H976" s="27"/>
      <c r="I976" s="27"/>
      <c r="J976" s="2"/>
      <c r="K976" s="2"/>
    </row>
    <row r="977">
      <c r="A977" s="2"/>
      <c r="B977" s="2"/>
      <c r="C977" s="2"/>
      <c r="D977" s="2"/>
      <c r="E977" s="2"/>
      <c r="F977" s="2"/>
      <c r="G977" s="27"/>
      <c r="H977" s="27"/>
      <c r="I977" s="27"/>
      <c r="J977" s="2"/>
      <c r="K977" s="2"/>
    </row>
    <row r="978">
      <c r="A978" s="2"/>
      <c r="B978" s="2"/>
      <c r="C978" s="2"/>
      <c r="D978" s="2"/>
      <c r="E978" s="2"/>
      <c r="F978" s="2"/>
      <c r="G978" s="27"/>
      <c r="H978" s="27"/>
      <c r="I978" s="27"/>
      <c r="J978" s="2"/>
      <c r="K978" s="2"/>
    </row>
    <row r="979">
      <c r="A979" s="2"/>
      <c r="B979" s="2"/>
      <c r="C979" s="2"/>
      <c r="D979" s="2"/>
      <c r="E979" s="2"/>
      <c r="F979" s="2"/>
      <c r="G979" s="27"/>
      <c r="H979" s="27"/>
      <c r="I979" s="27"/>
      <c r="J979" s="2"/>
      <c r="K979" s="2"/>
    </row>
    <row r="980">
      <c r="A980" s="2"/>
      <c r="B980" s="2"/>
      <c r="C980" s="2"/>
      <c r="D980" s="2"/>
      <c r="E980" s="2"/>
      <c r="F980" s="2"/>
      <c r="G980" s="27"/>
      <c r="H980" s="27"/>
      <c r="I980" s="27"/>
      <c r="J980" s="2"/>
      <c r="K980" s="2"/>
    </row>
    <row r="981">
      <c r="A981" s="2"/>
      <c r="B981" s="2"/>
      <c r="C981" s="2"/>
      <c r="D981" s="2"/>
      <c r="E981" s="2"/>
      <c r="F981" s="2"/>
      <c r="G981" s="27"/>
      <c r="H981" s="27"/>
      <c r="I981" s="27"/>
      <c r="J981" s="2"/>
      <c r="K981" s="2"/>
    </row>
    <row r="982">
      <c r="A982" s="2"/>
      <c r="B982" s="2"/>
      <c r="C982" s="2"/>
      <c r="D982" s="2"/>
      <c r="E982" s="2"/>
      <c r="F982" s="2"/>
      <c r="G982" s="27"/>
      <c r="H982" s="27"/>
      <c r="I982" s="27"/>
      <c r="J982" s="2"/>
      <c r="K982" s="2"/>
    </row>
    <row r="983">
      <c r="A983" s="2"/>
      <c r="B983" s="2"/>
      <c r="C983" s="2"/>
      <c r="D983" s="2"/>
      <c r="E983" s="2"/>
      <c r="F983" s="2"/>
      <c r="G983" s="27"/>
      <c r="H983" s="27"/>
      <c r="I983" s="27"/>
      <c r="J983" s="2"/>
      <c r="K983" s="2"/>
    </row>
    <row r="984">
      <c r="A984" s="2"/>
      <c r="B984" s="2"/>
      <c r="C984" s="2"/>
      <c r="D984" s="2"/>
      <c r="E984" s="2"/>
      <c r="F984" s="2"/>
      <c r="G984" s="27"/>
      <c r="H984" s="27"/>
      <c r="I984" s="27"/>
      <c r="J984" s="2"/>
      <c r="K984" s="2"/>
    </row>
    <row r="985">
      <c r="A985" s="2"/>
      <c r="B985" s="2"/>
      <c r="C985" s="2"/>
      <c r="D985" s="2"/>
      <c r="E985" s="2"/>
      <c r="F985" s="2"/>
      <c r="G985" s="27"/>
      <c r="H985" s="27"/>
      <c r="I985" s="27"/>
      <c r="J985" s="2"/>
      <c r="K985" s="2"/>
    </row>
    <row r="986">
      <c r="A986" s="2"/>
      <c r="B986" s="2"/>
      <c r="C986" s="2"/>
      <c r="D986" s="2"/>
      <c r="E986" s="2"/>
      <c r="F986" s="2"/>
      <c r="G986" s="27"/>
      <c r="H986" s="27"/>
      <c r="I986" s="27"/>
      <c r="J986" s="2"/>
      <c r="K986" s="2"/>
    </row>
    <row r="987">
      <c r="A987" s="2"/>
      <c r="B987" s="2"/>
      <c r="C987" s="2"/>
      <c r="D987" s="2"/>
      <c r="E987" s="2"/>
      <c r="F987" s="2"/>
      <c r="G987" s="27"/>
      <c r="H987" s="27"/>
      <c r="I987" s="27"/>
      <c r="J987" s="2"/>
      <c r="K987" s="2"/>
    </row>
    <row r="988">
      <c r="A988" s="2"/>
      <c r="B988" s="2"/>
      <c r="C988" s="2"/>
      <c r="D988" s="2"/>
      <c r="E988" s="2"/>
      <c r="F988" s="2"/>
      <c r="G988" s="27"/>
      <c r="H988" s="27"/>
      <c r="I988" s="27"/>
      <c r="J988" s="2"/>
      <c r="K988" s="2"/>
    </row>
    <row r="989">
      <c r="A989" s="2"/>
      <c r="B989" s="2"/>
      <c r="C989" s="2"/>
      <c r="D989" s="2"/>
      <c r="E989" s="2"/>
      <c r="F989" s="2"/>
      <c r="G989" s="27"/>
      <c r="H989" s="27"/>
      <c r="I989" s="27"/>
      <c r="J989" s="2"/>
      <c r="K989" s="2"/>
    </row>
  </sheetData>
  <mergeCells count="3">
    <mergeCell ref="A1:J1"/>
    <mergeCell ref="A2:J2"/>
    <mergeCell ref="A3:J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0"/>
    <col customWidth="1" min="3" max="3" width="21.43"/>
    <col customWidth="1" min="4" max="4" width="27.86"/>
    <col customWidth="1" min="8" max="8" width="16.29"/>
  </cols>
  <sheetData>
    <row r="1">
      <c r="A1" s="77" t="s">
        <v>1031</v>
      </c>
    </row>
    <row r="2">
      <c r="A2" s="78" t="s">
        <v>1</v>
      </c>
    </row>
    <row r="3">
      <c r="A3" s="79" t="s">
        <v>2</v>
      </c>
    </row>
    <row r="4">
      <c r="G4" s="40"/>
      <c r="H4" s="40"/>
      <c r="I4" s="40"/>
    </row>
    <row r="5">
      <c r="G5" s="40"/>
      <c r="H5" s="40"/>
      <c r="I5" s="40"/>
    </row>
    <row r="6">
      <c r="A6" s="80" t="s">
        <v>3</v>
      </c>
      <c r="B6" s="80" t="s">
        <v>4</v>
      </c>
      <c r="C6" s="80" t="s">
        <v>5</v>
      </c>
      <c r="D6" s="80" t="s">
        <v>6</v>
      </c>
      <c r="E6" s="80" t="s">
        <v>7</v>
      </c>
      <c r="F6" s="80" t="s">
        <v>8</v>
      </c>
      <c r="G6" s="81" t="s">
        <v>9</v>
      </c>
      <c r="H6" s="81" t="s">
        <v>10</v>
      </c>
      <c r="I6" s="81" t="s">
        <v>11</v>
      </c>
      <c r="J6" s="82" t="s">
        <v>12</v>
      </c>
      <c r="K6" s="83">
        <f>I7+I10+I12+I15+I32+I37+I45+I48+I57+I70+I72+I83+I86+I89+I94+I99</f>
        <v>8308150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47" t="s">
        <v>64</v>
      </c>
      <c r="B7" s="47"/>
      <c r="C7" s="47"/>
      <c r="D7" s="47"/>
      <c r="E7" s="47"/>
      <c r="F7" s="47"/>
      <c r="G7" s="49"/>
      <c r="H7" s="50" t="s">
        <v>11</v>
      </c>
      <c r="I7" s="51">
        <f t="shared" ref="I7:J7" si="1">sum(I8:I9)</f>
        <v>264000</v>
      </c>
      <c r="J7" s="51">
        <f t="shared" si="1"/>
        <v>2500</v>
      </c>
      <c r="K7" s="84"/>
    </row>
    <row r="8">
      <c r="C8" s="39" t="s">
        <v>1032</v>
      </c>
      <c r="D8" s="39" t="s">
        <v>1033</v>
      </c>
      <c r="E8" s="39" t="s">
        <v>109</v>
      </c>
      <c r="F8" s="39">
        <v>8.0</v>
      </c>
      <c r="G8" s="38">
        <v>33000.0</v>
      </c>
      <c r="H8" s="40">
        <f t="shared" ref="H8:H9" si="2">F8*G8</f>
        <v>264000</v>
      </c>
      <c r="I8" s="40">
        <f>H8</f>
        <v>264000</v>
      </c>
      <c r="K8" s="39" t="s">
        <v>17</v>
      </c>
    </row>
    <row r="9">
      <c r="C9" s="39"/>
      <c r="D9" s="39" t="s">
        <v>12</v>
      </c>
      <c r="E9" s="39"/>
      <c r="F9" s="39">
        <v>1.0</v>
      </c>
      <c r="G9" s="38">
        <v>2500.0</v>
      </c>
      <c r="H9" s="40">
        <f t="shared" si="2"/>
        <v>2500</v>
      </c>
      <c r="I9" s="40"/>
      <c r="J9" s="40">
        <f>H9</f>
        <v>2500</v>
      </c>
      <c r="K9" s="39"/>
    </row>
    <row r="10">
      <c r="A10" s="46" t="s">
        <v>129</v>
      </c>
      <c r="B10" s="47"/>
      <c r="C10" s="47"/>
      <c r="D10" s="47"/>
      <c r="E10" s="47"/>
      <c r="F10" s="47"/>
      <c r="G10" s="49"/>
      <c r="H10" s="50" t="s">
        <v>11</v>
      </c>
      <c r="I10" s="51">
        <f t="shared" ref="I10:J10" si="3">sum(I11)</f>
        <v>105000</v>
      </c>
      <c r="J10" s="51">
        <f t="shared" si="3"/>
        <v>0</v>
      </c>
    </row>
    <row r="11">
      <c r="A11" s="39" t="s">
        <v>1034</v>
      </c>
      <c r="C11" s="39" t="s">
        <v>1035</v>
      </c>
      <c r="D11" s="39" t="s">
        <v>1036</v>
      </c>
      <c r="E11" s="39" t="s">
        <v>16</v>
      </c>
      <c r="F11" s="39">
        <v>6.0</v>
      </c>
      <c r="G11" s="38">
        <v>17500.0</v>
      </c>
      <c r="H11" s="40">
        <f>F11*G11</f>
        <v>105000</v>
      </c>
      <c r="I11" s="40">
        <f>H11</f>
        <v>105000</v>
      </c>
      <c r="K11" s="39" t="s">
        <v>17</v>
      </c>
    </row>
    <row r="12">
      <c r="A12" s="46" t="s">
        <v>230</v>
      </c>
      <c r="B12" s="47"/>
      <c r="C12" s="47"/>
      <c r="D12" s="47"/>
      <c r="E12" s="47"/>
      <c r="F12" s="47"/>
      <c r="G12" s="49"/>
      <c r="H12" s="50" t="s">
        <v>11</v>
      </c>
      <c r="I12" s="51">
        <f t="shared" ref="I12:J12" si="4">SUM(I13:I14)</f>
        <v>90000</v>
      </c>
      <c r="J12" s="51">
        <f t="shared" si="4"/>
        <v>0</v>
      </c>
    </row>
    <row r="13">
      <c r="A13" s="39" t="s">
        <v>1034</v>
      </c>
      <c r="C13" s="39" t="s">
        <v>1037</v>
      </c>
      <c r="D13" s="39" t="s">
        <v>173</v>
      </c>
      <c r="E13" s="39" t="s">
        <v>16</v>
      </c>
      <c r="F13" s="39">
        <v>3.45</v>
      </c>
      <c r="G13" s="38">
        <v>30000.0</v>
      </c>
      <c r="H13" s="40">
        <f>F13*G13</f>
        <v>103500</v>
      </c>
      <c r="I13" s="40"/>
    </row>
    <row r="14">
      <c r="A14" s="39"/>
      <c r="C14" s="39"/>
      <c r="D14" s="39"/>
      <c r="F14" s="39"/>
      <c r="G14" s="38"/>
      <c r="H14" s="38">
        <v>-13500.0</v>
      </c>
      <c r="I14" s="40">
        <f>SUM(H13:H14)</f>
        <v>90000</v>
      </c>
      <c r="J14" s="39"/>
      <c r="K14" s="39" t="s">
        <v>17</v>
      </c>
    </row>
    <row r="15">
      <c r="A15" s="46" t="s">
        <v>1038</v>
      </c>
      <c r="B15" s="47"/>
      <c r="C15" s="47"/>
      <c r="D15" s="47"/>
      <c r="E15" s="47"/>
      <c r="F15" s="47"/>
      <c r="G15" s="49"/>
      <c r="H15" s="50" t="s">
        <v>11</v>
      </c>
      <c r="I15" s="51">
        <f t="shared" ref="I15:J15" si="5">SUM(I16:I31)</f>
        <v>1517600</v>
      </c>
      <c r="J15" s="51">
        <f t="shared" si="5"/>
        <v>0</v>
      </c>
    </row>
    <row r="16">
      <c r="A16" s="39"/>
      <c r="C16" s="39" t="s">
        <v>1032</v>
      </c>
      <c r="D16" s="39" t="s">
        <v>354</v>
      </c>
      <c r="E16" s="39" t="s">
        <v>16</v>
      </c>
      <c r="F16" s="39">
        <v>1.0</v>
      </c>
      <c r="G16" s="38">
        <v>56000.0</v>
      </c>
      <c r="H16" s="40">
        <f t="shared" ref="H16:H21" si="6">F16*G16</f>
        <v>56000</v>
      </c>
      <c r="I16" s="85"/>
      <c r="J16" s="39"/>
    </row>
    <row r="17">
      <c r="A17" s="39"/>
      <c r="D17" s="39" t="s">
        <v>152</v>
      </c>
      <c r="E17" s="39" t="s">
        <v>16</v>
      </c>
      <c r="F17" s="39">
        <v>1.0</v>
      </c>
      <c r="G17" s="38">
        <v>22000.0</v>
      </c>
      <c r="H17" s="40">
        <f t="shared" si="6"/>
        <v>22000</v>
      </c>
      <c r="I17" s="86">
        <f>SUM(H16:H17)</f>
        <v>78000</v>
      </c>
      <c r="J17" s="39"/>
      <c r="K17" s="39" t="s">
        <v>17</v>
      </c>
    </row>
    <row r="18">
      <c r="A18" s="39"/>
      <c r="C18" s="39" t="s">
        <v>1039</v>
      </c>
      <c r="D18" s="39" t="s">
        <v>1040</v>
      </c>
      <c r="E18" s="39" t="s">
        <v>50</v>
      </c>
      <c r="F18" s="39">
        <v>1.0</v>
      </c>
      <c r="G18" s="38">
        <v>3000.0</v>
      </c>
      <c r="H18" s="40">
        <f t="shared" si="6"/>
        <v>3000</v>
      </c>
      <c r="I18" s="40"/>
      <c r="J18" s="39"/>
    </row>
    <row r="19">
      <c r="A19" s="39"/>
      <c r="D19" s="39" t="s">
        <v>1041</v>
      </c>
      <c r="E19" s="39" t="s">
        <v>50</v>
      </c>
      <c r="F19" s="39">
        <v>4.0</v>
      </c>
      <c r="G19" s="38">
        <v>164000.0</v>
      </c>
      <c r="H19" s="40">
        <f t="shared" si="6"/>
        <v>656000</v>
      </c>
      <c r="I19" s="86">
        <f>SUM(H18:H19)</f>
        <v>659000</v>
      </c>
      <c r="J19" s="39"/>
      <c r="K19" s="39" t="s">
        <v>17</v>
      </c>
    </row>
    <row r="20">
      <c r="A20" s="39" t="s">
        <v>1042</v>
      </c>
      <c r="C20" s="39" t="s">
        <v>1043</v>
      </c>
      <c r="D20" s="39" t="s">
        <v>74</v>
      </c>
      <c r="F20" s="39">
        <v>1.0</v>
      </c>
      <c r="G20" s="38">
        <v>16000.0</v>
      </c>
      <c r="H20" s="40">
        <f t="shared" si="6"/>
        <v>16000</v>
      </c>
      <c r="I20" s="40"/>
    </row>
    <row r="21">
      <c r="A21" s="39" t="s">
        <v>1044</v>
      </c>
      <c r="D21" s="39" t="s">
        <v>158</v>
      </c>
      <c r="F21" s="39">
        <v>1.0</v>
      </c>
      <c r="G21" s="38">
        <v>20000.0</v>
      </c>
      <c r="H21" s="40">
        <f t="shared" si="6"/>
        <v>20000</v>
      </c>
      <c r="I21" s="40"/>
    </row>
    <row r="22">
      <c r="A22" s="39" t="s">
        <v>1044</v>
      </c>
      <c r="D22" s="39" t="s">
        <v>84</v>
      </c>
      <c r="F22" s="39">
        <f>H22/G22</f>
        <v>3.333333333</v>
      </c>
      <c r="G22" s="38">
        <v>12000.0</v>
      </c>
      <c r="H22" s="38">
        <v>40000.0</v>
      </c>
      <c r="I22" s="40"/>
    </row>
    <row r="23">
      <c r="A23" s="39" t="s">
        <v>1044</v>
      </c>
      <c r="D23" s="39" t="s">
        <v>35</v>
      </c>
      <c r="F23" s="39">
        <v>5.0</v>
      </c>
      <c r="G23" s="38">
        <v>16000.0</v>
      </c>
      <c r="H23" s="40">
        <f t="shared" ref="H23:H30" si="7">F23*G23</f>
        <v>80000</v>
      </c>
      <c r="I23" s="40"/>
    </row>
    <row r="24">
      <c r="A24" s="39" t="s">
        <v>1045</v>
      </c>
      <c r="C24" s="39"/>
      <c r="D24" s="39" t="s">
        <v>1046</v>
      </c>
      <c r="E24" s="39" t="s">
        <v>16</v>
      </c>
      <c r="F24" s="39">
        <v>10.0</v>
      </c>
      <c r="G24" s="38">
        <v>15500.0</v>
      </c>
      <c r="H24" s="40">
        <f t="shared" si="7"/>
        <v>155000</v>
      </c>
      <c r="I24" s="40"/>
    </row>
    <row r="25">
      <c r="A25" s="39" t="s">
        <v>1045</v>
      </c>
      <c r="C25" s="39"/>
      <c r="D25" s="39" t="s">
        <v>158</v>
      </c>
      <c r="E25" s="39" t="s">
        <v>50</v>
      </c>
      <c r="F25" s="39">
        <v>2.0</v>
      </c>
      <c r="G25" s="38">
        <v>3000.0</v>
      </c>
      <c r="H25" s="40">
        <f t="shared" si="7"/>
        <v>6000</v>
      </c>
      <c r="I25" s="40"/>
    </row>
    <row r="26">
      <c r="A26" s="39" t="s">
        <v>1047</v>
      </c>
      <c r="C26" s="39"/>
      <c r="D26" s="39" t="s">
        <v>1048</v>
      </c>
      <c r="E26" s="39" t="s">
        <v>54</v>
      </c>
      <c r="F26" s="39">
        <v>2.0</v>
      </c>
      <c r="G26" s="38">
        <v>75500.0</v>
      </c>
      <c r="H26" s="40">
        <f t="shared" si="7"/>
        <v>151000</v>
      </c>
      <c r="I26" s="54">
        <f>SUM(H20:H26)</f>
        <v>468000</v>
      </c>
      <c r="K26" s="39" t="s">
        <v>167</v>
      </c>
    </row>
    <row r="27">
      <c r="A27" s="39"/>
      <c r="C27" s="39"/>
      <c r="D27" s="39" t="s">
        <v>1049</v>
      </c>
      <c r="E27" s="39" t="s">
        <v>50</v>
      </c>
      <c r="F27" s="39">
        <v>200.0</v>
      </c>
      <c r="G27" s="38">
        <v>700.0</v>
      </c>
      <c r="H27" s="40">
        <f t="shared" si="7"/>
        <v>140000</v>
      </c>
      <c r="I27" s="54">
        <f>H27</f>
        <v>140000</v>
      </c>
      <c r="K27" s="39" t="s">
        <v>167</v>
      </c>
    </row>
    <row r="28">
      <c r="A28" s="39" t="s">
        <v>1034</v>
      </c>
      <c r="C28" s="39" t="s">
        <v>1050</v>
      </c>
      <c r="D28" s="39" t="s">
        <v>1051</v>
      </c>
      <c r="E28" s="39" t="s">
        <v>50</v>
      </c>
      <c r="F28" s="39">
        <v>1.0</v>
      </c>
      <c r="G28" s="38">
        <v>500.0</v>
      </c>
      <c r="H28" s="40">
        <f t="shared" si="7"/>
        <v>500</v>
      </c>
      <c r="I28" s="40"/>
    </row>
    <row r="29">
      <c r="D29" s="39" t="s">
        <v>1052</v>
      </c>
      <c r="E29" s="39" t="s">
        <v>50</v>
      </c>
      <c r="F29" s="39">
        <v>4.0</v>
      </c>
      <c r="G29" s="38">
        <v>26900.0</v>
      </c>
      <c r="H29" s="40">
        <f t="shared" si="7"/>
        <v>107600</v>
      </c>
      <c r="I29" s="40"/>
    </row>
    <row r="30">
      <c r="C30" s="39"/>
      <c r="D30" s="39" t="s">
        <v>519</v>
      </c>
      <c r="E30" s="39" t="s">
        <v>50</v>
      </c>
      <c r="F30" s="39">
        <v>3.0</v>
      </c>
      <c r="G30" s="38">
        <v>26900.0</v>
      </c>
      <c r="H30" s="40">
        <f t="shared" si="7"/>
        <v>80700</v>
      </c>
      <c r="I30" s="40"/>
    </row>
    <row r="31">
      <c r="D31" s="39" t="s">
        <v>363</v>
      </c>
      <c r="G31" s="38">
        <v>-16200.0</v>
      </c>
      <c r="H31" s="40">
        <f>G31</f>
        <v>-16200</v>
      </c>
      <c r="I31" s="54">
        <f>SUM(H28:H31)</f>
        <v>172600</v>
      </c>
      <c r="K31" s="39" t="s">
        <v>167</v>
      </c>
    </row>
    <row r="32">
      <c r="A32" s="46" t="s">
        <v>340</v>
      </c>
      <c r="B32" s="47"/>
      <c r="C32" s="47"/>
      <c r="D32" s="47"/>
      <c r="E32" s="47"/>
      <c r="F32" s="47"/>
      <c r="G32" s="49"/>
      <c r="H32" s="50" t="s">
        <v>11</v>
      </c>
      <c r="I32" s="51">
        <f t="shared" ref="I32:J32" si="8">SUM(I33:I36)</f>
        <v>682500</v>
      </c>
      <c r="J32" s="51">
        <f t="shared" si="8"/>
        <v>0</v>
      </c>
    </row>
    <row r="33">
      <c r="C33" s="39" t="s">
        <v>1053</v>
      </c>
      <c r="D33" s="39" t="s">
        <v>1054</v>
      </c>
      <c r="E33" s="39" t="s">
        <v>16</v>
      </c>
      <c r="F33" s="39">
        <v>10.0</v>
      </c>
      <c r="G33" s="38">
        <v>25500.0</v>
      </c>
      <c r="H33" s="40">
        <f t="shared" ref="H33:H35" si="9">F33*G33</f>
        <v>255000</v>
      </c>
      <c r="I33" s="40"/>
    </row>
    <row r="34">
      <c r="D34" s="39" t="s">
        <v>1054</v>
      </c>
      <c r="E34" s="39" t="s">
        <v>16</v>
      </c>
      <c r="F34" s="39">
        <v>5.0</v>
      </c>
      <c r="G34" s="38">
        <v>25500.0</v>
      </c>
      <c r="H34" s="40">
        <f t="shared" si="9"/>
        <v>127500</v>
      </c>
      <c r="I34" s="40"/>
    </row>
    <row r="35">
      <c r="D35" s="39" t="s">
        <v>1055</v>
      </c>
      <c r="E35" s="39" t="s">
        <v>16</v>
      </c>
      <c r="F35" s="39">
        <v>12.0</v>
      </c>
      <c r="G35" s="38">
        <v>25500.0</v>
      </c>
      <c r="H35" s="40">
        <f t="shared" si="9"/>
        <v>306000</v>
      </c>
      <c r="I35" s="40"/>
    </row>
    <row r="36">
      <c r="D36" s="39" t="s">
        <v>363</v>
      </c>
      <c r="G36" s="40"/>
      <c r="H36" s="38">
        <v>-6000.0</v>
      </c>
      <c r="I36" s="40">
        <f>SUM(H33:H36)</f>
        <v>682500</v>
      </c>
      <c r="K36" s="39" t="s">
        <v>17</v>
      </c>
    </row>
    <row r="37">
      <c r="A37" s="46" t="s">
        <v>385</v>
      </c>
      <c r="B37" s="47"/>
      <c r="C37" s="47"/>
      <c r="D37" s="47"/>
      <c r="E37" s="47"/>
      <c r="F37" s="47"/>
      <c r="G37" s="49"/>
      <c r="H37" s="50" t="s">
        <v>11</v>
      </c>
      <c r="I37" s="51">
        <f t="shared" ref="I37:J37" si="10">SUM(I38:I44)</f>
        <v>302600</v>
      </c>
      <c r="J37" s="51">
        <f t="shared" si="10"/>
        <v>0</v>
      </c>
    </row>
    <row r="38">
      <c r="C38" s="39" t="s">
        <v>1043</v>
      </c>
      <c r="D38" s="39" t="s">
        <v>1054</v>
      </c>
      <c r="E38" s="39" t="s">
        <v>16</v>
      </c>
      <c r="F38" s="39">
        <v>3.0</v>
      </c>
      <c r="G38" s="40">
        <f>H38/F38</f>
        <v>27000</v>
      </c>
      <c r="H38" s="38">
        <v>81000.0</v>
      </c>
      <c r="I38" s="40"/>
    </row>
    <row r="39">
      <c r="D39" s="39" t="s">
        <v>1056</v>
      </c>
      <c r="E39" s="39" t="s">
        <v>50</v>
      </c>
      <c r="F39" s="39">
        <v>3.0</v>
      </c>
      <c r="G39" s="38">
        <v>16700.0</v>
      </c>
      <c r="H39" s="40">
        <f t="shared" ref="H39:H44" si="11">F39*G39</f>
        <v>50100</v>
      </c>
      <c r="I39" s="40"/>
    </row>
    <row r="40">
      <c r="D40" s="39" t="s">
        <v>1056</v>
      </c>
      <c r="E40" s="39" t="s">
        <v>50</v>
      </c>
      <c r="F40" s="39">
        <v>2.0</v>
      </c>
      <c r="G40" s="38">
        <v>17500.0</v>
      </c>
      <c r="H40" s="40">
        <f t="shared" si="11"/>
        <v>35000</v>
      </c>
      <c r="I40" s="40"/>
    </row>
    <row r="41">
      <c r="D41" s="39" t="s">
        <v>1051</v>
      </c>
      <c r="E41" s="39" t="s">
        <v>50</v>
      </c>
      <c r="F41" s="39">
        <v>1.0</v>
      </c>
      <c r="G41" s="38">
        <v>500.0</v>
      </c>
      <c r="H41" s="40">
        <f t="shared" si="11"/>
        <v>500</v>
      </c>
      <c r="I41" s="40"/>
    </row>
    <row r="42">
      <c r="D42" s="39" t="s">
        <v>1057</v>
      </c>
      <c r="E42" s="39" t="s">
        <v>16</v>
      </c>
      <c r="F42" s="39">
        <v>1.0</v>
      </c>
      <c r="G42" s="38">
        <v>17500.0</v>
      </c>
      <c r="H42" s="40">
        <f t="shared" si="11"/>
        <v>17500</v>
      </c>
      <c r="I42" s="40"/>
    </row>
    <row r="43">
      <c r="D43" s="39" t="s">
        <v>1058</v>
      </c>
      <c r="E43" s="39" t="s">
        <v>1059</v>
      </c>
      <c r="F43" s="39">
        <v>3.0</v>
      </c>
      <c r="G43" s="38">
        <v>24000.0</v>
      </c>
      <c r="H43" s="40">
        <f t="shared" si="11"/>
        <v>72000</v>
      </c>
      <c r="I43" s="40"/>
    </row>
    <row r="44">
      <c r="C44" s="39"/>
      <c r="D44" s="39" t="s">
        <v>1060</v>
      </c>
      <c r="E44" s="39" t="s">
        <v>50</v>
      </c>
      <c r="F44" s="39">
        <v>3.0</v>
      </c>
      <c r="G44" s="38">
        <v>15500.0</v>
      </c>
      <c r="H44" s="40">
        <f t="shared" si="11"/>
        <v>46500</v>
      </c>
      <c r="I44" s="54">
        <f>SUM(H38:H44)</f>
        <v>302600</v>
      </c>
      <c r="K44" s="39" t="s">
        <v>17</v>
      </c>
    </row>
    <row r="45">
      <c r="A45" s="46" t="s">
        <v>433</v>
      </c>
      <c r="B45" s="47"/>
      <c r="C45" s="47"/>
      <c r="D45" s="47"/>
      <c r="E45" s="47"/>
      <c r="F45" s="47"/>
      <c r="G45" s="49"/>
      <c r="H45" s="50" t="s">
        <v>11</v>
      </c>
      <c r="I45" s="51">
        <f t="shared" ref="I45:J45" si="12">sum(I46:I47)</f>
        <v>131500</v>
      </c>
      <c r="J45" s="51">
        <f t="shared" si="12"/>
        <v>0</v>
      </c>
      <c r="K45" s="39"/>
    </row>
    <row r="46">
      <c r="A46" s="39" t="s">
        <v>1061</v>
      </c>
      <c r="C46" s="39" t="s">
        <v>437</v>
      </c>
      <c r="D46" s="39" t="s">
        <v>1062</v>
      </c>
      <c r="E46" s="39" t="s">
        <v>16</v>
      </c>
      <c r="F46" s="39">
        <v>3.0</v>
      </c>
      <c r="G46" s="38">
        <v>15000.0</v>
      </c>
      <c r="H46" s="40">
        <f>F46*G46</f>
        <v>45000</v>
      </c>
      <c r="I46" s="40"/>
    </row>
    <row r="47">
      <c r="A47" s="39" t="s">
        <v>1063</v>
      </c>
      <c r="D47" s="39" t="s">
        <v>1064</v>
      </c>
      <c r="E47" s="39" t="s">
        <v>1059</v>
      </c>
      <c r="F47" s="39">
        <v>4.0</v>
      </c>
      <c r="G47" s="40">
        <f>H47/F47</f>
        <v>21625</v>
      </c>
      <c r="H47" s="38">
        <v>86500.0</v>
      </c>
      <c r="I47" s="40">
        <f>SUM(H46:H47)</f>
        <v>131500</v>
      </c>
      <c r="K47" s="39" t="s">
        <v>17</v>
      </c>
    </row>
    <row r="48">
      <c r="A48" s="46" t="s">
        <v>457</v>
      </c>
      <c r="B48" s="47"/>
      <c r="C48" s="47"/>
      <c r="D48" s="47"/>
      <c r="E48" s="47"/>
      <c r="F48" s="47"/>
      <c r="G48" s="49"/>
      <c r="H48" s="50" t="s">
        <v>11</v>
      </c>
      <c r="I48" s="51">
        <f t="shared" ref="I48:J48" si="13">SUM(I49:I56)</f>
        <v>1074050</v>
      </c>
      <c r="J48" s="51">
        <f t="shared" si="13"/>
        <v>0</v>
      </c>
    </row>
    <row r="49">
      <c r="A49" s="39" t="s">
        <v>1061</v>
      </c>
      <c r="C49" s="39" t="s">
        <v>1032</v>
      </c>
      <c r="D49" s="39" t="s">
        <v>1065</v>
      </c>
      <c r="E49" s="39" t="s">
        <v>16</v>
      </c>
      <c r="F49" s="39">
        <v>4.0</v>
      </c>
      <c r="G49" s="38">
        <v>15500.0</v>
      </c>
      <c r="H49" s="40">
        <f t="shared" ref="H49:H56" si="14">F49*G49</f>
        <v>62000</v>
      </c>
      <c r="I49" s="40"/>
    </row>
    <row r="50">
      <c r="D50" s="39" t="s">
        <v>1066</v>
      </c>
      <c r="E50" s="39" t="s">
        <v>1067</v>
      </c>
      <c r="F50" s="39">
        <v>2.5</v>
      </c>
      <c r="G50" s="38">
        <v>23200.0</v>
      </c>
      <c r="H50" s="40">
        <f t="shared" si="14"/>
        <v>58000</v>
      </c>
      <c r="I50" s="40"/>
    </row>
    <row r="51">
      <c r="D51" s="39" t="s">
        <v>58</v>
      </c>
      <c r="E51" s="39" t="s">
        <v>16</v>
      </c>
      <c r="F51" s="39">
        <v>3.0</v>
      </c>
      <c r="G51" s="38">
        <v>13000.0</v>
      </c>
      <c r="H51" s="40">
        <f t="shared" si="14"/>
        <v>39000</v>
      </c>
      <c r="I51" s="40"/>
    </row>
    <row r="52">
      <c r="D52" s="39" t="s">
        <v>1033</v>
      </c>
      <c r="E52" s="39" t="s">
        <v>16</v>
      </c>
      <c r="F52" s="39">
        <v>2.0</v>
      </c>
      <c r="G52" s="38">
        <v>24000.0</v>
      </c>
      <c r="H52" s="40">
        <f t="shared" si="14"/>
        <v>48000</v>
      </c>
      <c r="I52" s="40"/>
    </row>
    <row r="53">
      <c r="D53" s="39" t="s">
        <v>1068</v>
      </c>
      <c r="E53" s="39" t="s">
        <v>16</v>
      </c>
      <c r="F53" s="39">
        <v>3.0</v>
      </c>
      <c r="G53" s="38">
        <v>12950.0</v>
      </c>
      <c r="H53" s="40">
        <f t="shared" si="14"/>
        <v>38850</v>
      </c>
      <c r="I53" s="40"/>
    </row>
    <row r="54">
      <c r="D54" s="39" t="s">
        <v>1051</v>
      </c>
      <c r="E54" s="39" t="s">
        <v>50</v>
      </c>
      <c r="F54" s="39">
        <v>1.0</v>
      </c>
      <c r="G54" s="38">
        <v>200.0</v>
      </c>
      <c r="H54" s="40">
        <f t="shared" si="14"/>
        <v>200</v>
      </c>
      <c r="I54" s="54">
        <f>SUM(H49:H54)</f>
        <v>246050</v>
      </c>
      <c r="K54" s="39" t="s">
        <v>17</v>
      </c>
    </row>
    <row r="55">
      <c r="C55" s="39" t="s">
        <v>640</v>
      </c>
      <c r="D55" s="39" t="s">
        <v>184</v>
      </c>
      <c r="E55" s="39" t="s">
        <v>16</v>
      </c>
      <c r="F55" s="39">
        <v>3.0</v>
      </c>
      <c r="G55" s="38">
        <v>26000.0</v>
      </c>
      <c r="H55" s="40">
        <f t="shared" si="14"/>
        <v>78000</v>
      </c>
      <c r="I55" s="54">
        <f t="shared" ref="I55:I56" si="15">H55</f>
        <v>78000</v>
      </c>
    </row>
    <row r="56">
      <c r="C56" s="39" t="s">
        <v>1050</v>
      </c>
      <c r="D56" s="39" t="s">
        <v>1069</v>
      </c>
      <c r="E56" s="39" t="s">
        <v>16</v>
      </c>
      <c r="F56" s="39">
        <v>5.0</v>
      </c>
      <c r="G56" s="38">
        <v>150000.0</v>
      </c>
      <c r="H56" s="40">
        <f t="shared" si="14"/>
        <v>750000</v>
      </c>
      <c r="I56" s="54">
        <f t="shared" si="15"/>
        <v>750000</v>
      </c>
    </row>
    <row r="57">
      <c r="A57" s="46" t="s">
        <v>494</v>
      </c>
      <c r="B57" s="47"/>
      <c r="C57" s="47"/>
      <c r="D57" s="47"/>
      <c r="E57" s="47"/>
      <c r="F57" s="47"/>
      <c r="G57" s="49"/>
      <c r="H57" s="50" t="s">
        <v>11</v>
      </c>
      <c r="I57" s="51">
        <f t="shared" ref="I57:J57" si="16">SUM(I58:I69)</f>
        <v>1230000</v>
      </c>
      <c r="J57" s="51">
        <f t="shared" si="16"/>
        <v>0</v>
      </c>
    </row>
    <row r="58">
      <c r="C58" s="39" t="s">
        <v>640</v>
      </c>
      <c r="D58" s="39" t="s">
        <v>29</v>
      </c>
      <c r="E58" s="39" t="s">
        <v>16</v>
      </c>
      <c r="F58" s="39">
        <v>2.0</v>
      </c>
      <c r="G58" s="38">
        <v>60000.0</v>
      </c>
      <c r="H58" s="40">
        <f>F58*G58</f>
        <v>120000</v>
      </c>
      <c r="I58" s="40"/>
    </row>
    <row r="59">
      <c r="D59" s="39" t="s">
        <v>1070</v>
      </c>
      <c r="E59" s="39" t="s">
        <v>90</v>
      </c>
      <c r="F59" s="39">
        <v>7.0</v>
      </c>
      <c r="G59" s="40">
        <f t="shared" ref="G59:G60" si="17">H59/F59</f>
        <v>11571.42857</v>
      </c>
      <c r="H59" s="38">
        <v>81000.0</v>
      </c>
      <c r="I59" s="40"/>
    </row>
    <row r="60">
      <c r="D60" s="39" t="s">
        <v>1070</v>
      </c>
      <c r="E60" s="39" t="s">
        <v>16</v>
      </c>
      <c r="F60" s="39">
        <v>2.0</v>
      </c>
      <c r="G60" s="40">
        <f t="shared" si="17"/>
        <v>45000</v>
      </c>
      <c r="H60" s="38">
        <v>90000.0</v>
      </c>
      <c r="I60" s="54">
        <f>SUM(H58:H60)</f>
        <v>291000</v>
      </c>
      <c r="J60" s="39" t="s">
        <v>17</v>
      </c>
    </row>
    <row r="61">
      <c r="A61" s="39" t="s">
        <v>1063</v>
      </c>
      <c r="C61" s="39" t="s">
        <v>1071</v>
      </c>
      <c r="D61" s="39" t="s">
        <v>1072</v>
      </c>
      <c r="E61" s="39" t="s">
        <v>16</v>
      </c>
      <c r="F61" s="39">
        <v>4.0</v>
      </c>
      <c r="G61" s="38">
        <v>116000.0</v>
      </c>
      <c r="H61" s="40">
        <f>F61*G61</f>
        <v>464000</v>
      </c>
      <c r="I61" s="40"/>
    </row>
    <row r="62">
      <c r="A62" s="39" t="s">
        <v>1063</v>
      </c>
      <c r="D62" s="39" t="s">
        <v>1073</v>
      </c>
      <c r="E62" s="39" t="s">
        <v>16</v>
      </c>
      <c r="F62" s="44">
        <f>H62/G62</f>
        <v>7.466666667</v>
      </c>
      <c r="G62" s="38">
        <v>15000.0</v>
      </c>
      <c r="H62" s="38">
        <v>112000.0</v>
      </c>
      <c r="I62" s="40"/>
    </row>
    <row r="63">
      <c r="A63" s="39" t="s">
        <v>1063</v>
      </c>
      <c r="D63" s="39" t="s">
        <v>1074</v>
      </c>
      <c r="E63" s="39" t="s">
        <v>90</v>
      </c>
      <c r="F63" s="39">
        <v>1.0</v>
      </c>
      <c r="G63" s="38">
        <v>116000.0</v>
      </c>
      <c r="H63" s="40">
        <f t="shared" ref="H63:H67" si="18">F63*G63</f>
        <v>116000</v>
      </c>
      <c r="I63" s="40"/>
    </row>
    <row r="64">
      <c r="A64" s="39" t="s">
        <v>1063</v>
      </c>
      <c r="D64" s="39" t="s">
        <v>1075</v>
      </c>
      <c r="E64" s="39" t="s">
        <v>90</v>
      </c>
      <c r="F64" s="39">
        <v>13.0</v>
      </c>
      <c r="G64" s="38">
        <v>6000.0</v>
      </c>
      <c r="H64" s="40">
        <f t="shared" si="18"/>
        <v>78000</v>
      </c>
      <c r="I64" s="40"/>
    </row>
    <row r="65">
      <c r="A65" s="39" t="s">
        <v>1076</v>
      </c>
      <c r="D65" s="39" t="s">
        <v>1077</v>
      </c>
      <c r="E65" s="39" t="s">
        <v>50</v>
      </c>
      <c r="F65" s="39">
        <v>3.0</v>
      </c>
      <c r="G65" s="38">
        <v>34500.0</v>
      </c>
      <c r="H65" s="40">
        <f t="shared" si="18"/>
        <v>103500</v>
      </c>
      <c r="I65" s="40"/>
    </row>
    <row r="66">
      <c r="A66" s="39" t="s">
        <v>1076</v>
      </c>
      <c r="D66" s="39" t="s">
        <v>1078</v>
      </c>
      <c r="E66" s="39" t="s">
        <v>50</v>
      </c>
      <c r="F66" s="39">
        <v>1.0</v>
      </c>
      <c r="G66" s="38">
        <v>500.0</v>
      </c>
      <c r="H66" s="40">
        <f t="shared" si="18"/>
        <v>500</v>
      </c>
      <c r="I66" s="40"/>
    </row>
    <row r="67">
      <c r="A67" s="39" t="s">
        <v>1076</v>
      </c>
      <c r="D67" s="39" t="s">
        <v>1077</v>
      </c>
      <c r="E67" s="39" t="s">
        <v>50</v>
      </c>
      <c r="F67" s="39">
        <v>3.0</v>
      </c>
      <c r="G67" s="38">
        <v>26500.0</v>
      </c>
      <c r="H67" s="40">
        <f t="shared" si="18"/>
        <v>79500</v>
      </c>
      <c r="I67" s="40"/>
    </row>
    <row r="68">
      <c r="A68" s="39" t="s">
        <v>1076</v>
      </c>
      <c r="D68" s="39" t="s">
        <v>1079</v>
      </c>
      <c r="G68" s="40"/>
      <c r="H68" s="38">
        <v>-15000.0</v>
      </c>
      <c r="I68" s="40"/>
    </row>
    <row r="69">
      <c r="A69" s="39" t="s">
        <v>1076</v>
      </c>
      <c r="D69" s="39" t="s">
        <v>1078</v>
      </c>
      <c r="F69" s="39">
        <v>1.0</v>
      </c>
      <c r="G69" s="40"/>
      <c r="H69" s="38">
        <v>500.0</v>
      </c>
      <c r="I69" s="54">
        <f>SUM(H61:H69)</f>
        <v>939000</v>
      </c>
      <c r="J69" s="39" t="s">
        <v>17</v>
      </c>
    </row>
    <row r="70">
      <c r="A70" s="63" t="s">
        <v>533</v>
      </c>
      <c r="B70" s="64"/>
      <c r="C70" s="64"/>
      <c r="D70" s="64"/>
      <c r="E70" s="64"/>
      <c r="F70" s="64"/>
      <c r="G70" s="66"/>
      <c r="H70" s="50" t="s">
        <v>11</v>
      </c>
      <c r="I70" s="67">
        <f>SUM(I71)</f>
        <v>515000</v>
      </c>
      <c r="J70" s="67">
        <f>SUM(J73:J133)</f>
        <v>0</v>
      </c>
    </row>
    <row r="71">
      <c r="A71" s="39"/>
      <c r="C71" s="39" t="s">
        <v>1032</v>
      </c>
      <c r="D71" s="39" t="s">
        <v>1080</v>
      </c>
      <c r="E71" s="39" t="s">
        <v>186</v>
      </c>
      <c r="F71" s="39">
        <v>2.0</v>
      </c>
      <c r="G71" s="40">
        <f>H71/F71</f>
        <v>257500</v>
      </c>
      <c r="H71" s="38">
        <v>515000.0</v>
      </c>
      <c r="I71" s="54">
        <f>H71</f>
        <v>515000</v>
      </c>
      <c r="K71" s="39" t="s">
        <v>17</v>
      </c>
    </row>
    <row r="72">
      <c r="A72" s="63" t="s">
        <v>576</v>
      </c>
      <c r="B72" s="64"/>
      <c r="C72" s="64"/>
      <c r="D72" s="64"/>
      <c r="E72" s="64"/>
      <c r="F72" s="64"/>
      <c r="G72" s="66"/>
      <c r="H72" s="50" t="s">
        <v>11</v>
      </c>
      <c r="I72" s="67">
        <f>sum(I73:I82)</f>
        <v>648000</v>
      </c>
      <c r="J72" s="67">
        <f>SUM(J75:J135)</f>
        <v>0</v>
      </c>
    </row>
    <row r="73">
      <c r="A73" s="39" t="s">
        <v>1063</v>
      </c>
      <c r="C73" s="39" t="s">
        <v>1043</v>
      </c>
      <c r="D73" s="39" t="s">
        <v>1081</v>
      </c>
      <c r="E73" s="39" t="s">
        <v>16</v>
      </c>
      <c r="F73" s="39">
        <v>5.0</v>
      </c>
      <c r="G73" s="40">
        <f>H73/F73</f>
        <v>29000</v>
      </c>
      <c r="H73" s="38">
        <v>145000.0</v>
      </c>
      <c r="I73" s="40"/>
    </row>
    <row r="74">
      <c r="A74" s="39" t="s">
        <v>1076</v>
      </c>
      <c r="D74" s="39" t="s">
        <v>1082</v>
      </c>
      <c r="E74" s="39" t="s">
        <v>633</v>
      </c>
      <c r="F74" s="39">
        <v>1.0</v>
      </c>
      <c r="G74" s="38">
        <v>43000.0</v>
      </c>
      <c r="H74" s="40">
        <f t="shared" ref="H74:H75" si="19">G74*F74</f>
        <v>43000</v>
      </c>
      <c r="I74" s="40"/>
    </row>
    <row r="75">
      <c r="A75" s="39" t="s">
        <v>1076</v>
      </c>
      <c r="D75" s="39" t="s">
        <v>1083</v>
      </c>
      <c r="E75" s="39" t="s">
        <v>633</v>
      </c>
      <c r="F75" s="39">
        <v>2.0</v>
      </c>
      <c r="G75" s="38">
        <v>23900.0</v>
      </c>
      <c r="H75" s="40">
        <f t="shared" si="19"/>
        <v>47800</v>
      </c>
      <c r="I75" s="40"/>
    </row>
    <row r="76">
      <c r="D76" s="39" t="s">
        <v>1078</v>
      </c>
      <c r="G76" s="40"/>
      <c r="H76" s="38">
        <v>500.0</v>
      </c>
      <c r="I76" s="40"/>
    </row>
    <row r="77">
      <c r="D77" s="39" t="s">
        <v>363</v>
      </c>
      <c r="G77" s="40"/>
      <c r="H77" s="38">
        <v>-1300.0</v>
      </c>
      <c r="I77" s="40"/>
    </row>
    <row r="78">
      <c r="A78" s="39" t="s">
        <v>1084</v>
      </c>
      <c r="D78" s="39" t="s">
        <v>1085</v>
      </c>
      <c r="E78" s="39" t="s">
        <v>16</v>
      </c>
      <c r="F78" s="39">
        <v>7.2</v>
      </c>
      <c r="G78" s="38">
        <v>15000.0</v>
      </c>
      <c r="H78" s="40">
        <f t="shared" ref="H78:H82" si="20">F78*G78</f>
        <v>108000</v>
      </c>
      <c r="I78" s="40"/>
    </row>
    <row r="79">
      <c r="A79" s="39" t="s">
        <v>1086</v>
      </c>
      <c r="D79" s="39" t="s">
        <v>1087</v>
      </c>
      <c r="E79" s="39" t="s">
        <v>16</v>
      </c>
      <c r="F79" s="39">
        <v>3.0</v>
      </c>
      <c r="G79" s="38">
        <v>29000.0</v>
      </c>
      <c r="H79" s="40">
        <f t="shared" si="20"/>
        <v>87000</v>
      </c>
      <c r="I79" s="40">
        <f>SUM(H73:H79)</f>
        <v>430000</v>
      </c>
      <c r="K79" s="39" t="s">
        <v>17</v>
      </c>
    </row>
    <row r="80">
      <c r="A80" s="39" t="s">
        <v>1076</v>
      </c>
      <c r="C80" s="39" t="s">
        <v>640</v>
      </c>
      <c r="D80" s="39" t="s">
        <v>229</v>
      </c>
      <c r="E80" s="39" t="s">
        <v>16</v>
      </c>
      <c r="F80" s="39">
        <v>5.0</v>
      </c>
      <c r="G80" s="38">
        <v>25000.0</v>
      </c>
      <c r="H80" s="40">
        <f t="shared" si="20"/>
        <v>125000</v>
      </c>
      <c r="I80" s="40"/>
    </row>
    <row r="81">
      <c r="A81" s="39" t="s">
        <v>1084</v>
      </c>
      <c r="D81" s="39" t="s">
        <v>158</v>
      </c>
      <c r="E81" s="39" t="s">
        <v>16</v>
      </c>
      <c r="F81" s="39">
        <v>5.0</v>
      </c>
      <c r="G81" s="38">
        <v>5000.0</v>
      </c>
      <c r="H81" s="40">
        <f t="shared" si="20"/>
        <v>25000</v>
      </c>
      <c r="I81" s="40"/>
    </row>
    <row r="82">
      <c r="A82" s="39" t="s">
        <v>1084</v>
      </c>
      <c r="D82" s="39" t="s">
        <v>1088</v>
      </c>
      <c r="E82" s="39" t="s">
        <v>133</v>
      </c>
      <c r="F82" s="39">
        <v>17.0</v>
      </c>
      <c r="G82" s="38">
        <v>4000.0</v>
      </c>
      <c r="H82" s="40">
        <f t="shared" si="20"/>
        <v>68000</v>
      </c>
      <c r="I82" s="40">
        <f>SUM(H80:H82)</f>
        <v>218000</v>
      </c>
      <c r="K82" s="39" t="s">
        <v>17</v>
      </c>
    </row>
    <row r="83">
      <c r="A83" s="63" t="s">
        <v>605</v>
      </c>
      <c r="B83" s="64"/>
      <c r="C83" s="64"/>
      <c r="D83" s="64"/>
      <c r="E83" s="64"/>
      <c r="F83" s="64"/>
      <c r="G83" s="66"/>
      <c r="H83" s="50" t="s">
        <v>11</v>
      </c>
      <c r="I83" s="67">
        <f t="shared" ref="I83:J83" si="21">SUM((I84:I85))</f>
        <v>157000</v>
      </c>
      <c r="J83" s="67">
        <f t="shared" si="21"/>
        <v>0</v>
      </c>
    </row>
    <row r="84">
      <c r="C84" s="39" t="s">
        <v>640</v>
      </c>
      <c r="D84" s="39" t="s">
        <v>85</v>
      </c>
      <c r="E84" s="39" t="s">
        <v>16</v>
      </c>
      <c r="F84" s="39">
        <v>1.0</v>
      </c>
      <c r="G84" s="38">
        <v>32000.0</v>
      </c>
      <c r="H84" s="40">
        <f t="shared" ref="H84:H85" si="22">F84*G84</f>
        <v>32000</v>
      </c>
      <c r="I84" s="40"/>
    </row>
    <row r="85">
      <c r="D85" s="39" t="s">
        <v>184</v>
      </c>
      <c r="E85" s="39" t="s">
        <v>16</v>
      </c>
      <c r="F85" s="39">
        <v>5.0</v>
      </c>
      <c r="G85" s="38">
        <v>25000.0</v>
      </c>
      <c r="H85" s="40">
        <f t="shared" si="22"/>
        <v>125000</v>
      </c>
      <c r="I85" s="40">
        <f>SUM(H84:H85)</f>
        <v>157000</v>
      </c>
    </row>
    <row r="86">
      <c r="A86" s="63" t="s">
        <v>610</v>
      </c>
      <c r="B86" s="64"/>
      <c r="C86" s="64"/>
      <c r="D86" s="64"/>
      <c r="E86" s="64"/>
      <c r="F86" s="64"/>
      <c r="G86" s="66"/>
      <c r="H86" s="50" t="s">
        <v>11</v>
      </c>
      <c r="I86" s="67">
        <f>sum(I87:I88)</f>
        <v>279000</v>
      </c>
      <c r="J86" s="67"/>
    </row>
    <row r="87">
      <c r="C87" s="39" t="s">
        <v>1043</v>
      </c>
      <c r="D87" s="39" t="s">
        <v>1089</v>
      </c>
      <c r="E87" s="39" t="s">
        <v>16</v>
      </c>
      <c r="F87" s="39">
        <v>5.0</v>
      </c>
      <c r="G87" s="38">
        <v>39000.0</v>
      </c>
      <c r="H87" s="40">
        <f t="shared" ref="H87:H88" si="23">F87*G87</f>
        <v>195000</v>
      </c>
      <c r="I87" s="40"/>
    </row>
    <row r="88">
      <c r="D88" s="39" t="s">
        <v>1090</v>
      </c>
      <c r="E88" s="39" t="s">
        <v>1059</v>
      </c>
      <c r="F88" s="39">
        <v>2.0</v>
      </c>
      <c r="G88" s="38">
        <v>42000.0</v>
      </c>
      <c r="H88" s="40">
        <f t="shared" si="23"/>
        <v>84000</v>
      </c>
      <c r="I88" s="40">
        <f>sum(H87:H88)</f>
        <v>279000</v>
      </c>
      <c r="J88" s="87"/>
    </row>
    <row r="89">
      <c r="A89" s="63" t="s">
        <v>636</v>
      </c>
      <c r="B89" s="64"/>
      <c r="C89" s="64"/>
      <c r="D89" s="64"/>
      <c r="E89" s="64"/>
      <c r="F89" s="64"/>
      <c r="G89" s="66"/>
      <c r="H89" s="50" t="s">
        <v>11</v>
      </c>
      <c r="I89" s="67">
        <f>SUM(I90:I93)</f>
        <v>71000</v>
      </c>
      <c r="J89" s="67">
        <f>SUM(J92:J152)</f>
        <v>0</v>
      </c>
    </row>
    <row r="90">
      <c r="C90" s="39" t="s">
        <v>640</v>
      </c>
      <c r="D90" s="39" t="s">
        <v>1091</v>
      </c>
      <c r="E90" s="39" t="s">
        <v>16</v>
      </c>
      <c r="F90" s="39">
        <v>2.0</v>
      </c>
      <c r="G90" s="38">
        <v>17500.0</v>
      </c>
      <c r="H90" s="40">
        <f t="shared" ref="H90:H93" si="24">G90*F90</f>
        <v>35000</v>
      </c>
      <c r="I90" s="40"/>
    </row>
    <row r="91">
      <c r="D91" s="39" t="s">
        <v>1092</v>
      </c>
      <c r="E91" s="39" t="s">
        <v>1059</v>
      </c>
      <c r="F91" s="39">
        <v>1.0</v>
      </c>
      <c r="G91" s="38">
        <v>26500.0</v>
      </c>
      <c r="H91" s="40">
        <f t="shared" si="24"/>
        <v>26500</v>
      </c>
      <c r="I91" s="40"/>
    </row>
    <row r="92">
      <c r="D92" s="39" t="s">
        <v>1093</v>
      </c>
      <c r="F92" s="39">
        <v>1.0</v>
      </c>
      <c r="G92" s="38">
        <v>500.0</v>
      </c>
      <c r="H92" s="40">
        <f t="shared" si="24"/>
        <v>500</v>
      </c>
      <c r="I92" s="40"/>
    </row>
    <row r="93">
      <c r="D93" s="39" t="s">
        <v>427</v>
      </c>
      <c r="E93" s="39" t="s">
        <v>1094</v>
      </c>
      <c r="F93" s="39">
        <v>300.0</v>
      </c>
      <c r="G93" s="38">
        <v>30.0</v>
      </c>
      <c r="H93" s="40">
        <f t="shared" si="24"/>
        <v>9000</v>
      </c>
      <c r="I93" s="54">
        <f>SUM(H90:H93)</f>
        <v>71000</v>
      </c>
    </row>
    <row r="94">
      <c r="A94" s="63" t="s">
        <v>665</v>
      </c>
      <c r="B94" s="64"/>
      <c r="C94" s="64"/>
      <c r="D94" s="64"/>
      <c r="E94" s="64"/>
      <c r="F94" s="64"/>
      <c r="G94" s="66"/>
      <c r="H94" s="50" t="s">
        <v>11</v>
      </c>
      <c r="I94" s="67">
        <f t="shared" ref="I94:J94" si="25">sum(I95:I98)</f>
        <v>156900</v>
      </c>
      <c r="J94" s="67">
        <f t="shared" si="25"/>
        <v>0</v>
      </c>
    </row>
    <row r="95">
      <c r="A95" s="39" t="s">
        <v>1095</v>
      </c>
      <c r="C95" s="39" t="s">
        <v>1096</v>
      </c>
      <c r="D95" s="39" t="s">
        <v>1097</v>
      </c>
      <c r="E95" s="39" t="s">
        <v>16</v>
      </c>
      <c r="F95" s="39">
        <f>H95/G95</f>
        <v>1.272727273</v>
      </c>
      <c r="G95" s="38">
        <v>22000.0</v>
      </c>
      <c r="H95" s="38">
        <v>28000.0</v>
      </c>
      <c r="I95" s="40"/>
    </row>
    <row r="96">
      <c r="D96" s="39" t="s">
        <v>1098</v>
      </c>
      <c r="E96" s="39" t="s">
        <v>633</v>
      </c>
      <c r="F96" s="39">
        <v>1.0</v>
      </c>
      <c r="G96" s="38">
        <v>42800.0</v>
      </c>
      <c r="H96" s="40">
        <f t="shared" ref="H96:H97" si="26">G96*F96</f>
        <v>42800</v>
      </c>
      <c r="I96" s="40"/>
    </row>
    <row r="97">
      <c r="D97" s="39" t="s">
        <v>1098</v>
      </c>
      <c r="E97" s="39" t="s">
        <v>633</v>
      </c>
      <c r="F97" s="39">
        <v>2.0</v>
      </c>
      <c r="G97" s="38">
        <v>42800.0</v>
      </c>
      <c r="H97" s="40">
        <f t="shared" si="26"/>
        <v>85600</v>
      </c>
      <c r="I97" s="40"/>
    </row>
    <row r="98">
      <c r="D98" s="39" t="s">
        <v>1093</v>
      </c>
      <c r="F98" s="39">
        <v>1.0</v>
      </c>
      <c r="G98" s="38">
        <v>500.0</v>
      </c>
      <c r="H98" s="40">
        <f>F98*G98</f>
        <v>500</v>
      </c>
      <c r="I98" s="54">
        <f>SUM(H95:H98)</f>
        <v>156900</v>
      </c>
    </row>
    <row r="99">
      <c r="A99" s="63" t="s">
        <v>707</v>
      </c>
      <c r="B99" s="64"/>
      <c r="C99" s="64"/>
      <c r="D99" s="64"/>
      <c r="E99" s="64"/>
      <c r="F99" s="64"/>
      <c r="G99" s="66"/>
      <c r="H99" s="50" t="s">
        <v>11</v>
      </c>
      <c r="I99" s="67">
        <f t="shared" ref="I99:J99" si="27">SUM(I100:I106)</f>
        <v>1084000</v>
      </c>
      <c r="J99" s="67">
        <f t="shared" si="27"/>
        <v>0</v>
      </c>
    </row>
    <row r="100">
      <c r="C100" s="39" t="s">
        <v>1032</v>
      </c>
      <c r="D100" s="39" t="s">
        <v>29</v>
      </c>
      <c r="E100" s="39" t="s">
        <v>16</v>
      </c>
      <c r="F100" s="39">
        <v>3.0</v>
      </c>
      <c r="G100" s="38">
        <v>30000.0</v>
      </c>
      <c r="H100" s="40">
        <f t="shared" ref="H100:H106" si="28">F100*G100</f>
        <v>90000</v>
      </c>
      <c r="I100" s="40"/>
    </row>
    <row r="101">
      <c r="D101" s="39" t="s">
        <v>1099</v>
      </c>
      <c r="E101" s="39" t="s">
        <v>16</v>
      </c>
      <c r="F101" s="39">
        <v>3.0</v>
      </c>
      <c r="G101" s="38">
        <v>12000.0</v>
      </c>
      <c r="H101" s="40">
        <f t="shared" si="28"/>
        <v>36000</v>
      </c>
      <c r="I101" s="40"/>
    </row>
    <row r="102">
      <c r="D102" s="39" t="s">
        <v>1100</v>
      </c>
      <c r="E102" s="39" t="s">
        <v>16</v>
      </c>
      <c r="F102" s="39">
        <v>3.0</v>
      </c>
      <c r="G102" s="38">
        <v>10000.0</v>
      </c>
      <c r="H102" s="40">
        <f t="shared" si="28"/>
        <v>30000</v>
      </c>
      <c r="I102" s="40"/>
    </row>
    <row r="103">
      <c r="D103" s="39" t="s">
        <v>1101</v>
      </c>
      <c r="E103" s="39" t="s">
        <v>16</v>
      </c>
      <c r="F103" s="39">
        <v>3.0</v>
      </c>
      <c r="G103" s="38">
        <v>18000.0</v>
      </c>
      <c r="H103" s="40">
        <f t="shared" si="28"/>
        <v>54000</v>
      </c>
      <c r="I103" s="54">
        <f>SUM(H100:H103)</f>
        <v>210000</v>
      </c>
      <c r="K103" s="39" t="s">
        <v>17</v>
      </c>
    </row>
    <row r="104">
      <c r="C104" s="39" t="s">
        <v>437</v>
      </c>
      <c r="D104" s="39" t="s">
        <v>34</v>
      </c>
      <c r="E104" s="39" t="s">
        <v>16</v>
      </c>
      <c r="F104" s="39">
        <v>5.0</v>
      </c>
      <c r="G104" s="38">
        <v>12000.0</v>
      </c>
      <c r="H104" s="40">
        <f t="shared" si="28"/>
        <v>60000</v>
      </c>
      <c r="I104" s="54">
        <f>H104</f>
        <v>60000</v>
      </c>
      <c r="K104" s="39" t="s">
        <v>17</v>
      </c>
    </row>
    <row r="105">
      <c r="C105" s="39" t="s">
        <v>1102</v>
      </c>
      <c r="D105" s="39" t="s">
        <v>1103</v>
      </c>
      <c r="E105" s="39" t="s">
        <v>633</v>
      </c>
      <c r="F105" s="39">
        <v>3.0</v>
      </c>
      <c r="G105" s="38">
        <v>258000.0</v>
      </c>
      <c r="H105" s="40">
        <f t="shared" si="28"/>
        <v>774000</v>
      </c>
      <c r="I105" s="40"/>
    </row>
    <row r="106">
      <c r="D106" s="39" t="s">
        <v>150</v>
      </c>
      <c r="E106" s="39" t="s">
        <v>16</v>
      </c>
      <c r="F106" s="39">
        <v>2.0</v>
      </c>
      <c r="G106" s="38">
        <v>20000.0</v>
      </c>
      <c r="H106" s="40">
        <f t="shared" si="28"/>
        <v>40000</v>
      </c>
      <c r="I106" s="54">
        <f>SUM(H105:H106)</f>
        <v>814000</v>
      </c>
      <c r="K106" s="39" t="s">
        <v>17</v>
      </c>
    </row>
    <row r="107">
      <c r="A107" s="63" t="s">
        <v>707</v>
      </c>
      <c r="B107" s="64"/>
      <c r="C107" s="64"/>
      <c r="D107" s="64"/>
      <c r="E107" s="64"/>
      <c r="F107" s="64"/>
      <c r="G107" s="66"/>
      <c r="H107" s="50" t="s">
        <v>11</v>
      </c>
      <c r="I107" s="67">
        <f t="shared" ref="I107:J107" si="29">SUM(I108:I115)</f>
        <v>0</v>
      </c>
      <c r="J107" s="67">
        <f t="shared" si="29"/>
        <v>0</v>
      </c>
    </row>
    <row r="108">
      <c r="G108" s="40"/>
      <c r="H108" s="40"/>
      <c r="I108" s="40"/>
    </row>
    <row r="109">
      <c r="G109" s="40"/>
      <c r="H109" s="40"/>
      <c r="I109" s="40"/>
    </row>
    <row r="110">
      <c r="G110" s="40"/>
      <c r="H110" s="40"/>
      <c r="I110" s="40"/>
    </row>
    <row r="111">
      <c r="G111" s="40"/>
      <c r="H111" s="40"/>
      <c r="I111" s="40"/>
    </row>
    <row r="112">
      <c r="G112" s="40"/>
      <c r="H112" s="40"/>
      <c r="I112" s="40"/>
    </row>
    <row r="113">
      <c r="G113" s="40"/>
      <c r="H113" s="40"/>
      <c r="I113" s="40"/>
    </row>
    <row r="114">
      <c r="G114" s="40"/>
      <c r="H114" s="40"/>
      <c r="I114" s="40"/>
    </row>
    <row r="115">
      <c r="G115" s="40"/>
      <c r="H115" s="40"/>
      <c r="I115" s="40"/>
    </row>
    <row r="116">
      <c r="G116" s="40"/>
      <c r="H116" s="40"/>
      <c r="I116" s="40"/>
    </row>
    <row r="117">
      <c r="G117" s="40"/>
      <c r="H117" s="40"/>
      <c r="I117" s="40"/>
    </row>
    <row r="118">
      <c r="G118" s="40"/>
      <c r="H118" s="40"/>
      <c r="I118" s="40"/>
    </row>
    <row r="119">
      <c r="G119" s="40"/>
      <c r="H119" s="40"/>
      <c r="I119" s="40"/>
    </row>
    <row r="120">
      <c r="G120" s="40"/>
      <c r="H120" s="40"/>
      <c r="I120" s="40"/>
    </row>
    <row r="121">
      <c r="G121" s="40"/>
      <c r="H121" s="40"/>
      <c r="I121" s="40"/>
    </row>
    <row r="122">
      <c r="G122" s="40"/>
      <c r="H122" s="40"/>
      <c r="I122" s="40"/>
    </row>
    <row r="123">
      <c r="G123" s="40"/>
      <c r="H123" s="40"/>
      <c r="I123" s="40"/>
    </row>
    <row r="124">
      <c r="G124" s="40"/>
      <c r="H124" s="40"/>
      <c r="I124" s="40"/>
    </row>
    <row r="125">
      <c r="G125" s="40"/>
      <c r="H125" s="40"/>
      <c r="I125" s="40"/>
    </row>
    <row r="126">
      <c r="G126" s="40"/>
      <c r="H126" s="40"/>
      <c r="I126" s="40"/>
    </row>
    <row r="127">
      <c r="G127" s="40"/>
      <c r="H127" s="40"/>
      <c r="I127" s="40"/>
    </row>
    <row r="128">
      <c r="G128" s="40"/>
      <c r="H128" s="40"/>
      <c r="I128" s="40"/>
    </row>
    <row r="129">
      <c r="G129" s="40"/>
      <c r="H129" s="40"/>
      <c r="I129" s="40"/>
    </row>
    <row r="130">
      <c r="G130" s="40"/>
      <c r="H130" s="40"/>
      <c r="I130" s="40"/>
    </row>
    <row r="131">
      <c r="G131" s="40"/>
      <c r="H131" s="40"/>
      <c r="I131" s="40"/>
    </row>
    <row r="132">
      <c r="G132" s="40"/>
      <c r="H132" s="40"/>
      <c r="I132" s="40"/>
    </row>
    <row r="133">
      <c r="G133" s="40"/>
      <c r="H133" s="40"/>
      <c r="I133" s="40"/>
    </row>
    <row r="134">
      <c r="G134" s="40"/>
      <c r="H134" s="40"/>
      <c r="I134" s="40"/>
    </row>
    <row r="135">
      <c r="G135" s="40"/>
      <c r="H135" s="40"/>
      <c r="I135" s="40"/>
    </row>
    <row r="136">
      <c r="G136" s="40"/>
      <c r="H136" s="40"/>
      <c r="I136" s="40"/>
    </row>
    <row r="137">
      <c r="G137" s="40"/>
      <c r="H137" s="40"/>
      <c r="I137" s="40"/>
    </row>
    <row r="138">
      <c r="G138" s="40"/>
      <c r="H138" s="40"/>
      <c r="I138" s="40"/>
    </row>
    <row r="139">
      <c r="G139" s="40"/>
      <c r="H139" s="40"/>
      <c r="I139" s="40"/>
    </row>
    <row r="140">
      <c r="G140" s="40"/>
      <c r="H140" s="40"/>
      <c r="I140" s="40"/>
    </row>
    <row r="141">
      <c r="G141" s="40"/>
      <c r="H141" s="40"/>
      <c r="I141" s="40"/>
    </row>
    <row r="142">
      <c r="G142" s="40"/>
      <c r="H142" s="40"/>
      <c r="I142" s="40"/>
    </row>
    <row r="143">
      <c r="G143" s="40"/>
      <c r="H143" s="40"/>
      <c r="I143" s="40"/>
    </row>
    <row r="144">
      <c r="G144" s="40"/>
      <c r="H144" s="40"/>
      <c r="I144" s="40"/>
    </row>
    <row r="145">
      <c r="G145" s="40"/>
      <c r="H145" s="40"/>
      <c r="I145" s="40"/>
    </row>
    <row r="146">
      <c r="G146" s="40"/>
      <c r="H146" s="40"/>
      <c r="I146" s="40"/>
    </row>
    <row r="147">
      <c r="G147" s="40"/>
      <c r="H147" s="40"/>
      <c r="I147" s="40"/>
    </row>
    <row r="148">
      <c r="G148" s="40"/>
      <c r="H148" s="40"/>
      <c r="I148" s="40"/>
    </row>
    <row r="149">
      <c r="G149" s="40"/>
      <c r="H149" s="40"/>
      <c r="I149" s="40"/>
    </row>
    <row r="150">
      <c r="G150" s="40"/>
      <c r="H150" s="40"/>
      <c r="I150" s="40"/>
    </row>
    <row r="151">
      <c r="G151" s="40"/>
      <c r="H151" s="40"/>
      <c r="I151" s="40"/>
    </row>
    <row r="152">
      <c r="G152" s="40"/>
      <c r="H152" s="40"/>
      <c r="I152" s="40"/>
    </row>
    <row r="153">
      <c r="G153" s="40"/>
      <c r="H153" s="40"/>
      <c r="I153" s="40"/>
    </row>
    <row r="154">
      <c r="G154" s="40"/>
      <c r="H154" s="40"/>
      <c r="I154" s="40"/>
    </row>
    <row r="155">
      <c r="G155" s="40"/>
      <c r="H155" s="40"/>
      <c r="I155" s="40"/>
    </row>
    <row r="156">
      <c r="G156" s="40"/>
      <c r="H156" s="40"/>
      <c r="I156" s="40"/>
    </row>
    <row r="157">
      <c r="G157" s="40"/>
      <c r="H157" s="40"/>
      <c r="I157" s="40"/>
    </row>
    <row r="158">
      <c r="G158" s="40"/>
      <c r="H158" s="40"/>
      <c r="I158" s="40"/>
    </row>
    <row r="159">
      <c r="G159" s="40"/>
      <c r="H159" s="40"/>
      <c r="I159" s="40"/>
    </row>
    <row r="160">
      <c r="G160" s="40"/>
      <c r="H160" s="40"/>
      <c r="I160" s="40"/>
    </row>
    <row r="161">
      <c r="G161" s="40"/>
      <c r="H161" s="40"/>
      <c r="I161" s="40"/>
    </row>
    <row r="162">
      <c r="G162" s="40"/>
      <c r="H162" s="40"/>
      <c r="I162" s="40"/>
    </row>
    <row r="163">
      <c r="G163" s="40"/>
      <c r="H163" s="40"/>
      <c r="I163" s="40"/>
    </row>
    <row r="164">
      <c r="G164" s="40"/>
      <c r="H164" s="40"/>
      <c r="I164" s="40"/>
    </row>
    <row r="165">
      <c r="G165" s="40"/>
      <c r="H165" s="40"/>
      <c r="I165" s="40"/>
    </row>
    <row r="166">
      <c r="G166" s="40"/>
      <c r="H166" s="40"/>
      <c r="I166" s="40"/>
    </row>
    <row r="167">
      <c r="G167" s="40"/>
      <c r="H167" s="40"/>
      <c r="I167" s="40"/>
    </row>
    <row r="168">
      <c r="G168" s="40"/>
      <c r="H168" s="40"/>
      <c r="I168" s="40"/>
    </row>
    <row r="169">
      <c r="G169" s="40"/>
      <c r="H169" s="40"/>
      <c r="I169" s="40"/>
    </row>
    <row r="170">
      <c r="G170" s="40"/>
      <c r="H170" s="40"/>
      <c r="I170" s="40"/>
    </row>
    <row r="171">
      <c r="G171" s="40"/>
      <c r="H171" s="40"/>
      <c r="I171" s="40"/>
    </row>
    <row r="172">
      <c r="G172" s="40"/>
      <c r="H172" s="40"/>
      <c r="I172" s="40"/>
    </row>
    <row r="173">
      <c r="G173" s="40"/>
      <c r="H173" s="40"/>
      <c r="I173" s="40"/>
    </row>
    <row r="174">
      <c r="G174" s="40"/>
      <c r="H174" s="40"/>
      <c r="I174" s="40"/>
    </row>
    <row r="175">
      <c r="G175" s="40"/>
      <c r="H175" s="40"/>
      <c r="I175" s="40"/>
    </row>
    <row r="176">
      <c r="G176" s="40"/>
      <c r="H176" s="40"/>
      <c r="I176" s="40"/>
    </row>
    <row r="177">
      <c r="G177" s="40"/>
      <c r="H177" s="40"/>
      <c r="I177" s="40"/>
    </row>
    <row r="178">
      <c r="G178" s="40"/>
      <c r="H178" s="40"/>
      <c r="I178" s="40"/>
    </row>
    <row r="179">
      <c r="G179" s="40"/>
      <c r="H179" s="40"/>
      <c r="I179" s="40"/>
    </row>
    <row r="180">
      <c r="G180" s="40"/>
      <c r="H180" s="40"/>
      <c r="I180" s="40"/>
    </row>
    <row r="181">
      <c r="G181" s="40"/>
      <c r="H181" s="40"/>
      <c r="I181" s="40"/>
    </row>
    <row r="182">
      <c r="G182" s="40"/>
      <c r="H182" s="40"/>
      <c r="I182" s="40"/>
    </row>
    <row r="183">
      <c r="G183" s="40"/>
      <c r="H183" s="40"/>
      <c r="I183" s="40"/>
    </row>
    <row r="184">
      <c r="G184" s="40"/>
      <c r="H184" s="40"/>
      <c r="I184" s="40"/>
    </row>
    <row r="185">
      <c r="G185" s="40"/>
      <c r="H185" s="40"/>
      <c r="I185" s="40"/>
    </row>
    <row r="186">
      <c r="G186" s="40"/>
      <c r="H186" s="40"/>
      <c r="I186" s="40"/>
    </row>
    <row r="187">
      <c r="G187" s="40"/>
      <c r="H187" s="40"/>
      <c r="I187" s="40"/>
    </row>
    <row r="188">
      <c r="G188" s="40"/>
      <c r="H188" s="40"/>
      <c r="I188" s="40"/>
    </row>
    <row r="189">
      <c r="G189" s="40"/>
      <c r="H189" s="40"/>
      <c r="I189" s="40"/>
    </row>
    <row r="190">
      <c r="G190" s="40"/>
      <c r="H190" s="40"/>
      <c r="I190" s="40"/>
    </row>
    <row r="191">
      <c r="G191" s="40"/>
      <c r="H191" s="40"/>
      <c r="I191" s="40"/>
    </row>
    <row r="192">
      <c r="G192" s="40"/>
      <c r="H192" s="40"/>
      <c r="I192" s="40"/>
    </row>
    <row r="193">
      <c r="G193" s="40"/>
      <c r="H193" s="40"/>
      <c r="I193" s="40"/>
    </row>
    <row r="194">
      <c r="G194" s="40"/>
      <c r="H194" s="40"/>
      <c r="I194" s="40"/>
    </row>
    <row r="195">
      <c r="G195" s="40"/>
      <c r="H195" s="40"/>
      <c r="I195" s="40"/>
    </row>
    <row r="196">
      <c r="G196" s="40"/>
      <c r="H196" s="40"/>
      <c r="I196" s="40"/>
    </row>
    <row r="197">
      <c r="G197" s="40"/>
      <c r="H197" s="40"/>
      <c r="I197" s="40"/>
    </row>
    <row r="198">
      <c r="G198" s="40"/>
      <c r="H198" s="40"/>
      <c r="I198" s="40"/>
    </row>
    <row r="199">
      <c r="G199" s="40"/>
      <c r="H199" s="40"/>
      <c r="I199" s="40"/>
    </row>
    <row r="200">
      <c r="G200" s="40"/>
      <c r="H200" s="40"/>
      <c r="I200" s="40"/>
    </row>
    <row r="201">
      <c r="G201" s="40"/>
      <c r="H201" s="40"/>
      <c r="I201" s="40"/>
    </row>
    <row r="202">
      <c r="G202" s="40"/>
      <c r="H202" s="40"/>
      <c r="I202" s="40"/>
    </row>
    <row r="203">
      <c r="G203" s="40"/>
      <c r="H203" s="40"/>
      <c r="I203" s="40"/>
    </row>
    <row r="204">
      <c r="G204" s="40"/>
      <c r="H204" s="40"/>
      <c r="I204" s="40"/>
    </row>
    <row r="205">
      <c r="G205" s="40"/>
      <c r="H205" s="40"/>
      <c r="I205" s="40"/>
    </row>
    <row r="206">
      <c r="G206" s="40"/>
      <c r="H206" s="40"/>
      <c r="I206" s="40"/>
    </row>
    <row r="207">
      <c r="G207" s="40"/>
      <c r="H207" s="40"/>
      <c r="I207" s="40"/>
    </row>
    <row r="208">
      <c r="G208" s="40"/>
      <c r="H208" s="40"/>
      <c r="I208" s="40"/>
    </row>
    <row r="209">
      <c r="G209" s="40"/>
      <c r="H209" s="40"/>
      <c r="I209" s="40"/>
    </row>
    <row r="210">
      <c r="G210" s="40"/>
      <c r="H210" s="40"/>
      <c r="I210" s="40"/>
    </row>
    <row r="211">
      <c r="G211" s="40"/>
      <c r="H211" s="40"/>
      <c r="I211" s="40"/>
    </row>
    <row r="212">
      <c r="G212" s="40"/>
      <c r="H212" s="40"/>
      <c r="I212" s="40"/>
    </row>
    <row r="213">
      <c r="G213" s="40"/>
      <c r="H213" s="40"/>
      <c r="I213" s="40"/>
    </row>
    <row r="214">
      <c r="G214" s="40"/>
      <c r="H214" s="40"/>
      <c r="I214" s="40"/>
    </row>
    <row r="215">
      <c r="G215" s="40"/>
      <c r="H215" s="40"/>
      <c r="I215" s="40"/>
    </row>
    <row r="216">
      <c r="G216" s="40"/>
      <c r="H216" s="40"/>
      <c r="I216" s="40"/>
    </row>
    <row r="217">
      <c r="G217" s="40"/>
      <c r="H217" s="40"/>
      <c r="I217" s="40"/>
    </row>
    <row r="218">
      <c r="G218" s="40"/>
      <c r="H218" s="40"/>
      <c r="I218" s="40"/>
    </row>
    <row r="219">
      <c r="G219" s="40"/>
      <c r="H219" s="40"/>
      <c r="I219" s="40"/>
    </row>
    <row r="220">
      <c r="G220" s="40"/>
      <c r="H220" s="40"/>
      <c r="I220" s="40"/>
    </row>
    <row r="221">
      <c r="G221" s="40"/>
      <c r="H221" s="40"/>
      <c r="I221" s="40"/>
    </row>
    <row r="222">
      <c r="G222" s="40"/>
      <c r="H222" s="40"/>
      <c r="I222" s="40"/>
    </row>
    <row r="223">
      <c r="G223" s="40"/>
      <c r="H223" s="40"/>
      <c r="I223" s="40"/>
    </row>
    <row r="224">
      <c r="G224" s="40"/>
      <c r="H224" s="40"/>
      <c r="I224" s="40"/>
    </row>
    <row r="225">
      <c r="G225" s="40"/>
      <c r="H225" s="40"/>
      <c r="I225" s="40"/>
    </row>
    <row r="226">
      <c r="G226" s="40"/>
      <c r="H226" s="40"/>
      <c r="I226" s="40"/>
    </row>
    <row r="227">
      <c r="G227" s="40"/>
      <c r="H227" s="40"/>
      <c r="I227" s="40"/>
    </row>
    <row r="228">
      <c r="G228" s="40"/>
      <c r="H228" s="40"/>
      <c r="I228" s="40"/>
    </row>
    <row r="229">
      <c r="G229" s="40"/>
      <c r="H229" s="40"/>
      <c r="I229" s="40"/>
    </row>
    <row r="230">
      <c r="G230" s="40"/>
      <c r="H230" s="40"/>
      <c r="I230" s="40"/>
    </row>
    <row r="231">
      <c r="G231" s="40"/>
      <c r="H231" s="40"/>
      <c r="I231" s="40"/>
    </row>
    <row r="232">
      <c r="G232" s="40"/>
      <c r="H232" s="40"/>
      <c r="I232" s="40"/>
    </row>
    <row r="233">
      <c r="G233" s="40"/>
      <c r="H233" s="40"/>
      <c r="I233" s="40"/>
    </row>
    <row r="234">
      <c r="G234" s="40"/>
      <c r="H234" s="40"/>
      <c r="I234" s="40"/>
    </row>
    <row r="235">
      <c r="G235" s="40"/>
      <c r="H235" s="40"/>
      <c r="I235" s="40"/>
    </row>
    <row r="236">
      <c r="G236" s="40"/>
      <c r="H236" s="40"/>
      <c r="I236" s="40"/>
    </row>
    <row r="237">
      <c r="G237" s="40"/>
      <c r="H237" s="40"/>
      <c r="I237" s="40"/>
    </row>
    <row r="238">
      <c r="G238" s="40"/>
      <c r="H238" s="40"/>
      <c r="I238" s="40"/>
    </row>
    <row r="239">
      <c r="G239" s="40"/>
      <c r="H239" s="40"/>
      <c r="I239" s="40"/>
    </row>
    <row r="240">
      <c r="G240" s="40"/>
      <c r="H240" s="40"/>
      <c r="I240" s="40"/>
    </row>
    <row r="241">
      <c r="G241" s="40"/>
      <c r="H241" s="40"/>
      <c r="I241" s="40"/>
    </row>
    <row r="242">
      <c r="G242" s="40"/>
      <c r="H242" s="40"/>
      <c r="I242" s="40"/>
    </row>
    <row r="243">
      <c r="G243" s="40"/>
      <c r="H243" s="40"/>
      <c r="I243" s="40"/>
    </row>
    <row r="244">
      <c r="G244" s="40"/>
      <c r="H244" s="40"/>
      <c r="I244" s="40"/>
    </row>
    <row r="245">
      <c r="G245" s="40"/>
      <c r="H245" s="40"/>
      <c r="I245" s="40"/>
    </row>
    <row r="246">
      <c r="G246" s="40"/>
      <c r="H246" s="40"/>
      <c r="I246" s="40"/>
    </row>
    <row r="247">
      <c r="G247" s="40"/>
      <c r="H247" s="40"/>
      <c r="I247" s="40"/>
    </row>
    <row r="248">
      <c r="G248" s="40"/>
      <c r="H248" s="40"/>
      <c r="I248" s="40"/>
    </row>
    <row r="249">
      <c r="G249" s="40"/>
      <c r="H249" s="40"/>
      <c r="I249" s="40"/>
    </row>
    <row r="250">
      <c r="G250" s="40"/>
      <c r="H250" s="40"/>
      <c r="I250" s="40"/>
    </row>
    <row r="251">
      <c r="G251" s="40"/>
      <c r="H251" s="40"/>
      <c r="I251" s="40"/>
    </row>
    <row r="252">
      <c r="G252" s="40"/>
      <c r="H252" s="40"/>
      <c r="I252" s="40"/>
    </row>
    <row r="253">
      <c r="G253" s="40"/>
      <c r="H253" s="40"/>
      <c r="I253" s="40"/>
    </row>
    <row r="254">
      <c r="G254" s="40"/>
      <c r="H254" s="40"/>
      <c r="I254" s="40"/>
    </row>
    <row r="255">
      <c r="G255" s="40"/>
      <c r="H255" s="40"/>
      <c r="I255" s="40"/>
    </row>
    <row r="256">
      <c r="G256" s="40"/>
      <c r="H256" s="40"/>
      <c r="I256" s="40"/>
    </row>
    <row r="257">
      <c r="G257" s="40"/>
      <c r="H257" s="40"/>
      <c r="I257" s="40"/>
    </row>
    <row r="258">
      <c r="G258" s="40"/>
      <c r="H258" s="40"/>
      <c r="I258" s="40"/>
    </row>
    <row r="259">
      <c r="G259" s="40"/>
      <c r="H259" s="40"/>
      <c r="I259" s="40"/>
    </row>
    <row r="260">
      <c r="G260" s="40"/>
      <c r="H260" s="40"/>
      <c r="I260" s="40"/>
    </row>
    <row r="261">
      <c r="G261" s="40"/>
      <c r="H261" s="40"/>
      <c r="I261" s="40"/>
    </row>
    <row r="262">
      <c r="G262" s="40"/>
      <c r="H262" s="40"/>
      <c r="I262" s="40"/>
    </row>
    <row r="263">
      <c r="G263" s="40"/>
      <c r="H263" s="40"/>
      <c r="I263" s="40"/>
    </row>
    <row r="264">
      <c r="G264" s="40"/>
      <c r="H264" s="40"/>
      <c r="I264" s="40"/>
    </row>
    <row r="265">
      <c r="G265" s="40"/>
      <c r="H265" s="40"/>
      <c r="I265" s="40"/>
    </row>
    <row r="266">
      <c r="G266" s="40"/>
      <c r="H266" s="40"/>
      <c r="I266" s="40"/>
    </row>
    <row r="267">
      <c r="G267" s="40"/>
      <c r="H267" s="40"/>
      <c r="I267" s="40"/>
    </row>
    <row r="268">
      <c r="G268" s="40"/>
      <c r="H268" s="40"/>
      <c r="I268" s="40"/>
    </row>
    <row r="269">
      <c r="G269" s="40"/>
      <c r="H269" s="40"/>
      <c r="I269" s="40"/>
    </row>
    <row r="270">
      <c r="G270" s="40"/>
      <c r="H270" s="40"/>
      <c r="I270" s="40"/>
    </row>
    <row r="271">
      <c r="G271" s="40"/>
      <c r="H271" s="40"/>
      <c r="I271" s="40"/>
    </row>
    <row r="272">
      <c r="G272" s="40"/>
      <c r="H272" s="40"/>
      <c r="I272" s="40"/>
    </row>
    <row r="273">
      <c r="G273" s="40"/>
      <c r="H273" s="40"/>
      <c r="I273" s="40"/>
    </row>
    <row r="274">
      <c r="G274" s="40"/>
      <c r="H274" s="40"/>
      <c r="I274" s="40"/>
    </row>
    <row r="275">
      <c r="G275" s="40"/>
      <c r="H275" s="40"/>
      <c r="I275" s="40"/>
    </row>
    <row r="276">
      <c r="G276" s="40"/>
      <c r="H276" s="40"/>
      <c r="I276" s="40"/>
    </row>
    <row r="277">
      <c r="G277" s="40"/>
      <c r="H277" s="40"/>
      <c r="I277" s="40"/>
    </row>
    <row r="278">
      <c r="G278" s="40"/>
      <c r="H278" s="40"/>
      <c r="I278" s="40"/>
    </row>
    <row r="279">
      <c r="G279" s="40"/>
      <c r="H279" s="40"/>
      <c r="I279" s="40"/>
    </row>
    <row r="280">
      <c r="G280" s="40"/>
      <c r="H280" s="40"/>
      <c r="I280" s="40"/>
    </row>
    <row r="281">
      <c r="G281" s="40"/>
      <c r="H281" s="40"/>
      <c r="I281" s="40"/>
    </row>
    <row r="282">
      <c r="G282" s="40"/>
      <c r="H282" s="40"/>
      <c r="I282" s="40"/>
    </row>
    <row r="283">
      <c r="G283" s="40"/>
      <c r="H283" s="40"/>
      <c r="I283" s="40"/>
    </row>
    <row r="284">
      <c r="G284" s="40"/>
      <c r="H284" s="40"/>
      <c r="I284" s="40"/>
    </row>
    <row r="285">
      <c r="G285" s="40"/>
      <c r="H285" s="40"/>
      <c r="I285" s="40"/>
    </row>
    <row r="286">
      <c r="G286" s="40"/>
      <c r="H286" s="40"/>
      <c r="I286" s="40"/>
    </row>
    <row r="287">
      <c r="G287" s="40"/>
      <c r="H287" s="40"/>
      <c r="I287" s="40"/>
    </row>
    <row r="288">
      <c r="G288" s="40"/>
      <c r="H288" s="40"/>
      <c r="I288" s="40"/>
    </row>
    <row r="289">
      <c r="G289" s="40"/>
      <c r="H289" s="40"/>
      <c r="I289" s="40"/>
    </row>
    <row r="290">
      <c r="G290" s="40"/>
      <c r="H290" s="40"/>
      <c r="I290" s="40"/>
    </row>
    <row r="291">
      <c r="G291" s="40"/>
      <c r="H291" s="40"/>
      <c r="I291" s="40"/>
    </row>
    <row r="292">
      <c r="G292" s="40"/>
      <c r="H292" s="40"/>
      <c r="I292" s="40"/>
    </row>
    <row r="293">
      <c r="G293" s="40"/>
      <c r="H293" s="40"/>
      <c r="I293" s="40"/>
    </row>
    <row r="294">
      <c r="G294" s="40"/>
      <c r="H294" s="40"/>
      <c r="I294" s="40"/>
    </row>
    <row r="295">
      <c r="G295" s="40"/>
      <c r="H295" s="40"/>
      <c r="I295" s="40"/>
    </row>
    <row r="296">
      <c r="G296" s="40"/>
      <c r="H296" s="40"/>
      <c r="I296" s="40"/>
    </row>
    <row r="297">
      <c r="G297" s="40"/>
      <c r="H297" s="40"/>
      <c r="I297" s="40"/>
    </row>
    <row r="298">
      <c r="G298" s="40"/>
      <c r="H298" s="40"/>
      <c r="I298" s="40"/>
    </row>
    <row r="299">
      <c r="G299" s="40"/>
      <c r="H299" s="40"/>
      <c r="I299" s="40"/>
    </row>
    <row r="300">
      <c r="G300" s="40"/>
      <c r="H300" s="40"/>
      <c r="I300" s="40"/>
    </row>
    <row r="301">
      <c r="G301" s="40"/>
      <c r="H301" s="40"/>
      <c r="I301" s="40"/>
    </row>
    <row r="302">
      <c r="G302" s="40"/>
      <c r="H302" s="40"/>
      <c r="I302" s="40"/>
    </row>
    <row r="303">
      <c r="G303" s="40"/>
      <c r="H303" s="40"/>
      <c r="I303" s="40"/>
    </row>
    <row r="304">
      <c r="G304" s="40"/>
      <c r="H304" s="40"/>
      <c r="I304" s="40"/>
    </row>
    <row r="305">
      <c r="G305" s="40"/>
      <c r="H305" s="40"/>
      <c r="I305" s="40"/>
    </row>
    <row r="306">
      <c r="G306" s="40"/>
      <c r="H306" s="40"/>
      <c r="I306" s="40"/>
    </row>
    <row r="307">
      <c r="G307" s="40"/>
      <c r="H307" s="40"/>
      <c r="I307" s="40"/>
    </row>
    <row r="308">
      <c r="G308" s="40"/>
      <c r="H308" s="40"/>
      <c r="I308" s="40"/>
    </row>
    <row r="309">
      <c r="G309" s="40"/>
      <c r="H309" s="40"/>
      <c r="I309" s="40"/>
    </row>
    <row r="310">
      <c r="G310" s="40"/>
      <c r="H310" s="40"/>
      <c r="I310" s="40"/>
    </row>
    <row r="311">
      <c r="G311" s="40"/>
      <c r="H311" s="40"/>
      <c r="I311" s="40"/>
    </row>
    <row r="312">
      <c r="G312" s="40"/>
      <c r="H312" s="40"/>
      <c r="I312" s="40"/>
    </row>
    <row r="313">
      <c r="G313" s="40"/>
      <c r="H313" s="40"/>
      <c r="I313" s="40"/>
    </row>
    <row r="314">
      <c r="G314" s="40"/>
      <c r="H314" s="40"/>
      <c r="I314" s="40"/>
    </row>
    <row r="315">
      <c r="G315" s="40"/>
      <c r="H315" s="40"/>
      <c r="I315" s="40"/>
    </row>
    <row r="316">
      <c r="G316" s="40"/>
      <c r="H316" s="40"/>
      <c r="I316" s="40"/>
    </row>
    <row r="317">
      <c r="G317" s="40"/>
      <c r="H317" s="40"/>
      <c r="I317" s="40"/>
    </row>
    <row r="318">
      <c r="G318" s="40"/>
      <c r="H318" s="40"/>
      <c r="I318" s="40"/>
    </row>
    <row r="319">
      <c r="G319" s="40"/>
      <c r="H319" s="40"/>
      <c r="I319" s="40"/>
    </row>
    <row r="320">
      <c r="G320" s="40"/>
      <c r="H320" s="40"/>
      <c r="I320" s="40"/>
    </row>
    <row r="321">
      <c r="G321" s="40"/>
      <c r="H321" s="40"/>
      <c r="I321" s="40"/>
    </row>
    <row r="322">
      <c r="G322" s="40"/>
      <c r="H322" s="40"/>
      <c r="I322" s="40"/>
    </row>
    <row r="323">
      <c r="G323" s="40"/>
      <c r="H323" s="40"/>
      <c r="I323" s="40"/>
    </row>
    <row r="324">
      <c r="G324" s="40"/>
      <c r="H324" s="40"/>
      <c r="I324" s="40"/>
    </row>
    <row r="325">
      <c r="G325" s="40"/>
      <c r="H325" s="40"/>
      <c r="I325" s="40"/>
    </row>
    <row r="326">
      <c r="G326" s="40"/>
      <c r="H326" s="40"/>
      <c r="I326" s="40"/>
    </row>
    <row r="327">
      <c r="G327" s="40"/>
      <c r="H327" s="40"/>
      <c r="I327" s="40"/>
    </row>
    <row r="328">
      <c r="G328" s="40"/>
      <c r="H328" s="40"/>
      <c r="I328" s="40"/>
    </row>
    <row r="329">
      <c r="G329" s="40"/>
      <c r="H329" s="40"/>
      <c r="I329" s="40"/>
    </row>
    <row r="330">
      <c r="G330" s="40"/>
      <c r="H330" s="40"/>
      <c r="I330" s="40"/>
    </row>
    <row r="331">
      <c r="G331" s="40"/>
      <c r="H331" s="40"/>
      <c r="I331" s="40"/>
    </row>
    <row r="332">
      <c r="G332" s="40"/>
      <c r="H332" s="40"/>
      <c r="I332" s="40"/>
    </row>
    <row r="333">
      <c r="G333" s="40"/>
      <c r="H333" s="40"/>
      <c r="I333" s="40"/>
    </row>
    <row r="334">
      <c r="G334" s="40"/>
      <c r="H334" s="40"/>
      <c r="I334" s="40"/>
    </row>
    <row r="335">
      <c r="G335" s="40"/>
      <c r="H335" s="40"/>
      <c r="I335" s="40"/>
    </row>
    <row r="336">
      <c r="G336" s="40"/>
      <c r="H336" s="40"/>
      <c r="I336" s="40"/>
    </row>
    <row r="337">
      <c r="G337" s="40"/>
      <c r="H337" s="40"/>
      <c r="I337" s="40"/>
    </row>
    <row r="338">
      <c r="G338" s="40"/>
      <c r="H338" s="40"/>
      <c r="I338" s="40"/>
    </row>
    <row r="339">
      <c r="G339" s="40"/>
      <c r="H339" s="40"/>
      <c r="I339" s="40"/>
    </row>
    <row r="340">
      <c r="G340" s="40"/>
      <c r="H340" s="40"/>
      <c r="I340" s="40"/>
    </row>
    <row r="341">
      <c r="G341" s="40"/>
      <c r="H341" s="40"/>
      <c r="I341" s="40"/>
    </row>
    <row r="342">
      <c r="G342" s="40"/>
      <c r="H342" s="40"/>
      <c r="I342" s="40"/>
    </row>
    <row r="343">
      <c r="G343" s="40"/>
      <c r="H343" s="40"/>
      <c r="I343" s="40"/>
    </row>
    <row r="344">
      <c r="G344" s="40"/>
      <c r="H344" s="40"/>
      <c r="I344" s="40"/>
    </row>
    <row r="345">
      <c r="G345" s="40"/>
      <c r="H345" s="40"/>
      <c r="I345" s="40"/>
    </row>
    <row r="346">
      <c r="G346" s="40"/>
      <c r="H346" s="40"/>
      <c r="I346" s="40"/>
    </row>
    <row r="347">
      <c r="G347" s="40"/>
      <c r="H347" s="40"/>
      <c r="I347" s="40"/>
    </row>
    <row r="348">
      <c r="G348" s="40"/>
      <c r="H348" s="40"/>
      <c r="I348" s="40"/>
    </row>
    <row r="349">
      <c r="G349" s="40"/>
      <c r="H349" s="40"/>
      <c r="I349" s="40"/>
    </row>
    <row r="350">
      <c r="G350" s="40"/>
      <c r="H350" s="40"/>
      <c r="I350" s="40"/>
    </row>
    <row r="351">
      <c r="G351" s="40"/>
      <c r="H351" s="40"/>
      <c r="I351" s="40"/>
    </row>
    <row r="352">
      <c r="G352" s="40"/>
      <c r="H352" s="40"/>
      <c r="I352" s="40"/>
    </row>
    <row r="353">
      <c r="G353" s="40"/>
      <c r="H353" s="40"/>
      <c r="I353" s="40"/>
    </row>
    <row r="354">
      <c r="G354" s="40"/>
      <c r="H354" s="40"/>
      <c r="I354" s="40"/>
    </row>
    <row r="355">
      <c r="G355" s="40"/>
      <c r="H355" s="40"/>
      <c r="I355" s="40"/>
    </row>
    <row r="356">
      <c r="G356" s="40"/>
      <c r="H356" s="40"/>
      <c r="I356" s="40"/>
    </row>
    <row r="357">
      <c r="G357" s="40"/>
      <c r="H357" s="40"/>
      <c r="I357" s="40"/>
    </row>
    <row r="358">
      <c r="G358" s="40"/>
      <c r="H358" s="40"/>
      <c r="I358" s="40"/>
    </row>
    <row r="359">
      <c r="G359" s="40"/>
      <c r="H359" s="40"/>
      <c r="I359" s="40"/>
    </row>
    <row r="360">
      <c r="G360" s="40"/>
      <c r="H360" s="40"/>
      <c r="I360" s="40"/>
    </row>
    <row r="361">
      <c r="G361" s="40"/>
      <c r="H361" s="40"/>
      <c r="I361" s="40"/>
    </row>
    <row r="362">
      <c r="G362" s="40"/>
      <c r="H362" s="40"/>
      <c r="I362" s="40"/>
    </row>
    <row r="363">
      <c r="G363" s="40"/>
      <c r="H363" s="40"/>
      <c r="I363" s="40"/>
    </row>
    <row r="364">
      <c r="G364" s="40"/>
      <c r="H364" s="40"/>
      <c r="I364" s="40"/>
    </row>
    <row r="365">
      <c r="G365" s="40"/>
      <c r="H365" s="40"/>
      <c r="I365" s="40"/>
    </row>
    <row r="366">
      <c r="G366" s="40"/>
      <c r="H366" s="40"/>
      <c r="I366" s="40"/>
    </row>
    <row r="367">
      <c r="G367" s="40"/>
      <c r="H367" s="40"/>
      <c r="I367" s="40"/>
    </row>
    <row r="368">
      <c r="G368" s="40"/>
      <c r="H368" s="40"/>
      <c r="I368" s="40"/>
    </row>
    <row r="369">
      <c r="G369" s="40"/>
      <c r="H369" s="40"/>
      <c r="I369" s="40"/>
    </row>
    <row r="370">
      <c r="G370" s="40"/>
      <c r="H370" s="40"/>
      <c r="I370" s="40"/>
    </row>
    <row r="371">
      <c r="G371" s="40"/>
      <c r="H371" s="40"/>
      <c r="I371" s="40"/>
    </row>
    <row r="372">
      <c r="G372" s="40"/>
      <c r="H372" s="40"/>
      <c r="I372" s="40"/>
    </row>
    <row r="373">
      <c r="G373" s="40"/>
      <c r="H373" s="40"/>
      <c r="I373" s="40"/>
    </row>
    <row r="374">
      <c r="G374" s="40"/>
      <c r="H374" s="40"/>
      <c r="I374" s="40"/>
    </row>
    <row r="375">
      <c r="G375" s="40"/>
      <c r="H375" s="40"/>
      <c r="I375" s="40"/>
    </row>
    <row r="376">
      <c r="G376" s="40"/>
      <c r="H376" s="40"/>
      <c r="I376" s="40"/>
    </row>
    <row r="377">
      <c r="G377" s="40"/>
      <c r="H377" s="40"/>
      <c r="I377" s="40"/>
    </row>
    <row r="378">
      <c r="G378" s="40"/>
      <c r="H378" s="40"/>
      <c r="I378" s="40"/>
    </row>
    <row r="379">
      <c r="G379" s="40"/>
      <c r="H379" s="40"/>
      <c r="I379" s="40"/>
    </row>
    <row r="380">
      <c r="G380" s="40"/>
      <c r="H380" s="40"/>
      <c r="I380" s="40"/>
    </row>
    <row r="381">
      <c r="G381" s="40"/>
      <c r="H381" s="40"/>
      <c r="I381" s="40"/>
    </row>
    <row r="382">
      <c r="G382" s="40"/>
      <c r="H382" s="40"/>
      <c r="I382" s="40"/>
    </row>
    <row r="383">
      <c r="G383" s="40"/>
      <c r="H383" s="40"/>
      <c r="I383" s="40"/>
    </row>
    <row r="384">
      <c r="G384" s="40"/>
      <c r="H384" s="40"/>
      <c r="I384" s="40"/>
    </row>
    <row r="385">
      <c r="G385" s="40"/>
      <c r="H385" s="40"/>
      <c r="I385" s="40"/>
    </row>
    <row r="386">
      <c r="G386" s="40"/>
      <c r="H386" s="40"/>
      <c r="I386" s="40"/>
    </row>
    <row r="387">
      <c r="G387" s="40"/>
      <c r="H387" s="40"/>
      <c r="I387" s="40"/>
    </row>
    <row r="388">
      <c r="G388" s="40"/>
      <c r="H388" s="40"/>
      <c r="I388" s="40"/>
    </row>
    <row r="389">
      <c r="G389" s="40"/>
      <c r="H389" s="40"/>
      <c r="I389" s="40"/>
    </row>
    <row r="390">
      <c r="G390" s="40"/>
      <c r="H390" s="40"/>
      <c r="I390" s="40"/>
    </row>
    <row r="391">
      <c r="G391" s="40"/>
      <c r="H391" s="40"/>
      <c r="I391" s="40"/>
    </row>
    <row r="392">
      <c r="G392" s="40"/>
      <c r="H392" s="40"/>
      <c r="I392" s="40"/>
    </row>
    <row r="393">
      <c r="G393" s="40"/>
      <c r="H393" s="40"/>
      <c r="I393" s="40"/>
    </row>
    <row r="394">
      <c r="G394" s="40"/>
      <c r="H394" s="40"/>
      <c r="I394" s="40"/>
    </row>
    <row r="395">
      <c r="G395" s="40"/>
      <c r="H395" s="40"/>
      <c r="I395" s="40"/>
    </row>
    <row r="396">
      <c r="G396" s="40"/>
      <c r="H396" s="40"/>
      <c r="I396" s="40"/>
    </row>
    <row r="397">
      <c r="G397" s="40"/>
      <c r="H397" s="40"/>
      <c r="I397" s="40"/>
    </row>
    <row r="398">
      <c r="G398" s="40"/>
      <c r="H398" s="40"/>
      <c r="I398" s="40"/>
    </row>
    <row r="399">
      <c r="G399" s="40"/>
      <c r="H399" s="40"/>
      <c r="I399" s="40"/>
    </row>
    <row r="400">
      <c r="G400" s="40"/>
      <c r="H400" s="40"/>
      <c r="I400" s="40"/>
    </row>
    <row r="401">
      <c r="G401" s="40"/>
      <c r="H401" s="40"/>
      <c r="I401" s="40"/>
    </row>
    <row r="402">
      <c r="G402" s="40"/>
      <c r="H402" s="40"/>
      <c r="I402" s="40"/>
    </row>
    <row r="403">
      <c r="G403" s="40"/>
      <c r="H403" s="40"/>
      <c r="I403" s="40"/>
    </row>
    <row r="404">
      <c r="G404" s="40"/>
      <c r="H404" s="40"/>
      <c r="I404" s="40"/>
    </row>
    <row r="405">
      <c r="G405" s="40"/>
      <c r="H405" s="40"/>
      <c r="I405" s="40"/>
    </row>
    <row r="406">
      <c r="G406" s="40"/>
      <c r="H406" s="40"/>
      <c r="I406" s="40"/>
    </row>
    <row r="407">
      <c r="G407" s="40"/>
      <c r="H407" s="40"/>
      <c r="I407" s="40"/>
    </row>
    <row r="408">
      <c r="G408" s="40"/>
      <c r="H408" s="40"/>
      <c r="I408" s="40"/>
    </row>
    <row r="409">
      <c r="G409" s="40"/>
      <c r="H409" s="40"/>
      <c r="I409" s="40"/>
    </row>
    <row r="410">
      <c r="G410" s="40"/>
      <c r="H410" s="40"/>
      <c r="I410" s="40"/>
    </row>
    <row r="411">
      <c r="G411" s="40"/>
      <c r="H411" s="40"/>
      <c r="I411" s="40"/>
    </row>
    <row r="412">
      <c r="G412" s="40"/>
      <c r="H412" s="40"/>
      <c r="I412" s="40"/>
    </row>
    <row r="413">
      <c r="G413" s="40"/>
      <c r="H413" s="40"/>
      <c r="I413" s="40"/>
    </row>
    <row r="414">
      <c r="G414" s="40"/>
      <c r="H414" s="40"/>
      <c r="I414" s="40"/>
    </row>
    <row r="415">
      <c r="G415" s="40"/>
      <c r="H415" s="40"/>
      <c r="I415" s="40"/>
    </row>
    <row r="416">
      <c r="G416" s="40"/>
      <c r="H416" s="40"/>
      <c r="I416" s="40"/>
    </row>
    <row r="417">
      <c r="G417" s="40"/>
      <c r="H417" s="40"/>
      <c r="I417" s="40"/>
    </row>
    <row r="418">
      <c r="G418" s="40"/>
      <c r="H418" s="40"/>
      <c r="I418" s="40"/>
    </row>
    <row r="419">
      <c r="G419" s="40"/>
      <c r="H419" s="40"/>
      <c r="I419" s="40"/>
    </row>
    <row r="420">
      <c r="G420" s="40"/>
      <c r="H420" s="40"/>
      <c r="I420" s="40"/>
    </row>
    <row r="421">
      <c r="G421" s="40"/>
      <c r="H421" s="40"/>
      <c r="I421" s="40"/>
    </row>
    <row r="422">
      <c r="G422" s="40"/>
      <c r="H422" s="40"/>
      <c r="I422" s="40"/>
    </row>
    <row r="423">
      <c r="G423" s="40"/>
      <c r="H423" s="40"/>
      <c r="I423" s="40"/>
    </row>
    <row r="424">
      <c r="G424" s="40"/>
      <c r="H424" s="40"/>
      <c r="I424" s="40"/>
    </row>
    <row r="425">
      <c r="G425" s="40"/>
      <c r="H425" s="40"/>
      <c r="I425" s="40"/>
    </row>
    <row r="426">
      <c r="G426" s="40"/>
      <c r="H426" s="40"/>
      <c r="I426" s="40"/>
    </row>
    <row r="427">
      <c r="G427" s="40"/>
      <c r="H427" s="40"/>
      <c r="I427" s="40"/>
    </row>
    <row r="428">
      <c r="G428" s="40"/>
      <c r="H428" s="40"/>
      <c r="I428" s="40"/>
    </row>
    <row r="429">
      <c r="G429" s="40"/>
      <c r="H429" s="40"/>
      <c r="I429" s="40"/>
    </row>
    <row r="430">
      <c r="G430" s="40"/>
      <c r="H430" s="40"/>
      <c r="I430" s="40"/>
    </row>
    <row r="431">
      <c r="G431" s="40"/>
      <c r="H431" s="40"/>
      <c r="I431" s="40"/>
    </row>
    <row r="432">
      <c r="G432" s="40"/>
      <c r="H432" s="40"/>
      <c r="I432" s="40"/>
    </row>
    <row r="433">
      <c r="G433" s="40"/>
      <c r="H433" s="40"/>
      <c r="I433" s="40"/>
    </row>
    <row r="434">
      <c r="G434" s="40"/>
      <c r="H434" s="40"/>
      <c r="I434" s="40"/>
    </row>
    <row r="435">
      <c r="G435" s="40"/>
      <c r="H435" s="40"/>
      <c r="I435" s="40"/>
    </row>
    <row r="436">
      <c r="G436" s="40"/>
      <c r="H436" s="40"/>
      <c r="I436" s="40"/>
    </row>
    <row r="437">
      <c r="G437" s="40"/>
      <c r="H437" s="40"/>
      <c r="I437" s="40"/>
    </row>
    <row r="438">
      <c r="G438" s="40"/>
      <c r="H438" s="40"/>
      <c r="I438" s="40"/>
    </row>
    <row r="439">
      <c r="G439" s="40"/>
      <c r="H439" s="40"/>
      <c r="I439" s="40"/>
    </row>
    <row r="440">
      <c r="G440" s="40"/>
      <c r="H440" s="40"/>
      <c r="I440" s="40"/>
    </row>
    <row r="441">
      <c r="G441" s="40"/>
      <c r="H441" s="40"/>
      <c r="I441" s="40"/>
    </row>
    <row r="442">
      <c r="G442" s="40"/>
      <c r="H442" s="40"/>
      <c r="I442" s="40"/>
    </row>
    <row r="443">
      <c r="G443" s="40"/>
      <c r="H443" s="40"/>
      <c r="I443" s="40"/>
    </row>
    <row r="444">
      <c r="G444" s="40"/>
      <c r="H444" s="40"/>
      <c r="I444" s="40"/>
    </row>
    <row r="445">
      <c r="G445" s="40"/>
      <c r="H445" s="40"/>
      <c r="I445" s="40"/>
    </row>
    <row r="446">
      <c r="G446" s="40"/>
      <c r="H446" s="40"/>
      <c r="I446" s="40"/>
    </row>
    <row r="447">
      <c r="G447" s="40"/>
      <c r="H447" s="40"/>
      <c r="I447" s="40"/>
    </row>
    <row r="448">
      <c r="G448" s="40"/>
      <c r="H448" s="40"/>
      <c r="I448" s="40"/>
    </row>
    <row r="449">
      <c r="G449" s="40"/>
      <c r="H449" s="40"/>
      <c r="I449" s="40"/>
    </row>
    <row r="450">
      <c r="G450" s="40"/>
      <c r="H450" s="40"/>
      <c r="I450" s="40"/>
    </row>
    <row r="451">
      <c r="G451" s="40"/>
      <c r="H451" s="40"/>
      <c r="I451" s="40"/>
    </row>
    <row r="452">
      <c r="G452" s="40"/>
      <c r="H452" s="40"/>
      <c r="I452" s="40"/>
    </row>
    <row r="453">
      <c r="G453" s="40"/>
      <c r="H453" s="40"/>
      <c r="I453" s="40"/>
    </row>
    <row r="454">
      <c r="G454" s="40"/>
      <c r="H454" s="40"/>
      <c r="I454" s="40"/>
    </row>
    <row r="455">
      <c r="G455" s="40"/>
      <c r="H455" s="40"/>
      <c r="I455" s="40"/>
    </row>
    <row r="456">
      <c r="G456" s="40"/>
      <c r="H456" s="40"/>
      <c r="I456" s="40"/>
    </row>
    <row r="457">
      <c r="G457" s="40"/>
      <c r="H457" s="40"/>
      <c r="I457" s="40"/>
    </row>
    <row r="458">
      <c r="G458" s="40"/>
      <c r="H458" s="40"/>
      <c r="I458" s="40"/>
    </row>
    <row r="459">
      <c r="G459" s="40"/>
      <c r="H459" s="40"/>
      <c r="I459" s="40"/>
    </row>
    <row r="460">
      <c r="G460" s="40"/>
      <c r="H460" s="40"/>
      <c r="I460" s="40"/>
    </row>
    <row r="461">
      <c r="G461" s="40"/>
      <c r="H461" s="40"/>
      <c r="I461" s="40"/>
    </row>
    <row r="462">
      <c r="G462" s="40"/>
      <c r="H462" s="40"/>
      <c r="I462" s="40"/>
    </row>
    <row r="463">
      <c r="G463" s="40"/>
      <c r="H463" s="40"/>
      <c r="I463" s="40"/>
    </row>
    <row r="464">
      <c r="G464" s="40"/>
      <c r="H464" s="40"/>
      <c r="I464" s="40"/>
    </row>
    <row r="465">
      <c r="G465" s="40"/>
      <c r="H465" s="40"/>
      <c r="I465" s="40"/>
    </row>
    <row r="466">
      <c r="G466" s="40"/>
      <c r="H466" s="40"/>
      <c r="I466" s="40"/>
    </row>
    <row r="467">
      <c r="G467" s="40"/>
      <c r="H467" s="40"/>
      <c r="I467" s="40"/>
    </row>
    <row r="468">
      <c r="G468" s="40"/>
      <c r="H468" s="40"/>
      <c r="I468" s="40"/>
    </row>
    <row r="469">
      <c r="G469" s="40"/>
      <c r="H469" s="40"/>
      <c r="I469" s="40"/>
    </row>
    <row r="470">
      <c r="G470" s="40"/>
      <c r="H470" s="40"/>
      <c r="I470" s="40"/>
    </row>
    <row r="471">
      <c r="G471" s="40"/>
      <c r="H471" s="40"/>
      <c r="I471" s="40"/>
    </row>
    <row r="472">
      <c r="G472" s="40"/>
      <c r="H472" s="40"/>
      <c r="I472" s="40"/>
    </row>
    <row r="473">
      <c r="G473" s="40"/>
      <c r="H473" s="40"/>
      <c r="I473" s="40"/>
    </row>
    <row r="474">
      <c r="G474" s="40"/>
      <c r="H474" s="40"/>
      <c r="I474" s="40"/>
    </row>
    <row r="475">
      <c r="G475" s="40"/>
      <c r="H475" s="40"/>
      <c r="I475" s="40"/>
    </row>
    <row r="476">
      <c r="G476" s="40"/>
      <c r="H476" s="40"/>
      <c r="I476" s="40"/>
    </row>
    <row r="477">
      <c r="G477" s="40"/>
      <c r="H477" s="40"/>
      <c r="I477" s="40"/>
    </row>
    <row r="478">
      <c r="G478" s="40"/>
      <c r="H478" s="40"/>
      <c r="I478" s="40"/>
    </row>
    <row r="479">
      <c r="G479" s="40"/>
      <c r="H479" s="40"/>
      <c r="I479" s="40"/>
    </row>
    <row r="480">
      <c r="G480" s="40"/>
      <c r="H480" s="40"/>
      <c r="I480" s="40"/>
    </row>
    <row r="481">
      <c r="G481" s="40"/>
      <c r="H481" s="40"/>
      <c r="I481" s="40"/>
    </row>
    <row r="482">
      <c r="G482" s="40"/>
      <c r="H482" s="40"/>
      <c r="I482" s="40"/>
    </row>
    <row r="483">
      <c r="G483" s="40"/>
      <c r="H483" s="40"/>
      <c r="I483" s="40"/>
    </row>
    <row r="484">
      <c r="G484" s="40"/>
      <c r="H484" s="40"/>
      <c r="I484" s="40"/>
    </row>
    <row r="485">
      <c r="G485" s="40"/>
      <c r="H485" s="40"/>
      <c r="I485" s="40"/>
    </row>
    <row r="486">
      <c r="G486" s="40"/>
      <c r="H486" s="40"/>
      <c r="I486" s="40"/>
    </row>
    <row r="487">
      <c r="G487" s="40"/>
      <c r="H487" s="40"/>
      <c r="I487" s="40"/>
    </row>
    <row r="488">
      <c r="G488" s="40"/>
      <c r="H488" s="40"/>
      <c r="I488" s="40"/>
    </row>
    <row r="489">
      <c r="G489" s="40"/>
      <c r="H489" s="40"/>
      <c r="I489" s="40"/>
    </row>
    <row r="490">
      <c r="G490" s="40"/>
      <c r="H490" s="40"/>
      <c r="I490" s="40"/>
    </row>
    <row r="491">
      <c r="G491" s="40"/>
      <c r="H491" s="40"/>
      <c r="I491" s="40"/>
    </row>
    <row r="492">
      <c r="G492" s="40"/>
      <c r="H492" s="40"/>
      <c r="I492" s="40"/>
    </row>
    <row r="493">
      <c r="G493" s="40"/>
      <c r="H493" s="40"/>
      <c r="I493" s="40"/>
    </row>
    <row r="494">
      <c r="G494" s="40"/>
      <c r="H494" s="40"/>
      <c r="I494" s="40"/>
    </row>
    <row r="495">
      <c r="G495" s="40"/>
      <c r="H495" s="40"/>
      <c r="I495" s="40"/>
    </row>
    <row r="496">
      <c r="G496" s="40"/>
      <c r="H496" s="40"/>
      <c r="I496" s="40"/>
    </row>
    <row r="497">
      <c r="G497" s="40"/>
      <c r="H497" s="40"/>
      <c r="I497" s="40"/>
    </row>
    <row r="498">
      <c r="G498" s="40"/>
      <c r="H498" s="40"/>
      <c r="I498" s="40"/>
    </row>
    <row r="499">
      <c r="G499" s="40"/>
      <c r="H499" s="40"/>
      <c r="I499" s="40"/>
    </row>
    <row r="500">
      <c r="G500" s="40"/>
      <c r="H500" s="40"/>
      <c r="I500" s="40"/>
    </row>
    <row r="501">
      <c r="G501" s="40"/>
      <c r="H501" s="40"/>
      <c r="I501" s="40"/>
    </row>
    <row r="502">
      <c r="G502" s="40"/>
      <c r="H502" s="40"/>
      <c r="I502" s="40"/>
    </row>
    <row r="503">
      <c r="G503" s="40"/>
      <c r="H503" s="40"/>
      <c r="I503" s="40"/>
    </row>
    <row r="504">
      <c r="G504" s="40"/>
      <c r="H504" s="40"/>
      <c r="I504" s="40"/>
    </row>
    <row r="505">
      <c r="G505" s="40"/>
      <c r="H505" s="40"/>
      <c r="I505" s="40"/>
    </row>
    <row r="506">
      <c r="G506" s="40"/>
      <c r="H506" s="40"/>
      <c r="I506" s="40"/>
    </row>
    <row r="507">
      <c r="G507" s="40"/>
      <c r="H507" s="40"/>
      <c r="I507" s="40"/>
    </row>
    <row r="508">
      <c r="G508" s="40"/>
      <c r="H508" s="40"/>
      <c r="I508" s="40"/>
    </row>
    <row r="509">
      <c r="G509" s="40"/>
      <c r="H509" s="40"/>
      <c r="I509" s="40"/>
    </row>
    <row r="510">
      <c r="G510" s="40"/>
      <c r="H510" s="40"/>
      <c r="I510" s="40"/>
    </row>
    <row r="511">
      <c r="G511" s="40"/>
      <c r="H511" s="40"/>
      <c r="I511" s="40"/>
    </row>
    <row r="512">
      <c r="G512" s="40"/>
      <c r="H512" s="40"/>
      <c r="I512" s="40"/>
    </row>
    <row r="513">
      <c r="G513" s="40"/>
      <c r="H513" s="40"/>
      <c r="I513" s="40"/>
    </row>
    <row r="514">
      <c r="G514" s="40"/>
      <c r="H514" s="40"/>
      <c r="I514" s="40"/>
    </row>
    <row r="515">
      <c r="G515" s="40"/>
      <c r="H515" s="40"/>
      <c r="I515" s="40"/>
    </row>
    <row r="516">
      <c r="G516" s="40"/>
      <c r="H516" s="40"/>
      <c r="I516" s="40"/>
    </row>
    <row r="517">
      <c r="G517" s="40"/>
      <c r="H517" s="40"/>
      <c r="I517" s="40"/>
    </row>
    <row r="518">
      <c r="G518" s="40"/>
      <c r="H518" s="40"/>
      <c r="I518" s="40"/>
    </row>
    <row r="519">
      <c r="G519" s="40"/>
      <c r="H519" s="40"/>
      <c r="I519" s="40"/>
    </row>
    <row r="520">
      <c r="G520" s="40"/>
      <c r="H520" s="40"/>
      <c r="I520" s="40"/>
    </row>
    <row r="521">
      <c r="G521" s="40"/>
      <c r="H521" s="40"/>
      <c r="I521" s="40"/>
    </row>
    <row r="522">
      <c r="G522" s="40"/>
      <c r="H522" s="40"/>
      <c r="I522" s="40"/>
    </row>
    <row r="523">
      <c r="G523" s="40"/>
      <c r="H523" s="40"/>
      <c r="I523" s="40"/>
    </row>
    <row r="524">
      <c r="G524" s="40"/>
      <c r="H524" s="40"/>
      <c r="I524" s="40"/>
    </row>
    <row r="525">
      <c r="G525" s="40"/>
      <c r="H525" s="40"/>
      <c r="I525" s="40"/>
    </row>
    <row r="526">
      <c r="G526" s="40"/>
      <c r="H526" s="40"/>
      <c r="I526" s="40"/>
    </row>
    <row r="527">
      <c r="G527" s="40"/>
      <c r="H527" s="40"/>
      <c r="I527" s="40"/>
    </row>
    <row r="528">
      <c r="G528" s="40"/>
      <c r="H528" s="40"/>
      <c r="I528" s="40"/>
    </row>
    <row r="529">
      <c r="G529" s="40"/>
      <c r="H529" s="40"/>
      <c r="I529" s="40"/>
    </row>
    <row r="530">
      <c r="G530" s="40"/>
      <c r="H530" s="40"/>
      <c r="I530" s="40"/>
    </row>
    <row r="531">
      <c r="G531" s="40"/>
      <c r="H531" s="40"/>
      <c r="I531" s="40"/>
    </row>
    <row r="532">
      <c r="G532" s="40"/>
      <c r="H532" s="40"/>
      <c r="I532" s="40"/>
    </row>
    <row r="533">
      <c r="G533" s="40"/>
      <c r="H533" s="40"/>
      <c r="I533" s="40"/>
    </row>
    <row r="534">
      <c r="G534" s="40"/>
      <c r="H534" s="40"/>
      <c r="I534" s="40"/>
    </row>
    <row r="535">
      <c r="G535" s="40"/>
      <c r="H535" s="40"/>
      <c r="I535" s="40"/>
    </row>
    <row r="536">
      <c r="G536" s="40"/>
      <c r="H536" s="40"/>
      <c r="I536" s="40"/>
    </row>
    <row r="537">
      <c r="G537" s="40"/>
      <c r="H537" s="40"/>
      <c r="I537" s="40"/>
    </row>
    <row r="538">
      <c r="G538" s="40"/>
      <c r="H538" s="40"/>
      <c r="I538" s="40"/>
    </row>
    <row r="539">
      <c r="G539" s="40"/>
      <c r="H539" s="40"/>
      <c r="I539" s="40"/>
    </row>
    <row r="540">
      <c r="G540" s="40"/>
      <c r="H540" s="40"/>
      <c r="I540" s="40"/>
    </row>
    <row r="541">
      <c r="G541" s="40"/>
      <c r="H541" s="40"/>
      <c r="I541" s="40"/>
    </row>
    <row r="542">
      <c r="G542" s="40"/>
      <c r="H542" s="40"/>
      <c r="I542" s="40"/>
    </row>
    <row r="543">
      <c r="G543" s="40"/>
      <c r="H543" s="40"/>
      <c r="I543" s="40"/>
    </row>
    <row r="544">
      <c r="G544" s="40"/>
      <c r="H544" s="40"/>
      <c r="I544" s="40"/>
    </row>
    <row r="545">
      <c r="G545" s="40"/>
      <c r="H545" s="40"/>
      <c r="I545" s="40"/>
    </row>
    <row r="546">
      <c r="G546" s="40"/>
      <c r="H546" s="40"/>
      <c r="I546" s="40"/>
    </row>
    <row r="547">
      <c r="G547" s="40"/>
      <c r="H547" s="40"/>
      <c r="I547" s="40"/>
    </row>
    <row r="548">
      <c r="G548" s="40"/>
      <c r="H548" s="40"/>
      <c r="I548" s="40"/>
    </row>
    <row r="549">
      <c r="G549" s="40"/>
      <c r="H549" s="40"/>
      <c r="I549" s="40"/>
    </row>
    <row r="550">
      <c r="G550" s="40"/>
      <c r="H550" s="40"/>
      <c r="I550" s="40"/>
    </row>
    <row r="551">
      <c r="G551" s="40"/>
      <c r="H551" s="40"/>
      <c r="I551" s="40"/>
    </row>
    <row r="552">
      <c r="G552" s="40"/>
      <c r="H552" s="40"/>
      <c r="I552" s="40"/>
    </row>
    <row r="553">
      <c r="G553" s="40"/>
      <c r="H553" s="40"/>
      <c r="I553" s="40"/>
    </row>
    <row r="554">
      <c r="G554" s="40"/>
      <c r="H554" s="40"/>
      <c r="I554" s="40"/>
    </row>
    <row r="555">
      <c r="G555" s="40"/>
      <c r="H555" s="40"/>
      <c r="I555" s="40"/>
    </row>
    <row r="556">
      <c r="G556" s="40"/>
      <c r="H556" s="40"/>
      <c r="I556" s="40"/>
    </row>
    <row r="557">
      <c r="G557" s="40"/>
      <c r="H557" s="40"/>
      <c r="I557" s="40"/>
    </row>
    <row r="558">
      <c r="G558" s="40"/>
      <c r="H558" s="40"/>
      <c r="I558" s="40"/>
    </row>
    <row r="559">
      <c r="G559" s="40"/>
      <c r="H559" s="40"/>
      <c r="I559" s="40"/>
    </row>
    <row r="560">
      <c r="G560" s="40"/>
      <c r="H560" s="40"/>
      <c r="I560" s="40"/>
    </row>
    <row r="561">
      <c r="G561" s="40"/>
      <c r="H561" s="40"/>
      <c r="I561" s="40"/>
    </row>
    <row r="562">
      <c r="G562" s="40"/>
      <c r="H562" s="40"/>
      <c r="I562" s="40"/>
    </row>
    <row r="563">
      <c r="G563" s="40"/>
      <c r="H563" s="40"/>
      <c r="I563" s="40"/>
    </row>
    <row r="564">
      <c r="G564" s="40"/>
      <c r="H564" s="40"/>
      <c r="I564" s="40"/>
    </row>
    <row r="565">
      <c r="G565" s="40"/>
      <c r="H565" s="40"/>
      <c r="I565" s="40"/>
    </row>
    <row r="566">
      <c r="G566" s="40"/>
      <c r="H566" s="40"/>
      <c r="I566" s="40"/>
    </row>
    <row r="567">
      <c r="G567" s="40"/>
      <c r="H567" s="40"/>
      <c r="I567" s="40"/>
    </row>
    <row r="568">
      <c r="G568" s="40"/>
      <c r="H568" s="40"/>
      <c r="I568" s="40"/>
    </row>
    <row r="569">
      <c r="G569" s="40"/>
      <c r="H569" s="40"/>
      <c r="I569" s="40"/>
    </row>
    <row r="570">
      <c r="G570" s="40"/>
      <c r="H570" s="40"/>
      <c r="I570" s="40"/>
    </row>
    <row r="571">
      <c r="G571" s="40"/>
      <c r="H571" s="40"/>
      <c r="I571" s="40"/>
    </row>
    <row r="572">
      <c r="G572" s="40"/>
      <c r="H572" s="40"/>
      <c r="I572" s="40"/>
    </row>
    <row r="573">
      <c r="G573" s="40"/>
      <c r="H573" s="40"/>
      <c r="I573" s="40"/>
    </row>
    <row r="574">
      <c r="G574" s="40"/>
      <c r="H574" s="40"/>
      <c r="I574" s="40"/>
    </row>
    <row r="575">
      <c r="G575" s="40"/>
      <c r="H575" s="40"/>
      <c r="I575" s="40"/>
    </row>
    <row r="576">
      <c r="G576" s="40"/>
      <c r="H576" s="40"/>
      <c r="I576" s="40"/>
    </row>
    <row r="577">
      <c r="G577" s="40"/>
      <c r="H577" s="40"/>
      <c r="I577" s="40"/>
    </row>
    <row r="578">
      <c r="G578" s="40"/>
      <c r="H578" s="40"/>
      <c r="I578" s="40"/>
    </row>
    <row r="579">
      <c r="G579" s="40"/>
      <c r="H579" s="40"/>
      <c r="I579" s="40"/>
    </row>
    <row r="580">
      <c r="G580" s="40"/>
      <c r="H580" s="40"/>
      <c r="I580" s="40"/>
    </row>
    <row r="581">
      <c r="G581" s="40"/>
      <c r="H581" s="40"/>
      <c r="I581" s="40"/>
    </row>
    <row r="582">
      <c r="G582" s="40"/>
      <c r="H582" s="40"/>
      <c r="I582" s="40"/>
    </row>
    <row r="583">
      <c r="G583" s="40"/>
      <c r="H583" s="40"/>
      <c r="I583" s="40"/>
    </row>
    <row r="584">
      <c r="G584" s="40"/>
      <c r="H584" s="40"/>
      <c r="I584" s="40"/>
    </row>
    <row r="585">
      <c r="G585" s="40"/>
      <c r="H585" s="40"/>
      <c r="I585" s="40"/>
    </row>
    <row r="586">
      <c r="G586" s="40"/>
      <c r="H586" s="40"/>
      <c r="I586" s="40"/>
    </row>
    <row r="587">
      <c r="G587" s="40"/>
      <c r="H587" s="40"/>
      <c r="I587" s="40"/>
    </row>
    <row r="588">
      <c r="G588" s="40"/>
      <c r="H588" s="40"/>
      <c r="I588" s="40"/>
    </row>
    <row r="589">
      <c r="G589" s="40"/>
      <c r="H589" s="40"/>
      <c r="I589" s="40"/>
    </row>
    <row r="590">
      <c r="G590" s="40"/>
      <c r="H590" s="40"/>
      <c r="I590" s="40"/>
    </row>
    <row r="591">
      <c r="G591" s="40"/>
      <c r="H591" s="40"/>
      <c r="I591" s="40"/>
    </row>
    <row r="592">
      <c r="G592" s="40"/>
      <c r="H592" s="40"/>
      <c r="I592" s="40"/>
    </row>
    <row r="593">
      <c r="G593" s="40"/>
      <c r="H593" s="40"/>
      <c r="I593" s="40"/>
    </row>
    <row r="594">
      <c r="G594" s="40"/>
      <c r="H594" s="40"/>
      <c r="I594" s="40"/>
    </row>
    <row r="595">
      <c r="G595" s="40"/>
      <c r="H595" s="40"/>
      <c r="I595" s="40"/>
    </row>
    <row r="596">
      <c r="G596" s="40"/>
      <c r="H596" s="40"/>
      <c r="I596" s="40"/>
    </row>
    <row r="597">
      <c r="G597" s="40"/>
      <c r="H597" s="40"/>
      <c r="I597" s="40"/>
    </row>
    <row r="598">
      <c r="G598" s="40"/>
      <c r="H598" s="40"/>
      <c r="I598" s="40"/>
    </row>
    <row r="599">
      <c r="G599" s="40"/>
      <c r="H599" s="40"/>
      <c r="I599" s="40"/>
    </row>
    <row r="600">
      <c r="G600" s="40"/>
      <c r="H600" s="40"/>
      <c r="I600" s="40"/>
    </row>
    <row r="601">
      <c r="G601" s="40"/>
      <c r="H601" s="40"/>
      <c r="I601" s="40"/>
    </row>
    <row r="602">
      <c r="G602" s="40"/>
      <c r="H602" s="40"/>
      <c r="I602" s="40"/>
    </row>
    <row r="603">
      <c r="G603" s="40"/>
      <c r="H603" s="40"/>
      <c r="I603" s="40"/>
    </row>
    <row r="604">
      <c r="G604" s="40"/>
      <c r="H604" s="40"/>
      <c r="I604" s="40"/>
    </row>
    <row r="605">
      <c r="G605" s="40"/>
      <c r="H605" s="40"/>
      <c r="I605" s="40"/>
    </row>
    <row r="606">
      <c r="G606" s="40"/>
      <c r="H606" s="40"/>
      <c r="I606" s="40"/>
    </row>
    <row r="607">
      <c r="G607" s="40"/>
      <c r="H607" s="40"/>
      <c r="I607" s="40"/>
    </row>
    <row r="608">
      <c r="G608" s="40"/>
      <c r="H608" s="40"/>
      <c r="I608" s="40"/>
    </row>
    <row r="609">
      <c r="G609" s="40"/>
      <c r="H609" s="40"/>
      <c r="I609" s="40"/>
    </row>
    <row r="610">
      <c r="G610" s="40"/>
      <c r="H610" s="40"/>
      <c r="I610" s="40"/>
    </row>
    <row r="611">
      <c r="G611" s="40"/>
      <c r="H611" s="40"/>
      <c r="I611" s="40"/>
    </row>
    <row r="612">
      <c r="G612" s="40"/>
      <c r="H612" s="40"/>
      <c r="I612" s="40"/>
    </row>
    <row r="613">
      <c r="G613" s="40"/>
      <c r="H613" s="40"/>
      <c r="I613" s="40"/>
    </row>
    <row r="614">
      <c r="G614" s="40"/>
      <c r="H614" s="40"/>
      <c r="I614" s="40"/>
    </row>
    <row r="615">
      <c r="G615" s="40"/>
      <c r="H615" s="40"/>
      <c r="I615" s="40"/>
    </row>
    <row r="616">
      <c r="G616" s="40"/>
      <c r="H616" s="40"/>
      <c r="I616" s="40"/>
    </row>
    <row r="617">
      <c r="G617" s="40"/>
      <c r="H617" s="40"/>
      <c r="I617" s="40"/>
    </row>
    <row r="618">
      <c r="G618" s="40"/>
      <c r="H618" s="40"/>
      <c r="I618" s="40"/>
    </row>
    <row r="619">
      <c r="G619" s="40"/>
      <c r="H619" s="40"/>
      <c r="I619" s="40"/>
    </row>
    <row r="620">
      <c r="G620" s="40"/>
      <c r="H620" s="40"/>
      <c r="I620" s="40"/>
    </row>
    <row r="621">
      <c r="G621" s="40"/>
      <c r="H621" s="40"/>
      <c r="I621" s="40"/>
    </row>
    <row r="622">
      <c r="G622" s="40"/>
      <c r="H622" s="40"/>
      <c r="I622" s="40"/>
    </row>
    <row r="623">
      <c r="G623" s="40"/>
      <c r="H623" s="40"/>
      <c r="I623" s="40"/>
    </row>
    <row r="624">
      <c r="G624" s="40"/>
      <c r="H624" s="40"/>
      <c r="I624" s="40"/>
    </row>
    <row r="625">
      <c r="G625" s="40"/>
      <c r="H625" s="40"/>
      <c r="I625" s="40"/>
    </row>
    <row r="626">
      <c r="G626" s="40"/>
      <c r="H626" s="40"/>
      <c r="I626" s="40"/>
    </row>
    <row r="627">
      <c r="G627" s="40"/>
      <c r="H627" s="40"/>
      <c r="I627" s="40"/>
    </row>
    <row r="628">
      <c r="G628" s="40"/>
      <c r="H628" s="40"/>
      <c r="I628" s="40"/>
    </row>
    <row r="629">
      <c r="G629" s="40"/>
      <c r="H629" s="40"/>
      <c r="I629" s="40"/>
    </row>
    <row r="630">
      <c r="G630" s="40"/>
      <c r="H630" s="40"/>
      <c r="I630" s="40"/>
    </row>
    <row r="631">
      <c r="G631" s="40"/>
      <c r="H631" s="40"/>
      <c r="I631" s="40"/>
    </row>
    <row r="632">
      <c r="G632" s="40"/>
      <c r="H632" s="40"/>
      <c r="I632" s="40"/>
    </row>
    <row r="633">
      <c r="G633" s="40"/>
      <c r="H633" s="40"/>
      <c r="I633" s="40"/>
    </row>
    <row r="634">
      <c r="G634" s="40"/>
      <c r="H634" s="40"/>
      <c r="I634" s="40"/>
    </row>
    <row r="635">
      <c r="G635" s="40"/>
      <c r="H635" s="40"/>
      <c r="I635" s="40"/>
    </row>
    <row r="636">
      <c r="G636" s="40"/>
      <c r="H636" s="40"/>
      <c r="I636" s="40"/>
    </row>
    <row r="637">
      <c r="G637" s="40"/>
      <c r="H637" s="40"/>
      <c r="I637" s="40"/>
    </row>
    <row r="638">
      <c r="G638" s="40"/>
      <c r="H638" s="40"/>
      <c r="I638" s="40"/>
    </row>
    <row r="639">
      <c r="G639" s="40"/>
      <c r="H639" s="40"/>
      <c r="I639" s="40"/>
    </row>
    <row r="640">
      <c r="G640" s="40"/>
      <c r="H640" s="40"/>
      <c r="I640" s="40"/>
    </row>
    <row r="641">
      <c r="G641" s="40"/>
      <c r="H641" s="40"/>
      <c r="I641" s="40"/>
    </row>
    <row r="642">
      <c r="G642" s="40"/>
      <c r="H642" s="40"/>
      <c r="I642" s="40"/>
    </row>
    <row r="643">
      <c r="G643" s="40"/>
      <c r="H643" s="40"/>
      <c r="I643" s="40"/>
    </row>
    <row r="644">
      <c r="G644" s="40"/>
      <c r="H644" s="40"/>
      <c r="I644" s="40"/>
    </row>
    <row r="645">
      <c r="G645" s="40"/>
      <c r="H645" s="40"/>
      <c r="I645" s="40"/>
    </row>
    <row r="646">
      <c r="G646" s="40"/>
      <c r="H646" s="40"/>
      <c r="I646" s="40"/>
    </row>
    <row r="647">
      <c r="G647" s="40"/>
      <c r="H647" s="40"/>
      <c r="I647" s="40"/>
    </row>
    <row r="648">
      <c r="G648" s="40"/>
      <c r="H648" s="40"/>
      <c r="I648" s="40"/>
    </row>
    <row r="649">
      <c r="G649" s="40"/>
      <c r="H649" s="40"/>
      <c r="I649" s="40"/>
    </row>
    <row r="650">
      <c r="G650" s="40"/>
      <c r="H650" s="40"/>
      <c r="I650" s="40"/>
    </row>
    <row r="651">
      <c r="G651" s="40"/>
      <c r="H651" s="40"/>
      <c r="I651" s="40"/>
    </row>
    <row r="652">
      <c r="G652" s="40"/>
      <c r="H652" s="40"/>
      <c r="I652" s="40"/>
    </row>
    <row r="653">
      <c r="G653" s="40"/>
      <c r="H653" s="40"/>
      <c r="I653" s="40"/>
    </row>
    <row r="654">
      <c r="G654" s="40"/>
      <c r="H654" s="40"/>
      <c r="I654" s="40"/>
    </row>
    <row r="655">
      <c r="G655" s="40"/>
      <c r="H655" s="40"/>
      <c r="I655" s="40"/>
    </row>
    <row r="656">
      <c r="G656" s="40"/>
      <c r="H656" s="40"/>
      <c r="I656" s="40"/>
    </row>
    <row r="657">
      <c r="G657" s="40"/>
      <c r="H657" s="40"/>
      <c r="I657" s="40"/>
    </row>
    <row r="658">
      <c r="G658" s="40"/>
      <c r="H658" s="40"/>
      <c r="I658" s="40"/>
    </row>
    <row r="659">
      <c r="G659" s="40"/>
      <c r="H659" s="40"/>
      <c r="I659" s="40"/>
    </row>
    <row r="660">
      <c r="G660" s="40"/>
      <c r="H660" s="40"/>
      <c r="I660" s="40"/>
    </row>
    <row r="661">
      <c r="G661" s="40"/>
      <c r="H661" s="40"/>
      <c r="I661" s="40"/>
    </row>
    <row r="662">
      <c r="G662" s="40"/>
      <c r="H662" s="40"/>
      <c r="I662" s="40"/>
    </row>
    <row r="663">
      <c r="G663" s="40"/>
      <c r="H663" s="40"/>
      <c r="I663" s="40"/>
    </row>
    <row r="664">
      <c r="G664" s="40"/>
      <c r="H664" s="40"/>
      <c r="I664" s="40"/>
    </row>
    <row r="665">
      <c r="G665" s="40"/>
      <c r="H665" s="40"/>
      <c r="I665" s="40"/>
    </row>
    <row r="666">
      <c r="G666" s="40"/>
      <c r="H666" s="40"/>
      <c r="I666" s="40"/>
    </row>
    <row r="667">
      <c r="G667" s="40"/>
      <c r="H667" s="40"/>
      <c r="I667" s="40"/>
    </row>
    <row r="668">
      <c r="G668" s="40"/>
      <c r="H668" s="40"/>
      <c r="I668" s="40"/>
    </row>
    <row r="669">
      <c r="G669" s="40"/>
      <c r="H669" s="40"/>
      <c r="I669" s="40"/>
    </row>
    <row r="670">
      <c r="G670" s="40"/>
      <c r="H670" s="40"/>
      <c r="I670" s="40"/>
    </row>
    <row r="671">
      <c r="G671" s="40"/>
      <c r="H671" s="40"/>
      <c r="I671" s="40"/>
    </row>
    <row r="672">
      <c r="G672" s="40"/>
      <c r="H672" s="40"/>
      <c r="I672" s="40"/>
    </row>
    <row r="673">
      <c r="G673" s="40"/>
      <c r="H673" s="40"/>
      <c r="I673" s="40"/>
    </row>
    <row r="674">
      <c r="G674" s="40"/>
      <c r="H674" s="40"/>
      <c r="I674" s="40"/>
    </row>
    <row r="675">
      <c r="G675" s="40"/>
      <c r="H675" s="40"/>
      <c r="I675" s="40"/>
    </row>
    <row r="676">
      <c r="G676" s="40"/>
      <c r="H676" s="40"/>
      <c r="I676" s="40"/>
    </row>
    <row r="677">
      <c r="G677" s="40"/>
      <c r="H677" s="40"/>
      <c r="I677" s="40"/>
    </row>
    <row r="678">
      <c r="G678" s="40"/>
      <c r="H678" s="40"/>
      <c r="I678" s="40"/>
    </row>
    <row r="679">
      <c r="G679" s="40"/>
      <c r="H679" s="40"/>
      <c r="I679" s="40"/>
    </row>
    <row r="680">
      <c r="G680" s="40"/>
      <c r="H680" s="40"/>
      <c r="I680" s="40"/>
    </row>
    <row r="681">
      <c r="G681" s="40"/>
      <c r="H681" s="40"/>
      <c r="I681" s="40"/>
    </row>
    <row r="682">
      <c r="G682" s="40"/>
      <c r="H682" s="40"/>
      <c r="I682" s="40"/>
    </row>
    <row r="683">
      <c r="G683" s="40"/>
      <c r="H683" s="40"/>
      <c r="I683" s="40"/>
    </row>
    <row r="684">
      <c r="G684" s="40"/>
      <c r="H684" s="40"/>
      <c r="I684" s="40"/>
    </row>
    <row r="685">
      <c r="G685" s="40"/>
      <c r="H685" s="40"/>
      <c r="I685" s="40"/>
    </row>
    <row r="686">
      <c r="G686" s="40"/>
      <c r="H686" s="40"/>
      <c r="I686" s="40"/>
    </row>
    <row r="687">
      <c r="G687" s="40"/>
      <c r="H687" s="40"/>
      <c r="I687" s="40"/>
    </row>
    <row r="688">
      <c r="G688" s="40"/>
      <c r="H688" s="40"/>
      <c r="I688" s="40"/>
    </row>
    <row r="689">
      <c r="G689" s="40"/>
      <c r="H689" s="40"/>
      <c r="I689" s="40"/>
    </row>
    <row r="690">
      <c r="G690" s="40"/>
      <c r="H690" s="40"/>
      <c r="I690" s="40"/>
    </row>
    <row r="691">
      <c r="G691" s="40"/>
      <c r="H691" s="40"/>
      <c r="I691" s="40"/>
    </row>
    <row r="692">
      <c r="G692" s="40"/>
      <c r="H692" s="40"/>
      <c r="I692" s="40"/>
    </row>
    <row r="693">
      <c r="G693" s="40"/>
      <c r="H693" s="40"/>
      <c r="I693" s="40"/>
    </row>
    <row r="694">
      <c r="G694" s="40"/>
      <c r="H694" s="40"/>
      <c r="I694" s="40"/>
    </row>
    <row r="695">
      <c r="G695" s="40"/>
      <c r="H695" s="40"/>
      <c r="I695" s="40"/>
    </row>
    <row r="696">
      <c r="G696" s="40"/>
      <c r="H696" s="40"/>
      <c r="I696" s="40"/>
    </row>
    <row r="697">
      <c r="G697" s="40"/>
      <c r="H697" s="40"/>
      <c r="I697" s="40"/>
    </row>
    <row r="698">
      <c r="G698" s="40"/>
      <c r="H698" s="40"/>
      <c r="I698" s="40"/>
    </row>
    <row r="699">
      <c r="G699" s="40"/>
      <c r="H699" s="40"/>
      <c r="I699" s="40"/>
    </row>
    <row r="700">
      <c r="G700" s="40"/>
      <c r="H700" s="40"/>
      <c r="I700" s="40"/>
    </row>
    <row r="701">
      <c r="G701" s="40"/>
      <c r="H701" s="40"/>
      <c r="I701" s="40"/>
    </row>
    <row r="702">
      <c r="G702" s="40"/>
      <c r="H702" s="40"/>
      <c r="I702" s="40"/>
    </row>
    <row r="703">
      <c r="G703" s="40"/>
      <c r="H703" s="40"/>
      <c r="I703" s="40"/>
    </row>
    <row r="704">
      <c r="G704" s="40"/>
      <c r="H704" s="40"/>
      <c r="I704" s="40"/>
    </row>
    <row r="705">
      <c r="G705" s="40"/>
      <c r="H705" s="40"/>
      <c r="I705" s="40"/>
    </row>
    <row r="706">
      <c r="G706" s="40"/>
      <c r="H706" s="40"/>
      <c r="I706" s="40"/>
    </row>
    <row r="707">
      <c r="G707" s="40"/>
      <c r="H707" s="40"/>
      <c r="I707" s="40"/>
    </row>
    <row r="708">
      <c r="G708" s="40"/>
      <c r="H708" s="40"/>
      <c r="I708" s="40"/>
    </row>
    <row r="709">
      <c r="G709" s="40"/>
      <c r="H709" s="40"/>
      <c r="I709" s="40"/>
    </row>
    <row r="710">
      <c r="G710" s="40"/>
      <c r="H710" s="40"/>
      <c r="I710" s="40"/>
    </row>
    <row r="711">
      <c r="G711" s="40"/>
      <c r="H711" s="40"/>
      <c r="I711" s="40"/>
    </row>
    <row r="712">
      <c r="G712" s="40"/>
      <c r="H712" s="40"/>
      <c r="I712" s="40"/>
    </row>
    <row r="713">
      <c r="G713" s="40"/>
      <c r="H713" s="40"/>
      <c r="I713" s="40"/>
    </row>
    <row r="714">
      <c r="G714" s="40"/>
      <c r="H714" s="40"/>
      <c r="I714" s="40"/>
    </row>
    <row r="715">
      <c r="G715" s="40"/>
      <c r="H715" s="40"/>
      <c r="I715" s="40"/>
    </row>
    <row r="716">
      <c r="G716" s="40"/>
      <c r="H716" s="40"/>
      <c r="I716" s="40"/>
    </row>
    <row r="717">
      <c r="G717" s="40"/>
      <c r="H717" s="40"/>
      <c r="I717" s="40"/>
    </row>
    <row r="718">
      <c r="G718" s="40"/>
      <c r="H718" s="40"/>
      <c r="I718" s="40"/>
    </row>
    <row r="719">
      <c r="G719" s="40"/>
      <c r="H719" s="40"/>
      <c r="I719" s="40"/>
    </row>
    <row r="720">
      <c r="G720" s="40"/>
      <c r="H720" s="40"/>
      <c r="I720" s="40"/>
    </row>
    <row r="721">
      <c r="G721" s="40"/>
      <c r="H721" s="40"/>
      <c r="I721" s="40"/>
    </row>
    <row r="722">
      <c r="G722" s="40"/>
      <c r="H722" s="40"/>
      <c r="I722" s="40"/>
    </row>
    <row r="723">
      <c r="G723" s="40"/>
      <c r="H723" s="40"/>
      <c r="I723" s="40"/>
    </row>
    <row r="724">
      <c r="G724" s="40"/>
      <c r="H724" s="40"/>
      <c r="I724" s="40"/>
    </row>
    <row r="725">
      <c r="G725" s="40"/>
      <c r="H725" s="40"/>
      <c r="I725" s="40"/>
    </row>
    <row r="726">
      <c r="G726" s="40"/>
      <c r="H726" s="40"/>
      <c r="I726" s="40"/>
    </row>
    <row r="727">
      <c r="G727" s="40"/>
      <c r="H727" s="40"/>
      <c r="I727" s="40"/>
    </row>
    <row r="728">
      <c r="G728" s="40"/>
      <c r="H728" s="40"/>
      <c r="I728" s="40"/>
    </row>
    <row r="729">
      <c r="G729" s="40"/>
      <c r="H729" s="40"/>
      <c r="I729" s="40"/>
    </row>
    <row r="730">
      <c r="G730" s="40"/>
      <c r="H730" s="40"/>
      <c r="I730" s="40"/>
    </row>
    <row r="731">
      <c r="G731" s="40"/>
      <c r="H731" s="40"/>
      <c r="I731" s="40"/>
    </row>
    <row r="732">
      <c r="G732" s="40"/>
      <c r="H732" s="40"/>
      <c r="I732" s="40"/>
    </row>
    <row r="733">
      <c r="G733" s="40"/>
      <c r="H733" s="40"/>
      <c r="I733" s="40"/>
    </row>
    <row r="734">
      <c r="G734" s="40"/>
      <c r="H734" s="40"/>
      <c r="I734" s="40"/>
    </row>
    <row r="735">
      <c r="G735" s="40"/>
      <c r="H735" s="40"/>
      <c r="I735" s="40"/>
    </row>
    <row r="736">
      <c r="G736" s="40"/>
      <c r="H736" s="40"/>
      <c r="I736" s="40"/>
    </row>
    <row r="737">
      <c r="G737" s="40"/>
      <c r="H737" s="40"/>
      <c r="I737" s="40"/>
    </row>
    <row r="738">
      <c r="G738" s="40"/>
      <c r="H738" s="40"/>
      <c r="I738" s="40"/>
    </row>
    <row r="739">
      <c r="G739" s="40"/>
      <c r="H739" s="40"/>
      <c r="I739" s="40"/>
    </row>
    <row r="740">
      <c r="G740" s="40"/>
      <c r="H740" s="40"/>
      <c r="I740" s="40"/>
    </row>
    <row r="741">
      <c r="G741" s="40"/>
      <c r="H741" s="40"/>
      <c r="I741" s="40"/>
    </row>
    <row r="742">
      <c r="G742" s="40"/>
      <c r="H742" s="40"/>
      <c r="I742" s="40"/>
    </row>
    <row r="743">
      <c r="G743" s="40"/>
      <c r="H743" s="40"/>
      <c r="I743" s="40"/>
    </row>
    <row r="744">
      <c r="G744" s="40"/>
      <c r="H744" s="40"/>
      <c r="I744" s="40"/>
    </row>
    <row r="745">
      <c r="G745" s="40"/>
      <c r="H745" s="40"/>
      <c r="I745" s="40"/>
    </row>
    <row r="746">
      <c r="G746" s="40"/>
      <c r="H746" s="40"/>
      <c r="I746" s="40"/>
    </row>
    <row r="747">
      <c r="G747" s="40"/>
      <c r="H747" s="40"/>
      <c r="I747" s="40"/>
    </row>
    <row r="748">
      <c r="G748" s="40"/>
      <c r="H748" s="40"/>
      <c r="I748" s="40"/>
    </row>
    <row r="749">
      <c r="G749" s="40"/>
      <c r="H749" s="40"/>
      <c r="I749" s="40"/>
    </row>
    <row r="750">
      <c r="G750" s="40"/>
      <c r="H750" s="40"/>
      <c r="I750" s="40"/>
    </row>
    <row r="751">
      <c r="G751" s="40"/>
      <c r="H751" s="40"/>
      <c r="I751" s="40"/>
    </row>
    <row r="752">
      <c r="G752" s="40"/>
      <c r="H752" s="40"/>
      <c r="I752" s="40"/>
    </row>
    <row r="753">
      <c r="G753" s="40"/>
      <c r="H753" s="40"/>
      <c r="I753" s="40"/>
    </row>
    <row r="754">
      <c r="G754" s="40"/>
      <c r="H754" s="40"/>
      <c r="I754" s="40"/>
    </row>
    <row r="755">
      <c r="G755" s="40"/>
      <c r="H755" s="40"/>
      <c r="I755" s="40"/>
    </row>
    <row r="756">
      <c r="G756" s="40"/>
      <c r="H756" s="40"/>
      <c r="I756" s="40"/>
    </row>
    <row r="757">
      <c r="G757" s="40"/>
      <c r="H757" s="40"/>
      <c r="I757" s="40"/>
    </row>
    <row r="758">
      <c r="G758" s="40"/>
      <c r="H758" s="40"/>
      <c r="I758" s="40"/>
    </row>
    <row r="759">
      <c r="G759" s="40"/>
      <c r="H759" s="40"/>
      <c r="I759" s="40"/>
    </row>
    <row r="760">
      <c r="G760" s="40"/>
      <c r="H760" s="40"/>
      <c r="I760" s="40"/>
    </row>
    <row r="761">
      <c r="G761" s="40"/>
      <c r="H761" s="40"/>
      <c r="I761" s="40"/>
    </row>
    <row r="762">
      <c r="G762" s="40"/>
      <c r="H762" s="40"/>
      <c r="I762" s="40"/>
    </row>
    <row r="763">
      <c r="G763" s="40"/>
      <c r="H763" s="40"/>
      <c r="I763" s="40"/>
    </row>
    <row r="764">
      <c r="G764" s="40"/>
      <c r="H764" s="40"/>
      <c r="I764" s="40"/>
    </row>
    <row r="765">
      <c r="G765" s="40"/>
      <c r="H765" s="40"/>
      <c r="I765" s="40"/>
    </row>
    <row r="766">
      <c r="G766" s="40"/>
      <c r="H766" s="40"/>
      <c r="I766" s="40"/>
    </row>
    <row r="767">
      <c r="G767" s="40"/>
      <c r="H767" s="40"/>
      <c r="I767" s="40"/>
    </row>
    <row r="768">
      <c r="G768" s="40"/>
      <c r="H768" s="40"/>
      <c r="I768" s="40"/>
    </row>
    <row r="769">
      <c r="G769" s="40"/>
      <c r="H769" s="40"/>
      <c r="I769" s="40"/>
    </row>
    <row r="770">
      <c r="G770" s="40"/>
      <c r="H770" s="40"/>
      <c r="I770" s="40"/>
    </row>
    <row r="771">
      <c r="G771" s="40"/>
      <c r="H771" s="40"/>
      <c r="I771" s="40"/>
    </row>
    <row r="772">
      <c r="G772" s="40"/>
      <c r="H772" s="40"/>
      <c r="I772" s="40"/>
    </row>
    <row r="773">
      <c r="G773" s="40"/>
      <c r="H773" s="40"/>
      <c r="I773" s="40"/>
    </row>
    <row r="774">
      <c r="G774" s="40"/>
      <c r="H774" s="40"/>
      <c r="I774" s="40"/>
    </row>
    <row r="775">
      <c r="G775" s="40"/>
      <c r="H775" s="40"/>
      <c r="I775" s="40"/>
    </row>
    <row r="776">
      <c r="G776" s="40"/>
      <c r="H776" s="40"/>
      <c r="I776" s="40"/>
    </row>
    <row r="777">
      <c r="G777" s="40"/>
      <c r="H777" s="40"/>
      <c r="I777" s="40"/>
    </row>
    <row r="778">
      <c r="G778" s="40"/>
      <c r="H778" s="40"/>
      <c r="I778" s="40"/>
    </row>
    <row r="779">
      <c r="G779" s="40"/>
      <c r="H779" s="40"/>
      <c r="I779" s="40"/>
    </row>
    <row r="780">
      <c r="G780" s="40"/>
      <c r="H780" s="40"/>
      <c r="I780" s="40"/>
    </row>
    <row r="781">
      <c r="G781" s="40"/>
      <c r="H781" s="40"/>
      <c r="I781" s="40"/>
    </row>
    <row r="782">
      <c r="G782" s="40"/>
      <c r="H782" s="40"/>
      <c r="I782" s="40"/>
    </row>
    <row r="783">
      <c r="G783" s="40"/>
      <c r="H783" s="40"/>
      <c r="I783" s="40"/>
    </row>
    <row r="784">
      <c r="G784" s="40"/>
      <c r="H784" s="40"/>
      <c r="I784" s="40"/>
    </row>
    <row r="785">
      <c r="G785" s="40"/>
      <c r="H785" s="40"/>
      <c r="I785" s="40"/>
    </row>
    <row r="786">
      <c r="G786" s="40"/>
      <c r="H786" s="40"/>
      <c r="I786" s="40"/>
    </row>
    <row r="787">
      <c r="G787" s="40"/>
      <c r="H787" s="40"/>
      <c r="I787" s="40"/>
    </row>
    <row r="788">
      <c r="G788" s="40"/>
      <c r="H788" s="40"/>
      <c r="I788" s="40"/>
    </row>
    <row r="789">
      <c r="G789" s="40"/>
      <c r="H789" s="40"/>
      <c r="I789" s="40"/>
    </row>
    <row r="790">
      <c r="G790" s="40"/>
      <c r="H790" s="40"/>
      <c r="I790" s="40"/>
    </row>
    <row r="791">
      <c r="G791" s="40"/>
      <c r="H791" s="40"/>
      <c r="I791" s="40"/>
    </row>
    <row r="792">
      <c r="G792" s="40"/>
      <c r="H792" s="40"/>
      <c r="I792" s="40"/>
    </row>
    <row r="793">
      <c r="G793" s="40"/>
      <c r="H793" s="40"/>
      <c r="I793" s="40"/>
    </row>
    <row r="794">
      <c r="G794" s="40"/>
      <c r="H794" s="40"/>
      <c r="I794" s="40"/>
    </row>
    <row r="795">
      <c r="G795" s="40"/>
      <c r="H795" s="40"/>
      <c r="I795" s="40"/>
    </row>
    <row r="796">
      <c r="G796" s="40"/>
      <c r="H796" s="40"/>
      <c r="I796" s="40"/>
    </row>
    <row r="797">
      <c r="G797" s="40"/>
      <c r="H797" s="40"/>
      <c r="I797" s="40"/>
    </row>
    <row r="798">
      <c r="G798" s="40"/>
      <c r="H798" s="40"/>
      <c r="I798" s="40"/>
    </row>
    <row r="799">
      <c r="G799" s="40"/>
      <c r="H799" s="40"/>
      <c r="I799" s="40"/>
    </row>
    <row r="800">
      <c r="G800" s="40"/>
      <c r="H800" s="40"/>
      <c r="I800" s="40"/>
    </row>
    <row r="801">
      <c r="G801" s="40"/>
      <c r="H801" s="40"/>
      <c r="I801" s="40"/>
    </row>
    <row r="802">
      <c r="G802" s="40"/>
      <c r="H802" s="40"/>
      <c r="I802" s="40"/>
    </row>
    <row r="803">
      <c r="G803" s="40"/>
      <c r="H803" s="40"/>
      <c r="I803" s="40"/>
    </row>
    <row r="804">
      <c r="G804" s="40"/>
      <c r="H804" s="40"/>
      <c r="I804" s="40"/>
    </row>
    <row r="805">
      <c r="G805" s="40"/>
      <c r="H805" s="40"/>
      <c r="I805" s="40"/>
    </row>
    <row r="806">
      <c r="G806" s="40"/>
      <c r="H806" s="40"/>
      <c r="I806" s="40"/>
    </row>
    <row r="807">
      <c r="G807" s="40"/>
      <c r="H807" s="40"/>
      <c r="I807" s="40"/>
    </row>
    <row r="808">
      <c r="G808" s="40"/>
      <c r="H808" s="40"/>
      <c r="I808" s="40"/>
    </row>
    <row r="809">
      <c r="G809" s="40"/>
      <c r="H809" s="40"/>
      <c r="I809" s="40"/>
    </row>
    <row r="810">
      <c r="G810" s="40"/>
      <c r="H810" s="40"/>
      <c r="I810" s="40"/>
    </row>
    <row r="811">
      <c r="G811" s="40"/>
      <c r="H811" s="40"/>
      <c r="I811" s="40"/>
    </row>
    <row r="812">
      <c r="G812" s="40"/>
      <c r="H812" s="40"/>
      <c r="I812" s="40"/>
    </row>
    <row r="813">
      <c r="G813" s="40"/>
      <c r="H813" s="40"/>
      <c r="I813" s="40"/>
    </row>
    <row r="814">
      <c r="G814" s="40"/>
      <c r="H814" s="40"/>
      <c r="I814" s="40"/>
    </row>
    <row r="815">
      <c r="G815" s="40"/>
      <c r="H815" s="40"/>
      <c r="I815" s="40"/>
    </row>
    <row r="816">
      <c r="G816" s="40"/>
      <c r="H816" s="40"/>
      <c r="I816" s="40"/>
    </row>
    <row r="817">
      <c r="G817" s="40"/>
      <c r="H817" s="40"/>
      <c r="I817" s="40"/>
    </row>
    <row r="818">
      <c r="G818" s="40"/>
      <c r="H818" s="40"/>
      <c r="I818" s="40"/>
    </row>
    <row r="819">
      <c r="G819" s="40"/>
      <c r="H819" s="40"/>
      <c r="I819" s="40"/>
    </row>
    <row r="820">
      <c r="G820" s="40"/>
      <c r="H820" s="40"/>
      <c r="I820" s="40"/>
    </row>
    <row r="821">
      <c r="G821" s="40"/>
      <c r="H821" s="40"/>
      <c r="I821" s="40"/>
    </row>
    <row r="822">
      <c r="G822" s="40"/>
      <c r="H822" s="40"/>
      <c r="I822" s="40"/>
    </row>
    <row r="823">
      <c r="G823" s="40"/>
      <c r="H823" s="40"/>
      <c r="I823" s="40"/>
    </row>
    <row r="824">
      <c r="G824" s="40"/>
      <c r="H824" s="40"/>
      <c r="I824" s="40"/>
    </row>
    <row r="825">
      <c r="G825" s="40"/>
      <c r="H825" s="40"/>
      <c r="I825" s="40"/>
    </row>
    <row r="826">
      <c r="G826" s="40"/>
      <c r="H826" s="40"/>
      <c r="I826" s="40"/>
    </row>
    <row r="827">
      <c r="G827" s="40"/>
      <c r="H827" s="40"/>
      <c r="I827" s="40"/>
    </row>
    <row r="828">
      <c r="G828" s="40"/>
      <c r="H828" s="40"/>
      <c r="I828" s="40"/>
    </row>
    <row r="829">
      <c r="G829" s="40"/>
      <c r="H829" s="40"/>
      <c r="I829" s="40"/>
    </row>
    <row r="830">
      <c r="G830" s="40"/>
      <c r="H830" s="40"/>
      <c r="I830" s="40"/>
    </row>
    <row r="831">
      <c r="G831" s="40"/>
      <c r="H831" s="40"/>
      <c r="I831" s="40"/>
    </row>
    <row r="832">
      <c r="G832" s="40"/>
      <c r="H832" s="40"/>
      <c r="I832" s="40"/>
    </row>
    <row r="833">
      <c r="G833" s="40"/>
      <c r="H833" s="40"/>
      <c r="I833" s="40"/>
    </row>
    <row r="834">
      <c r="G834" s="40"/>
      <c r="H834" s="40"/>
      <c r="I834" s="40"/>
    </row>
    <row r="835">
      <c r="G835" s="40"/>
      <c r="H835" s="40"/>
      <c r="I835" s="40"/>
    </row>
    <row r="836">
      <c r="G836" s="40"/>
      <c r="H836" s="40"/>
      <c r="I836" s="40"/>
    </row>
    <row r="837">
      <c r="G837" s="40"/>
      <c r="H837" s="40"/>
      <c r="I837" s="40"/>
    </row>
    <row r="838">
      <c r="G838" s="40"/>
      <c r="H838" s="40"/>
      <c r="I838" s="40"/>
    </row>
    <row r="839">
      <c r="G839" s="40"/>
      <c r="H839" s="40"/>
      <c r="I839" s="40"/>
    </row>
    <row r="840">
      <c r="G840" s="40"/>
      <c r="H840" s="40"/>
      <c r="I840" s="40"/>
    </row>
    <row r="841">
      <c r="G841" s="40"/>
      <c r="H841" s="40"/>
      <c r="I841" s="40"/>
    </row>
    <row r="842">
      <c r="G842" s="40"/>
      <c r="H842" s="40"/>
      <c r="I842" s="40"/>
    </row>
    <row r="843">
      <c r="G843" s="40"/>
      <c r="H843" s="40"/>
      <c r="I843" s="40"/>
    </row>
    <row r="844">
      <c r="G844" s="40"/>
      <c r="H844" s="40"/>
      <c r="I844" s="40"/>
    </row>
    <row r="845">
      <c r="G845" s="40"/>
      <c r="H845" s="40"/>
      <c r="I845" s="40"/>
    </row>
    <row r="846">
      <c r="G846" s="40"/>
      <c r="H846" s="40"/>
      <c r="I846" s="40"/>
    </row>
    <row r="847">
      <c r="G847" s="40"/>
      <c r="H847" s="40"/>
      <c r="I847" s="40"/>
    </row>
    <row r="848">
      <c r="G848" s="40"/>
      <c r="H848" s="40"/>
      <c r="I848" s="40"/>
    </row>
    <row r="849">
      <c r="G849" s="40"/>
      <c r="H849" s="40"/>
      <c r="I849" s="40"/>
    </row>
    <row r="850">
      <c r="G850" s="40"/>
      <c r="H850" s="40"/>
      <c r="I850" s="40"/>
    </row>
    <row r="851">
      <c r="G851" s="40"/>
      <c r="H851" s="40"/>
      <c r="I851" s="40"/>
    </row>
    <row r="852">
      <c r="G852" s="40"/>
      <c r="H852" s="40"/>
      <c r="I852" s="40"/>
    </row>
    <row r="853">
      <c r="G853" s="40"/>
      <c r="H853" s="40"/>
      <c r="I853" s="40"/>
    </row>
    <row r="854">
      <c r="G854" s="40"/>
      <c r="H854" s="40"/>
      <c r="I854" s="40"/>
    </row>
    <row r="855">
      <c r="G855" s="40"/>
      <c r="H855" s="40"/>
      <c r="I855" s="40"/>
    </row>
    <row r="856">
      <c r="G856" s="40"/>
      <c r="H856" s="40"/>
      <c r="I856" s="40"/>
    </row>
    <row r="857">
      <c r="G857" s="40"/>
      <c r="H857" s="40"/>
      <c r="I857" s="40"/>
    </row>
    <row r="858">
      <c r="G858" s="40"/>
      <c r="H858" s="40"/>
      <c r="I858" s="40"/>
    </row>
    <row r="859">
      <c r="G859" s="40"/>
      <c r="H859" s="40"/>
      <c r="I859" s="40"/>
    </row>
    <row r="860">
      <c r="G860" s="40"/>
      <c r="H860" s="40"/>
      <c r="I860" s="40"/>
    </row>
    <row r="861">
      <c r="G861" s="40"/>
      <c r="H861" s="40"/>
      <c r="I861" s="40"/>
    </row>
    <row r="862">
      <c r="G862" s="40"/>
      <c r="H862" s="40"/>
      <c r="I862" s="40"/>
    </row>
    <row r="863">
      <c r="G863" s="40"/>
      <c r="H863" s="40"/>
      <c r="I863" s="40"/>
    </row>
    <row r="864">
      <c r="G864" s="40"/>
      <c r="H864" s="40"/>
      <c r="I864" s="40"/>
    </row>
    <row r="865">
      <c r="G865" s="40"/>
      <c r="H865" s="40"/>
      <c r="I865" s="40"/>
    </row>
    <row r="866">
      <c r="G866" s="40"/>
      <c r="H866" s="40"/>
      <c r="I866" s="40"/>
    </row>
    <row r="867">
      <c r="G867" s="40"/>
      <c r="H867" s="40"/>
      <c r="I867" s="40"/>
    </row>
    <row r="868">
      <c r="G868" s="40"/>
      <c r="H868" s="40"/>
      <c r="I868" s="40"/>
    </row>
    <row r="869">
      <c r="G869" s="40"/>
      <c r="H869" s="40"/>
      <c r="I869" s="40"/>
    </row>
    <row r="870">
      <c r="G870" s="40"/>
      <c r="H870" s="40"/>
      <c r="I870" s="40"/>
    </row>
    <row r="871">
      <c r="G871" s="40"/>
      <c r="H871" s="40"/>
      <c r="I871" s="40"/>
    </row>
    <row r="872">
      <c r="G872" s="40"/>
      <c r="H872" s="40"/>
      <c r="I872" s="40"/>
    </row>
    <row r="873">
      <c r="G873" s="40"/>
      <c r="H873" s="40"/>
      <c r="I873" s="40"/>
    </row>
    <row r="874">
      <c r="G874" s="40"/>
      <c r="H874" s="40"/>
      <c r="I874" s="40"/>
    </row>
    <row r="875">
      <c r="G875" s="40"/>
      <c r="H875" s="40"/>
      <c r="I875" s="40"/>
    </row>
    <row r="876">
      <c r="G876" s="40"/>
      <c r="H876" s="40"/>
      <c r="I876" s="40"/>
    </row>
    <row r="877">
      <c r="G877" s="40"/>
      <c r="H877" s="40"/>
      <c r="I877" s="40"/>
    </row>
    <row r="878">
      <c r="G878" s="40"/>
      <c r="H878" s="40"/>
      <c r="I878" s="40"/>
    </row>
    <row r="879">
      <c r="G879" s="40"/>
      <c r="H879" s="40"/>
      <c r="I879" s="40"/>
    </row>
    <row r="880">
      <c r="G880" s="40"/>
      <c r="H880" s="40"/>
      <c r="I880" s="40"/>
    </row>
    <row r="881">
      <c r="G881" s="40"/>
      <c r="H881" s="40"/>
      <c r="I881" s="40"/>
    </row>
    <row r="882">
      <c r="G882" s="40"/>
      <c r="H882" s="40"/>
      <c r="I882" s="40"/>
    </row>
    <row r="883">
      <c r="G883" s="40"/>
      <c r="H883" s="40"/>
      <c r="I883" s="40"/>
    </row>
    <row r="884">
      <c r="G884" s="40"/>
      <c r="H884" s="40"/>
      <c r="I884" s="40"/>
    </row>
    <row r="885">
      <c r="G885" s="40"/>
      <c r="H885" s="40"/>
      <c r="I885" s="40"/>
    </row>
    <row r="886">
      <c r="G886" s="40"/>
      <c r="H886" s="40"/>
      <c r="I886" s="40"/>
    </row>
    <row r="887">
      <c r="G887" s="40"/>
      <c r="H887" s="40"/>
      <c r="I887" s="40"/>
    </row>
    <row r="888">
      <c r="G888" s="40"/>
      <c r="H888" s="40"/>
      <c r="I888" s="40"/>
    </row>
    <row r="889">
      <c r="G889" s="40"/>
      <c r="H889" s="40"/>
      <c r="I889" s="40"/>
    </row>
    <row r="890">
      <c r="G890" s="40"/>
      <c r="H890" s="40"/>
      <c r="I890" s="40"/>
    </row>
    <row r="891">
      <c r="G891" s="40"/>
      <c r="H891" s="40"/>
      <c r="I891" s="40"/>
    </row>
    <row r="892">
      <c r="G892" s="40"/>
      <c r="H892" s="40"/>
      <c r="I892" s="40"/>
    </row>
    <row r="893">
      <c r="G893" s="40"/>
      <c r="H893" s="40"/>
      <c r="I893" s="40"/>
    </row>
    <row r="894">
      <c r="G894" s="40"/>
      <c r="H894" s="40"/>
      <c r="I894" s="40"/>
    </row>
    <row r="895">
      <c r="G895" s="40"/>
      <c r="H895" s="40"/>
      <c r="I895" s="40"/>
    </row>
    <row r="896">
      <c r="G896" s="40"/>
      <c r="H896" s="40"/>
      <c r="I896" s="40"/>
    </row>
    <row r="897">
      <c r="G897" s="40"/>
      <c r="H897" s="40"/>
      <c r="I897" s="40"/>
    </row>
    <row r="898">
      <c r="G898" s="40"/>
      <c r="H898" s="40"/>
      <c r="I898" s="40"/>
    </row>
    <row r="899">
      <c r="G899" s="40"/>
      <c r="H899" s="40"/>
      <c r="I899" s="40"/>
    </row>
    <row r="900">
      <c r="G900" s="40"/>
      <c r="H900" s="40"/>
      <c r="I900" s="40"/>
    </row>
    <row r="901">
      <c r="G901" s="40"/>
      <c r="H901" s="40"/>
      <c r="I901" s="40"/>
    </row>
    <row r="902">
      <c r="G902" s="40"/>
      <c r="H902" s="40"/>
      <c r="I902" s="40"/>
    </row>
    <row r="903">
      <c r="G903" s="40"/>
      <c r="H903" s="40"/>
      <c r="I903" s="40"/>
    </row>
    <row r="904">
      <c r="G904" s="40"/>
      <c r="H904" s="40"/>
      <c r="I904" s="40"/>
    </row>
    <row r="905">
      <c r="G905" s="40"/>
      <c r="H905" s="40"/>
      <c r="I905" s="40"/>
    </row>
    <row r="906">
      <c r="G906" s="40"/>
      <c r="H906" s="40"/>
      <c r="I906" s="40"/>
    </row>
    <row r="907">
      <c r="G907" s="40"/>
      <c r="H907" s="40"/>
      <c r="I907" s="40"/>
    </row>
    <row r="908">
      <c r="G908" s="40"/>
      <c r="H908" s="40"/>
      <c r="I908" s="40"/>
    </row>
    <row r="909">
      <c r="G909" s="40"/>
      <c r="H909" s="40"/>
      <c r="I909" s="40"/>
    </row>
    <row r="910">
      <c r="G910" s="40"/>
      <c r="H910" s="40"/>
      <c r="I910" s="40"/>
    </row>
    <row r="911">
      <c r="G911" s="40"/>
      <c r="H911" s="40"/>
      <c r="I911" s="40"/>
    </row>
    <row r="912">
      <c r="G912" s="40"/>
      <c r="H912" s="40"/>
      <c r="I912" s="40"/>
    </row>
    <row r="913">
      <c r="G913" s="40"/>
      <c r="H913" s="40"/>
      <c r="I913" s="40"/>
    </row>
    <row r="914">
      <c r="G914" s="40"/>
      <c r="H914" s="40"/>
      <c r="I914" s="40"/>
    </row>
    <row r="915">
      <c r="G915" s="40"/>
      <c r="H915" s="40"/>
      <c r="I915" s="40"/>
    </row>
    <row r="916">
      <c r="G916" s="40"/>
      <c r="H916" s="40"/>
      <c r="I916" s="40"/>
    </row>
    <row r="917">
      <c r="G917" s="40"/>
      <c r="H917" s="40"/>
      <c r="I917" s="40"/>
    </row>
    <row r="918">
      <c r="G918" s="40"/>
      <c r="H918" s="40"/>
      <c r="I918" s="40"/>
    </row>
    <row r="919">
      <c r="G919" s="40"/>
      <c r="H919" s="40"/>
      <c r="I919" s="40"/>
    </row>
    <row r="920">
      <c r="G920" s="40"/>
      <c r="H920" s="40"/>
      <c r="I920" s="40"/>
    </row>
    <row r="921">
      <c r="G921" s="40"/>
      <c r="H921" s="40"/>
      <c r="I921" s="40"/>
    </row>
    <row r="922">
      <c r="G922" s="40"/>
      <c r="H922" s="40"/>
      <c r="I922" s="40"/>
    </row>
    <row r="923">
      <c r="G923" s="40"/>
      <c r="H923" s="40"/>
      <c r="I923" s="40"/>
    </row>
    <row r="924">
      <c r="G924" s="40"/>
      <c r="H924" s="40"/>
      <c r="I924" s="40"/>
    </row>
    <row r="925">
      <c r="G925" s="40"/>
      <c r="H925" s="40"/>
      <c r="I925" s="40"/>
    </row>
    <row r="926">
      <c r="G926" s="40"/>
      <c r="H926" s="40"/>
      <c r="I926" s="40"/>
    </row>
    <row r="927">
      <c r="G927" s="40"/>
      <c r="H927" s="40"/>
      <c r="I927" s="40"/>
    </row>
    <row r="928">
      <c r="G928" s="40"/>
      <c r="H928" s="40"/>
      <c r="I928" s="40"/>
    </row>
    <row r="929">
      <c r="G929" s="40"/>
      <c r="H929" s="40"/>
      <c r="I929" s="40"/>
    </row>
    <row r="930">
      <c r="G930" s="40"/>
      <c r="H930" s="40"/>
      <c r="I930" s="40"/>
    </row>
    <row r="931">
      <c r="G931" s="40"/>
      <c r="H931" s="40"/>
      <c r="I931" s="40"/>
    </row>
    <row r="932">
      <c r="G932" s="40"/>
      <c r="H932" s="40"/>
      <c r="I932" s="40"/>
    </row>
    <row r="933">
      <c r="G933" s="40"/>
      <c r="H933" s="40"/>
      <c r="I933" s="40"/>
    </row>
    <row r="934">
      <c r="G934" s="40"/>
      <c r="H934" s="40"/>
      <c r="I934" s="40"/>
    </row>
    <row r="935">
      <c r="G935" s="40"/>
      <c r="H935" s="40"/>
      <c r="I935" s="40"/>
    </row>
    <row r="936">
      <c r="G936" s="40"/>
      <c r="H936" s="40"/>
      <c r="I936" s="40"/>
    </row>
    <row r="937">
      <c r="G937" s="40"/>
      <c r="H937" s="40"/>
      <c r="I937" s="40"/>
    </row>
    <row r="938">
      <c r="G938" s="40"/>
      <c r="H938" s="40"/>
      <c r="I938" s="40"/>
    </row>
    <row r="939">
      <c r="G939" s="40"/>
      <c r="H939" s="40"/>
      <c r="I939" s="40"/>
    </row>
    <row r="940">
      <c r="G940" s="40"/>
      <c r="H940" s="40"/>
      <c r="I940" s="40"/>
    </row>
    <row r="941">
      <c r="G941" s="40"/>
      <c r="H941" s="40"/>
      <c r="I941" s="40"/>
    </row>
    <row r="942">
      <c r="G942" s="40"/>
      <c r="H942" s="40"/>
      <c r="I942" s="40"/>
    </row>
    <row r="943">
      <c r="G943" s="40"/>
      <c r="H943" s="40"/>
      <c r="I943" s="40"/>
    </row>
    <row r="944">
      <c r="G944" s="40"/>
      <c r="H944" s="40"/>
      <c r="I944" s="40"/>
    </row>
    <row r="945">
      <c r="G945" s="40"/>
      <c r="H945" s="40"/>
      <c r="I945" s="40"/>
    </row>
    <row r="946">
      <c r="G946" s="40"/>
      <c r="H946" s="40"/>
      <c r="I946" s="40"/>
    </row>
    <row r="947">
      <c r="G947" s="40"/>
      <c r="H947" s="40"/>
      <c r="I947" s="40"/>
    </row>
    <row r="948">
      <c r="G948" s="40"/>
      <c r="H948" s="40"/>
      <c r="I948" s="40"/>
    </row>
    <row r="949">
      <c r="G949" s="40"/>
      <c r="H949" s="40"/>
      <c r="I949" s="40"/>
    </row>
    <row r="950">
      <c r="G950" s="40"/>
      <c r="H950" s="40"/>
      <c r="I950" s="40"/>
    </row>
    <row r="951">
      <c r="G951" s="40"/>
      <c r="H951" s="40"/>
      <c r="I951" s="40"/>
    </row>
    <row r="952">
      <c r="G952" s="40"/>
      <c r="H952" s="40"/>
      <c r="I952" s="40"/>
    </row>
    <row r="953">
      <c r="G953" s="40"/>
      <c r="H953" s="40"/>
      <c r="I953" s="40"/>
    </row>
    <row r="954">
      <c r="G954" s="40"/>
      <c r="H954" s="40"/>
      <c r="I954" s="40"/>
    </row>
    <row r="955">
      <c r="G955" s="40"/>
      <c r="H955" s="40"/>
      <c r="I955" s="40"/>
    </row>
    <row r="956">
      <c r="G956" s="40"/>
      <c r="H956" s="40"/>
      <c r="I956" s="40"/>
    </row>
    <row r="957">
      <c r="G957" s="40"/>
      <c r="H957" s="40"/>
      <c r="I957" s="40"/>
    </row>
    <row r="958">
      <c r="G958" s="40"/>
      <c r="H958" s="40"/>
      <c r="I958" s="40"/>
    </row>
    <row r="959">
      <c r="G959" s="40"/>
      <c r="H959" s="40"/>
      <c r="I959" s="40"/>
    </row>
    <row r="960">
      <c r="G960" s="40"/>
      <c r="H960" s="40"/>
      <c r="I960" s="40"/>
    </row>
    <row r="961">
      <c r="G961" s="40"/>
      <c r="H961" s="40"/>
      <c r="I961" s="40"/>
    </row>
    <row r="962">
      <c r="G962" s="40"/>
      <c r="H962" s="40"/>
      <c r="I962" s="40"/>
    </row>
    <row r="963">
      <c r="G963" s="40"/>
      <c r="H963" s="40"/>
      <c r="I963" s="40"/>
    </row>
    <row r="964">
      <c r="G964" s="40"/>
      <c r="H964" s="40"/>
      <c r="I964" s="40"/>
    </row>
    <row r="965">
      <c r="G965" s="40"/>
      <c r="H965" s="40"/>
      <c r="I965" s="40"/>
    </row>
    <row r="966">
      <c r="G966" s="40"/>
      <c r="H966" s="40"/>
      <c r="I966" s="40"/>
    </row>
    <row r="967">
      <c r="G967" s="40"/>
      <c r="H967" s="40"/>
      <c r="I967" s="40"/>
    </row>
    <row r="968">
      <c r="G968" s="40"/>
      <c r="H968" s="40"/>
      <c r="I968" s="40"/>
    </row>
    <row r="969">
      <c r="G969" s="40"/>
      <c r="H969" s="40"/>
      <c r="I969" s="40"/>
    </row>
    <row r="970">
      <c r="G970" s="40"/>
      <c r="H970" s="40"/>
      <c r="I970" s="40"/>
    </row>
    <row r="971">
      <c r="G971" s="40"/>
      <c r="H971" s="40"/>
      <c r="I971" s="40"/>
    </row>
    <row r="972">
      <c r="G972" s="40"/>
      <c r="H972" s="40"/>
      <c r="I972" s="40"/>
    </row>
    <row r="973">
      <c r="G973" s="40"/>
      <c r="H973" s="40"/>
      <c r="I973" s="40"/>
    </row>
    <row r="974">
      <c r="G974" s="40"/>
      <c r="H974" s="40"/>
      <c r="I974" s="40"/>
    </row>
    <row r="975">
      <c r="G975" s="40"/>
      <c r="H975" s="40"/>
      <c r="I975" s="40"/>
    </row>
    <row r="976">
      <c r="G976" s="40"/>
      <c r="H976" s="40"/>
      <c r="I976" s="40"/>
    </row>
    <row r="977">
      <c r="G977" s="40"/>
      <c r="H977" s="40"/>
      <c r="I977" s="40"/>
    </row>
    <row r="978">
      <c r="G978" s="40"/>
      <c r="H978" s="40"/>
      <c r="I978" s="40"/>
    </row>
    <row r="979">
      <c r="G979" s="40"/>
      <c r="H979" s="40"/>
      <c r="I979" s="40"/>
    </row>
    <row r="980">
      <c r="G980" s="40"/>
      <c r="H980" s="40"/>
      <c r="I980" s="40"/>
    </row>
    <row r="981">
      <c r="G981" s="40"/>
      <c r="H981" s="40"/>
      <c r="I981" s="40"/>
    </row>
    <row r="982">
      <c r="G982" s="40"/>
      <c r="H982" s="40"/>
      <c r="I982" s="40"/>
    </row>
    <row r="983">
      <c r="G983" s="40"/>
      <c r="H983" s="40"/>
      <c r="I983" s="40"/>
    </row>
    <row r="984">
      <c r="G984" s="40"/>
      <c r="H984" s="40"/>
      <c r="I984" s="40"/>
    </row>
    <row r="985">
      <c r="G985" s="40"/>
      <c r="H985" s="40"/>
      <c r="I985" s="40"/>
    </row>
    <row r="986">
      <c r="G986" s="40"/>
      <c r="H986" s="40"/>
      <c r="I986" s="40"/>
    </row>
    <row r="987">
      <c r="G987" s="40"/>
      <c r="H987" s="40"/>
      <c r="I987" s="40"/>
    </row>
    <row r="988">
      <c r="G988" s="40"/>
      <c r="H988" s="40"/>
      <c r="I988" s="40"/>
    </row>
    <row r="989">
      <c r="G989" s="40"/>
      <c r="H989" s="40"/>
      <c r="I989" s="40"/>
    </row>
    <row r="990">
      <c r="G990" s="40"/>
      <c r="H990" s="40"/>
      <c r="I990" s="40"/>
    </row>
    <row r="991">
      <c r="G991" s="40"/>
      <c r="H991" s="40"/>
      <c r="I991" s="40"/>
    </row>
    <row r="992">
      <c r="G992" s="40"/>
      <c r="H992" s="40"/>
      <c r="I992" s="40"/>
    </row>
    <row r="993">
      <c r="G993" s="40"/>
      <c r="H993" s="40"/>
      <c r="I993" s="40"/>
    </row>
    <row r="994">
      <c r="G994" s="40"/>
      <c r="H994" s="40"/>
      <c r="I994" s="40"/>
    </row>
    <row r="995">
      <c r="G995" s="40"/>
      <c r="H995" s="40"/>
      <c r="I995" s="40"/>
    </row>
    <row r="996">
      <c r="G996" s="40"/>
      <c r="H996" s="40"/>
      <c r="I996" s="40"/>
    </row>
    <row r="997">
      <c r="G997" s="40"/>
      <c r="H997" s="40"/>
      <c r="I997" s="40"/>
    </row>
    <row r="998">
      <c r="G998" s="40"/>
      <c r="H998" s="40"/>
      <c r="I998" s="40"/>
    </row>
    <row r="999">
      <c r="G999" s="40"/>
      <c r="H999" s="40"/>
      <c r="I999" s="40"/>
    </row>
    <row r="1000">
      <c r="G1000" s="40"/>
      <c r="H1000" s="40"/>
      <c r="I1000" s="40"/>
    </row>
    <row r="1001">
      <c r="G1001" s="40"/>
      <c r="H1001" s="40"/>
      <c r="I1001" s="40"/>
    </row>
    <row r="1002">
      <c r="G1002" s="40"/>
      <c r="H1002" s="40"/>
      <c r="I1002" s="40"/>
    </row>
    <row r="1003">
      <c r="G1003" s="40"/>
      <c r="H1003" s="40"/>
      <c r="I1003" s="40"/>
    </row>
    <row r="1004">
      <c r="G1004" s="40"/>
      <c r="H1004" s="40"/>
      <c r="I1004" s="40"/>
    </row>
    <row r="1005">
      <c r="G1005" s="40"/>
      <c r="H1005" s="40"/>
      <c r="I1005" s="40"/>
    </row>
    <row r="1006">
      <c r="G1006" s="40"/>
      <c r="H1006" s="40"/>
      <c r="I1006" s="40"/>
    </row>
    <row r="1007">
      <c r="G1007" s="40"/>
      <c r="H1007" s="40"/>
      <c r="I1007" s="40"/>
    </row>
    <row r="1008">
      <c r="G1008" s="40"/>
      <c r="H1008" s="40"/>
      <c r="I1008" s="40"/>
    </row>
    <row r="1009">
      <c r="G1009" s="40"/>
      <c r="H1009" s="40"/>
      <c r="I1009" s="40"/>
    </row>
    <row r="1010">
      <c r="G1010" s="40"/>
      <c r="H1010" s="40"/>
      <c r="I1010" s="40"/>
    </row>
    <row r="1011">
      <c r="G1011" s="40"/>
      <c r="H1011" s="40"/>
      <c r="I1011" s="40"/>
    </row>
    <row r="1012">
      <c r="G1012" s="40"/>
      <c r="H1012" s="40"/>
      <c r="I1012" s="40"/>
    </row>
    <row r="1013">
      <c r="G1013" s="40"/>
      <c r="H1013" s="40"/>
      <c r="I1013" s="40"/>
    </row>
    <row r="1014">
      <c r="G1014" s="40"/>
      <c r="H1014" s="40"/>
      <c r="I1014" s="40"/>
    </row>
    <row r="1015">
      <c r="G1015" s="40"/>
      <c r="H1015" s="40"/>
      <c r="I1015" s="40"/>
    </row>
  </sheetData>
  <mergeCells count="3">
    <mergeCell ref="A1:J1"/>
    <mergeCell ref="A2:J2"/>
    <mergeCell ref="A3:J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7.86"/>
    <col customWidth="1" min="4" max="4" width="53.43"/>
    <col customWidth="1" min="10" max="10" width="21.86"/>
    <col customWidth="1" min="11" max="11" width="22.0"/>
    <col customWidth="1" min="12" max="12" width="43.57"/>
  </cols>
  <sheetData>
    <row r="1" ht="19.5" customHeight="1">
      <c r="A1" s="88" t="s">
        <v>3</v>
      </c>
      <c r="B1" s="80" t="s">
        <v>4</v>
      </c>
      <c r="C1" s="80" t="s">
        <v>5</v>
      </c>
      <c r="D1" s="80" t="s">
        <v>6</v>
      </c>
      <c r="E1" s="80" t="s">
        <v>7</v>
      </c>
      <c r="F1" s="80" t="s">
        <v>8</v>
      </c>
      <c r="G1" s="81" t="s">
        <v>9</v>
      </c>
      <c r="H1" s="81" t="s">
        <v>1104</v>
      </c>
      <c r="I1" s="81" t="s">
        <v>10</v>
      </c>
      <c r="J1" s="80" t="s">
        <v>11</v>
      </c>
      <c r="K1" s="80" t="s">
        <v>1105</v>
      </c>
      <c r="L1" s="89" t="s">
        <v>1106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0" t="s">
        <v>1107</v>
      </c>
      <c r="B2" s="91"/>
      <c r="C2" s="92" t="s">
        <v>1108</v>
      </c>
      <c r="D2" s="92" t="s">
        <v>1109</v>
      </c>
      <c r="E2" s="93"/>
      <c r="F2" s="94">
        <v>1.0</v>
      </c>
      <c r="G2" s="95">
        <v>3.1445E7</v>
      </c>
      <c r="H2" s="96"/>
      <c r="I2" s="97">
        <f t="shared" ref="I2:I18" si="1">F2*G2</f>
        <v>31445000</v>
      </c>
      <c r="J2" s="98">
        <f>I2</f>
        <v>31445000</v>
      </c>
      <c r="K2" s="99" t="s">
        <v>1110</v>
      </c>
      <c r="L2" s="99"/>
    </row>
    <row r="3">
      <c r="A3" s="100">
        <v>46139.0</v>
      </c>
      <c r="B3" s="99"/>
      <c r="C3" s="99" t="s">
        <v>1111</v>
      </c>
      <c r="D3" s="99" t="s">
        <v>1112</v>
      </c>
      <c r="E3" s="99"/>
      <c r="F3" s="101">
        <v>225.0</v>
      </c>
      <c r="G3" s="84">
        <v>18500.0</v>
      </c>
      <c r="H3" s="102"/>
      <c r="I3" s="97">
        <f t="shared" si="1"/>
        <v>4162500</v>
      </c>
      <c r="J3" s="99"/>
      <c r="K3" s="99"/>
      <c r="L3" s="99"/>
    </row>
    <row r="4">
      <c r="A4" s="101"/>
      <c r="B4" s="99"/>
      <c r="C4" s="99" t="s">
        <v>1111</v>
      </c>
      <c r="D4" s="99" t="s">
        <v>1113</v>
      </c>
      <c r="E4" s="99"/>
      <c r="F4" s="101">
        <v>26.0</v>
      </c>
      <c r="G4" s="84">
        <v>315000.0</v>
      </c>
      <c r="H4" s="102"/>
      <c r="I4" s="97">
        <f t="shared" si="1"/>
        <v>8190000</v>
      </c>
      <c r="J4" s="99"/>
      <c r="K4" s="99"/>
      <c r="L4" s="99"/>
    </row>
    <row r="5">
      <c r="A5" s="103"/>
      <c r="B5" s="99"/>
      <c r="C5" s="99" t="s">
        <v>1111</v>
      </c>
      <c r="D5" s="99" t="s">
        <v>1114</v>
      </c>
      <c r="E5" s="99"/>
      <c r="F5" s="101">
        <v>1946.0</v>
      </c>
      <c r="G5" s="84">
        <v>1800.0</v>
      </c>
      <c r="H5" s="102"/>
      <c r="I5" s="97">
        <f t="shared" si="1"/>
        <v>3502800</v>
      </c>
      <c r="J5" s="104">
        <f>SUM(I3:I5)</f>
        <v>15855300</v>
      </c>
      <c r="K5" s="99" t="s">
        <v>1110</v>
      </c>
      <c r="L5" s="99"/>
    </row>
    <row r="6">
      <c r="A6" s="100">
        <v>46140.0</v>
      </c>
      <c r="B6" s="99"/>
      <c r="C6" s="99" t="s">
        <v>1115</v>
      </c>
      <c r="D6" s="99" t="s">
        <v>1116</v>
      </c>
      <c r="E6" s="99"/>
      <c r="F6" s="101">
        <v>200.0</v>
      </c>
      <c r="G6" s="84">
        <v>34000.0</v>
      </c>
      <c r="H6" s="102"/>
      <c r="I6" s="97">
        <f t="shared" si="1"/>
        <v>6800000</v>
      </c>
      <c r="J6" s="99"/>
      <c r="K6" s="99"/>
      <c r="L6" s="99"/>
    </row>
    <row r="7">
      <c r="A7" s="101"/>
      <c r="B7" s="99"/>
      <c r="C7" s="105" t="s">
        <v>1115</v>
      </c>
      <c r="D7" s="99" t="s">
        <v>1117</v>
      </c>
      <c r="E7" s="99"/>
      <c r="F7" s="101">
        <v>90.0</v>
      </c>
      <c r="G7" s="84">
        <v>45000.0</v>
      </c>
      <c r="H7" s="102"/>
      <c r="I7" s="97">
        <f t="shared" si="1"/>
        <v>4050000</v>
      </c>
      <c r="J7" s="99"/>
      <c r="K7" s="99"/>
      <c r="L7" s="99"/>
    </row>
    <row r="8">
      <c r="A8" s="100"/>
      <c r="B8" s="99"/>
      <c r="C8" s="105" t="s">
        <v>1115</v>
      </c>
      <c r="D8" s="99" t="s">
        <v>1117</v>
      </c>
      <c r="E8" s="99"/>
      <c r="F8" s="101">
        <v>10.0</v>
      </c>
      <c r="G8" s="84">
        <v>45000.0</v>
      </c>
      <c r="H8" s="102"/>
      <c r="I8" s="97">
        <f t="shared" si="1"/>
        <v>450000</v>
      </c>
      <c r="J8" s="99"/>
      <c r="K8" s="99"/>
      <c r="L8" s="99"/>
    </row>
    <row r="9">
      <c r="A9" s="103">
        <v>46141.0</v>
      </c>
      <c r="B9" s="99"/>
      <c r="C9" s="105" t="s">
        <v>1115</v>
      </c>
      <c r="D9" s="99" t="s">
        <v>1118</v>
      </c>
      <c r="E9" s="99"/>
      <c r="F9" s="101">
        <v>120.0</v>
      </c>
      <c r="G9" s="84">
        <v>47000.0</v>
      </c>
      <c r="H9" s="102"/>
      <c r="I9" s="97">
        <f t="shared" si="1"/>
        <v>5640000</v>
      </c>
      <c r="J9" s="99"/>
      <c r="K9" s="99"/>
      <c r="L9" s="99"/>
    </row>
    <row r="10">
      <c r="A10" s="101"/>
      <c r="B10" s="99"/>
      <c r="C10" s="105" t="s">
        <v>1115</v>
      </c>
      <c r="D10" s="99" t="s">
        <v>1116</v>
      </c>
      <c r="E10" s="99"/>
      <c r="F10" s="101">
        <v>135.0</v>
      </c>
      <c r="G10" s="84">
        <v>35000.0</v>
      </c>
      <c r="H10" s="102"/>
      <c r="I10" s="97">
        <f t="shared" si="1"/>
        <v>4725000</v>
      </c>
      <c r="J10" s="99"/>
      <c r="K10" s="99"/>
      <c r="L10" s="99"/>
    </row>
    <row r="11">
      <c r="A11" s="101" t="s">
        <v>1119</v>
      </c>
      <c r="B11" s="99"/>
      <c r="C11" s="105" t="s">
        <v>1115</v>
      </c>
      <c r="D11" s="99" t="s">
        <v>1120</v>
      </c>
      <c r="E11" s="99"/>
      <c r="F11" s="101">
        <v>165.0</v>
      </c>
      <c r="G11" s="84">
        <v>35000.0</v>
      </c>
      <c r="H11" s="102"/>
      <c r="I11" s="97">
        <f t="shared" si="1"/>
        <v>5775000</v>
      </c>
      <c r="J11" s="104">
        <f>SUM(I6:I11)</f>
        <v>27440000</v>
      </c>
      <c r="K11" s="99" t="s">
        <v>1110</v>
      </c>
      <c r="L11" s="99"/>
    </row>
    <row r="12">
      <c r="A12" s="103">
        <v>46138.0</v>
      </c>
      <c r="B12" s="99"/>
      <c r="C12" s="105" t="s">
        <v>1115</v>
      </c>
      <c r="D12" s="99" t="s">
        <v>1121</v>
      </c>
      <c r="E12" s="99"/>
      <c r="F12" s="101">
        <v>85.0</v>
      </c>
      <c r="G12" s="84">
        <v>12000.0</v>
      </c>
      <c r="H12" s="102"/>
      <c r="I12" s="97">
        <f t="shared" si="1"/>
        <v>1020000</v>
      </c>
      <c r="J12" s="99"/>
      <c r="K12" s="99"/>
      <c r="L12" s="99"/>
    </row>
    <row r="13">
      <c r="A13" s="103">
        <v>46139.0</v>
      </c>
      <c r="B13" s="99"/>
      <c r="C13" s="105" t="s">
        <v>1115</v>
      </c>
      <c r="D13" s="99" t="s">
        <v>1122</v>
      </c>
      <c r="E13" s="99"/>
      <c r="F13" s="101">
        <v>1540.0</v>
      </c>
      <c r="G13" s="84">
        <v>750.0</v>
      </c>
      <c r="H13" s="102"/>
      <c r="I13" s="97">
        <f t="shared" si="1"/>
        <v>1155000</v>
      </c>
      <c r="J13" s="99"/>
      <c r="K13" s="99"/>
      <c r="L13" s="99"/>
    </row>
    <row r="14">
      <c r="A14" s="103">
        <v>46140.0</v>
      </c>
      <c r="B14" s="99"/>
      <c r="C14" s="105" t="s">
        <v>1115</v>
      </c>
      <c r="D14" s="99" t="s">
        <v>1121</v>
      </c>
      <c r="E14" s="99"/>
      <c r="F14" s="101">
        <v>85.0</v>
      </c>
      <c r="G14" s="84">
        <v>12000.0</v>
      </c>
      <c r="H14" s="102"/>
      <c r="I14" s="97">
        <f t="shared" si="1"/>
        <v>1020000</v>
      </c>
      <c r="J14" s="99"/>
      <c r="K14" s="99"/>
      <c r="L14" s="99"/>
    </row>
    <row r="15">
      <c r="A15" s="103">
        <v>46141.0</v>
      </c>
      <c r="B15" s="99"/>
      <c r="C15" s="105" t="s">
        <v>1115</v>
      </c>
      <c r="D15" s="99" t="s">
        <v>1123</v>
      </c>
      <c r="E15" s="99"/>
      <c r="F15" s="101">
        <v>1790.0</v>
      </c>
      <c r="G15" s="84">
        <v>500.0</v>
      </c>
      <c r="H15" s="102"/>
      <c r="I15" s="97">
        <f t="shared" si="1"/>
        <v>895000</v>
      </c>
      <c r="J15" s="104">
        <f>SUM(I12:I15)</f>
        <v>4090000</v>
      </c>
      <c r="K15" s="99" t="s">
        <v>1110</v>
      </c>
      <c r="L15" s="99"/>
    </row>
    <row r="16">
      <c r="A16" s="101" t="s">
        <v>1124</v>
      </c>
      <c r="B16" s="99"/>
      <c r="C16" s="99" t="s">
        <v>1125</v>
      </c>
      <c r="D16" s="99" t="s">
        <v>1126</v>
      </c>
      <c r="E16" s="99"/>
      <c r="F16" s="101">
        <v>1.0</v>
      </c>
      <c r="G16" s="84">
        <v>1.3542E7</v>
      </c>
      <c r="H16" s="102"/>
      <c r="I16" s="97">
        <f t="shared" si="1"/>
        <v>13542000</v>
      </c>
      <c r="J16" s="104">
        <f>I16</f>
        <v>13542000</v>
      </c>
      <c r="K16" s="99" t="s">
        <v>1110</v>
      </c>
      <c r="L16" s="99"/>
    </row>
    <row r="17">
      <c r="A17" s="103">
        <v>46140.0</v>
      </c>
      <c r="B17" s="99"/>
      <c r="C17" s="99" t="s">
        <v>1125</v>
      </c>
      <c r="D17" s="99" t="s">
        <v>1127</v>
      </c>
      <c r="E17" s="99"/>
      <c r="F17" s="101">
        <v>120.0</v>
      </c>
      <c r="G17" s="84">
        <v>12000.0</v>
      </c>
      <c r="H17" s="102"/>
      <c r="I17" s="97">
        <f t="shared" si="1"/>
        <v>1440000</v>
      </c>
      <c r="J17" s="99"/>
      <c r="K17" s="99"/>
      <c r="L17" s="99"/>
    </row>
    <row r="18">
      <c r="A18" s="103">
        <v>46141.0</v>
      </c>
      <c r="B18" s="99"/>
      <c r="C18" s="99" t="s">
        <v>1125</v>
      </c>
      <c r="D18" s="99" t="s">
        <v>1128</v>
      </c>
      <c r="E18" s="99"/>
      <c r="F18" s="101">
        <v>65.0</v>
      </c>
      <c r="G18" s="84">
        <v>12000.0</v>
      </c>
      <c r="H18" s="102"/>
      <c r="I18" s="97">
        <f t="shared" si="1"/>
        <v>780000</v>
      </c>
      <c r="J18" s="106">
        <f>SUM(I17:I18)</f>
        <v>2220000</v>
      </c>
      <c r="K18" s="99" t="s">
        <v>1110</v>
      </c>
      <c r="L18" s="99"/>
    </row>
    <row r="19">
      <c r="A19" s="101"/>
      <c r="B19" s="99"/>
      <c r="C19" s="99"/>
      <c r="D19" s="99"/>
      <c r="E19" s="99"/>
      <c r="F19" s="99"/>
      <c r="G19" s="102"/>
      <c r="H19" s="102"/>
      <c r="I19" s="102"/>
      <c r="J19" s="99"/>
      <c r="K19" s="99"/>
      <c r="L19" s="99"/>
    </row>
    <row r="20">
      <c r="A20" s="101" t="s">
        <v>1129</v>
      </c>
      <c r="B20" s="99"/>
      <c r="C20" s="99" t="s">
        <v>1130</v>
      </c>
      <c r="D20" s="99" t="s">
        <v>107</v>
      </c>
      <c r="E20" s="99"/>
      <c r="F20" s="101">
        <v>53.0</v>
      </c>
      <c r="G20" s="84">
        <v>12000.0</v>
      </c>
      <c r="H20" s="102"/>
      <c r="I20" s="84">
        <f t="shared" ref="I20:I22" si="2">G20*F20</f>
        <v>636000</v>
      </c>
      <c r="J20" s="99"/>
      <c r="K20" s="99"/>
      <c r="L20" s="99"/>
    </row>
    <row r="21">
      <c r="A21" s="101" t="s">
        <v>1131</v>
      </c>
      <c r="B21" s="99"/>
      <c r="C21" s="99" t="s">
        <v>1130</v>
      </c>
      <c r="D21" s="99" t="s">
        <v>1132</v>
      </c>
      <c r="E21" s="99"/>
      <c r="F21" s="101">
        <v>81.0</v>
      </c>
      <c r="G21" s="84">
        <v>12000.0</v>
      </c>
      <c r="H21" s="102"/>
      <c r="I21" s="84">
        <f t="shared" si="2"/>
        <v>972000</v>
      </c>
      <c r="J21" s="99"/>
      <c r="K21" s="99"/>
      <c r="L21" s="99"/>
    </row>
    <row r="22">
      <c r="A22" s="101"/>
      <c r="B22" s="99"/>
      <c r="C22" s="99" t="s">
        <v>1130</v>
      </c>
      <c r="D22" s="99" t="s">
        <v>107</v>
      </c>
      <c r="E22" s="99"/>
      <c r="F22" s="101">
        <v>85.0</v>
      </c>
      <c r="G22" s="84">
        <v>12000.0</v>
      </c>
      <c r="H22" s="102"/>
      <c r="I22" s="84">
        <f t="shared" si="2"/>
        <v>1020000</v>
      </c>
      <c r="J22" s="106">
        <f>SUM(I20:I22)</f>
        <v>2628000</v>
      </c>
      <c r="K22" s="99" t="s">
        <v>1110</v>
      </c>
      <c r="L22" s="99"/>
    </row>
    <row r="23">
      <c r="A23" s="101"/>
      <c r="B23" s="99"/>
      <c r="C23" s="99"/>
      <c r="D23" s="99"/>
      <c r="E23" s="99"/>
      <c r="F23" s="99"/>
      <c r="G23" s="102"/>
      <c r="H23" s="102"/>
      <c r="I23" s="102"/>
      <c r="J23" s="99"/>
      <c r="K23" s="99"/>
      <c r="L23" s="99"/>
    </row>
    <row r="24">
      <c r="A24" s="103">
        <v>46141.0</v>
      </c>
      <c r="B24" s="99"/>
      <c r="C24" s="99" t="s">
        <v>1133</v>
      </c>
      <c r="D24" s="99" t="s">
        <v>1134</v>
      </c>
      <c r="E24" s="99"/>
      <c r="F24" s="101">
        <v>1.0</v>
      </c>
      <c r="G24" s="84">
        <v>1125000.0</v>
      </c>
      <c r="H24" s="102"/>
      <c r="I24" s="84">
        <f>G24*F24</f>
        <v>1125000</v>
      </c>
      <c r="J24" s="107">
        <f>I24</f>
        <v>1125000</v>
      </c>
      <c r="K24" s="99" t="s">
        <v>1110</v>
      </c>
      <c r="L24" s="99"/>
    </row>
    <row r="25">
      <c r="A25" s="101"/>
      <c r="B25" s="99"/>
      <c r="C25" s="99"/>
      <c r="D25" s="99"/>
      <c r="E25" s="99"/>
      <c r="F25" s="99"/>
      <c r="G25" s="102"/>
      <c r="H25" s="102"/>
      <c r="I25" s="102"/>
      <c r="J25" s="99"/>
      <c r="K25" s="99"/>
      <c r="L25" s="99"/>
    </row>
    <row r="26">
      <c r="A26" s="108">
        <v>46141.0</v>
      </c>
      <c r="B26" s="105"/>
      <c r="C26" s="105" t="s">
        <v>1135</v>
      </c>
      <c r="D26" s="105" t="s">
        <v>1136</v>
      </c>
      <c r="E26" s="105"/>
      <c r="F26" s="109">
        <v>109.0</v>
      </c>
      <c r="G26" s="110">
        <v>52500.0</v>
      </c>
      <c r="H26" s="102"/>
      <c r="I26" s="84">
        <f t="shared" ref="I26:I27" si="3">G26*F26</f>
        <v>5722500</v>
      </c>
      <c r="J26" s="84">
        <f>I26</f>
        <v>5722500</v>
      </c>
      <c r="K26" s="99" t="s">
        <v>1110</v>
      </c>
      <c r="L26" s="99" t="s">
        <v>1137</v>
      </c>
    </row>
    <row r="27">
      <c r="A27" s="101" t="s">
        <v>1138</v>
      </c>
      <c r="B27" s="99"/>
      <c r="C27" s="99" t="s">
        <v>1135</v>
      </c>
      <c r="D27" s="99" t="s">
        <v>1139</v>
      </c>
      <c r="E27" s="99"/>
      <c r="F27" s="101">
        <v>179.0</v>
      </c>
      <c r="G27" s="84">
        <v>36500.0</v>
      </c>
      <c r="H27" s="102"/>
      <c r="I27" s="84">
        <f t="shared" si="3"/>
        <v>6533500</v>
      </c>
      <c r="J27" s="107">
        <f>SUM(I26:I27)</f>
        <v>12256000</v>
      </c>
      <c r="K27" s="99" t="s">
        <v>1110</v>
      </c>
    </row>
    <row r="28">
      <c r="A28" s="103">
        <v>46138.0</v>
      </c>
      <c r="B28" s="99"/>
      <c r="C28" s="99" t="s">
        <v>1140</v>
      </c>
      <c r="D28" s="99" t="s">
        <v>1141</v>
      </c>
      <c r="E28" s="99"/>
      <c r="F28" s="101">
        <v>1700.0</v>
      </c>
      <c r="G28" s="84">
        <v>1550.0</v>
      </c>
      <c r="H28" s="105"/>
      <c r="I28" s="84">
        <f t="shared" ref="I28:I42" si="4">F28*G28</f>
        <v>2635000</v>
      </c>
      <c r="J28" s="99"/>
      <c r="K28" s="99"/>
      <c r="L28" s="99" t="s">
        <v>1142</v>
      </c>
    </row>
    <row r="29">
      <c r="A29" s="103">
        <v>46139.0</v>
      </c>
      <c r="B29" s="99"/>
      <c r="C29" s="99" t="s">
        <v>1140</v>
      </c>
      <c r="D29" s="99" t="s">
        <v>1143</v>
      </c>
      <c r="E29" s="99"/>
      <c r="F29" s="111">
        <v>156.0</v>
      </c>
      <c r="G29" s="84">
        <v>29500.0</v>
      </c>
      <c r="H29" s="105"/>
      <c r="I29" s="84">
        <f t="shared" si="4"/>
        <v>4602000</v>
      </c>
      <c r="J29" s="99"/>
      <c r="K29" s="99"/>
      <c r="L29" s="112">
        <v>7.257935757E9</v>
      </c>
    </row>
    <row r="30">
      <c r="A30" s="103">
        <v>46140.0</v>
      </c>
      <c r="B30" s="99"/>
      <c r="C30" s="99" t="s">
        <v>1140</v>
      </c>
      <c r="D30" s="99" t="s">
        <v>1144</v>
      </c>
      <c r="E30" s="99"/>
      <c r="F30" s="111">
        <v>138.3</v>
      </c>
      <c r="G30" s="84">
        <v>29500.0</v>
      </c>
      <c r="H30" s="105"/>
      <c r="I30" s="84">
        <f t="shared" si="4"/>
        <v>4079850</v>
      </c>
      <c r="J30" s="99"/>
      <c r="K30" s="99"/>
      <c r="L30" s="99"/>
    </row>
    <row r="31">
      <c r="A31" s="103">
        <v>46138.0</v>
      </c>
      <c r="B31" s="99"/>
      <c r="C31" s="99" t="s">
        <v>1140</v>
      </c>
      <c r="D31" s="99" t="s">
        <v>1145</v>
      </c>
      <c r="E31" s="99"/>
      <c r="F31" s="111">
        <v>127.0</v>
      </c>
      <c r="G31" s="84">
        <v>13500.0</v>
      </c>
      <c r="H31" s="105"/>
      <c r="I31" s="84">
        <f t="shared" si="4"/>
        <v>1714500</v>
      </c>
      <c r="J31" s="99"/>
      <c r="K31" s="99"/>
      <c r="L31" s="99"/>
    </row>
    <row r="32">
      <c r="A32" s="103">
        <v>46139.0</v>
      </c>
      <c r="B32" s="99"/>
      <c r="C32" s="99" t="s">
        <v>1140</v>
      </c>
      <c r="D32" s="99" t="s">
        <v>1146</v>
      </c>
      <c r="E32" s="99"/>
      <c r="F32" s="111">
        <v>220.5</v>
      </c>
      <c r="G32" s="84">
        <v>21000.0</v>
      </c>
      <c r="H32" s="105"/>
      <c r="I32" s="84">
        <f t="shared" si="4"/>
        <v>4630500</v>
      </c>
      <c r="J32" s="99"/>
      <c r="K32" s="99"/>
      <c r="L32" s="99"/>
    </row>
    <row r="33">
      <c r="A33" s="103">
        <v>46140.0</v>
      </c>
      <c r="B33" s="99"/>
      <c r="C33" s="99" t="s">
        <v>1140</v>
      </c>
      <c r="D33" s="99" t="s">
        <v>1141</v>
      </c>
      <c r="E33" s="99"/>
      <c r="F33" s="111">
        <v>1680.0</v>
      </c>
      <c r="G33" s="84">
        <v>1550.0</v>
      </c>
      <c r="H33" s="105"/>
      <c r="I33" s="84">
        <f t="shared" si="4"/>
        <v>2604000</v>
      </c>
      <c r="J33" s="99"/>
      <c r="K33" s="99"/>
      <c r="L33" s="99"/>
    </row>
    <row r="34">
      <c r="A34" s="103">
        <v>46140.0</v>
      </c>
      <c r="B34" s="99"/>
      <c r="C34" s="99" t="s">
        <v>1140</v>
      </c>
      <c r="D34" s="99" t="s">
        <v>1147</v>
      </c>
      <c r="E34" s="99"/>
      <c r="F34" s="101">
        <v>98.0</v>
      </c>
      <c r="G34" s="84">
        <v>34000.0</v>
      </c>
      <c r="H34" s="105"/>
      <c r="I34" s="84">
        <f t="shared" si="4"/>
        <v>3332000</v>
      </c>
      <c r="J34" s="106">
        <f>SUM(I28:I34)</f>
        <v>23597850</v>
      </c>
      <c r="K34" s="102" t="s">
        <v>1110</v>
      </c>
      <c r="L34" s="99"/>
    </row>
    <row r="35">
      <c r="A35" s="103">
        <v>46139.0</v>
      </c>
      <c r="B35" s="99"/>
      <c r="C35" s="99" t="s">
        <v>1140</v>
      </c>
      <c r="D35" s="99" t="s">
        <v>1148</v>
      </c>
      <c r="E35" s="99"/>
      <c r="F35" s="101">
        <v>140.0</v>
      </c>
      <c r="G35" s="84">
        <v>29500.0</v>
      </c>
      <c r="H35" s="105"/>
      <c r="I35" s="84">
        <f t="shared" si="4"/>
        <v>4130000</v>
      </c>
      <c r="J35" s="99"/>
      <c r="K35" s="99"/>
      <c r="L35" s="99"/>
    </row>
    <row r="36">
      <c r="A36" s="103">
        <v>46139.0</v>
      </c>
      <c r="B36" s="99"/>
      <c r="C36" s="99" t="s">
        <v>1140</v>
      </c>
      <c r="D36" s="99" t="s">
        <v>1149</v>
      </c>
      <c r="E36" s="99"/>
      <c r="F36" s="101">
        <v>400.0</v>
      </c>
      <c r="G36" s="84">
        <v>1550.0</v>
      </c>
      <c r="H36" s="105"/>
      <c r="I36" s="84">
        <f t="shared" si="4"/>
        <v>620000</v>
      </c>
      <c r="J36" s="99"/>
      <c r="K36" s="99"/>
      <c r="L36" s="99"/>
    </row>
    <row r="37">
      <c r="A37" s="103">
        <v>46141.0</v>
      </c>
      <c r="B37" s="99"/>
      <c r="C37" s="99" t="s">
        <v>1140</v>
      </c>
      <c r="D37" s="99" t="s">
        <v>1150</v>
      </c>
      <c r="E37" s="99"/>
      <c r="F37" s="101">
        <v>45.0</v>
      </c>
      <c r="G37" s="84">
        <v>84000.0</v>
      </c>
      <c r="H37" s="105"/>
      <c r="I37" s="84">
        <f t="shared" si="4"/>
        <v>3780000</v>
      </c>
      <c r="J37" s="99"/>
      <c r="K37" s="99"/>
      <c r="L37" s="99"/>
    </row>
    <row r="38">
      <c r="A38" s="103"/>
      <c r="B38" s="99"/>
      <c r="C38" s="99" t="s">
        <v>1140</v>
      </c>
      <c r="D38" s="99" t="s">
        <v>1151</v>
      </c>
      <c r="E38" s="99"/>
      <c r="F38" s="101">
        <v>140.0</v>
      </c>
      <c r="G38" s="84">
        <v>33500.0</v>
      </c>
      <c r="H38" s="105"/>
      <c r="I38" s="84">
        <f t="shared" si="4"/>
        <v>4690000</v>
      </c>
      <c r="J38" s="99"/>
      <c r="K38" s="99"/>
      <c r="L38" s="99"/>
    </row>
    <row r="39">
      <c r="A39" s="101"/>
      <c r="B39" s="99"/>
      <c r="C39" s="99" t="s">
        <v>1140</v>
      </c>
      <c r="D39" s="99" t="s">
        <v>1152</v>
      </c>
      <c r="E39" s="99"/>
      <c r="F39" s="101">
        <v>1390.0</v>
      </c>
      <c r="G39" s="84">
        <v>1550.0</v>
      </c>
      <c r="H39" s="105"/>
      <c r="I39" s="84">
        <f t="shared" si="4"/>
        <v>2154500</v>
      </c>
      <c r="J39" s="99"/>
      <c r="K39" s="99"/>
      <c r="L39" s="99"/>
    </row>
    <row r="40">
      <c r="A40" s="101" t="s">
        <v>1153</v>
      </c>
      <c r="B40" s="99"/>
      <c r="C40" s="99" t="s">
        <v>1140</v>
      </c>
      <c r="D40" s="99" t="s">
        <v>1154</v>
      </c>
      <c r="E40" s="99"/>
      <c r="F40" s="101">
        <v>18.0</v>
      </c>
      <c r="G40" s="84">
        <v>84000.0</v>
      </c>
      <c r="H40" s="105"/>
      <c r="I40" s="84">
        <f t="shared" si="4"/>
        <v>1512000</v>
      </c>
      <c r="J40" s="99"/>
      <c r="K40" s="99"/>
      <c r="L40" s="99"/>
    </row>
    <row r="41">
      <c r="A41" s="103">
        <v>46141.0</v>
      </c>
      <c r="B41" s="99"/>
      <c r="C41" s="99" t="s">
        <v>1140</v>
      </c>
      <c r="D41" s="99" t="s">
        <v>1155</v>
      </c>
      <c r="E41" s="99"/>
      <c r="F41" s="111">
        <v>175.0</v>
      </c>
      <c r="G41" s="84">
        <v>12000.0</v>
      </c>
      <c r="H41" s="105"/>
      <c r="I41" s="84">
        <f t="shared" si="4"/>
        <v>2100000</v>
      </c>
      <c r="J41" s="99"/>
      <c r="K41" s="99"/>
      <c r="L41" s="99"/>
    </row>
    <row r="42">
      <c r="A42" s="101" t="s">
        <v>1153</v>
      </c>
      <c r="B42" s="99"/>
      <c r="C42" s="99" t="s">
        <v>1140</v>
      </c>
      <c r="D42" s="99" t="s">
        <v>1156</v>
      </c>
      <c r="E42" s="99"/>
      <c r="F42" s="101">
        <v>107.0</v>
      </c>
      <c r="G42" s="84">
        <v>29500.0</v>
      </c>
      <c r="H42" s="105"/>
      <c r="I42" s="84">
        <f t="shared" si="4"/>
        <v>3156500</v>
      </c>
      <c r="J42" s="106">
        <f>SUM(I35:I42)</f>
        <v>22143000</v>
      </c>
      <c r="K42" s="99" t="s">
        <v>1110</v>
      </c>
      <c r="L42" s="99"/>
    </row>
    <row r="43">
      <c r="A43" s="101" t="s">
        <v>1157</v>
      </c>
      <c r="B43" s="99"/>
      <c r="C43" s="99" t="s">
        <v>1158</v>
      </c>
      <c r="D43" s="99" t="s">
        <v>1159</v>
      </c>
      <c r="E43" s="99"/>
      <c r="F43" s="101">
        <v>90.0</v>
      </c>
      <c r="G43" s="84">
        <v>12000.0</v>
      </c>
      <c r="H43" s="102"/>
      <c r="I43" s="84">
        <f>G43*F43</f>
        <v>1080000</v>
      </c>
      <c r="J43" s="107">
        <f>I43</f>
        <v>1080000</v>
      </c>
      <c r="K43" s="99" t="s">
        <v>1110</v>
      </c>
      <c r="L43" s="99"/>
    </row>
    <row r="44">
      <c r="A44" s="109"/>
      <c r="B44" s="105"/>
      <c r="C44" s="105"/>
      <c r="D44" s="105"/>
      <c r="E44" s="105"/>
      <c r="F44" s="105"/>
      <c r="G44" s="113"/>
      <c r="H44" s="113"/>
      <c r="I44" s="113"/>
      <c r="J44" s="99"/>
      <c r="K44" s="99"/>
      <c r="L44" s="99"/>
    </row>
    <row r="45">
      <c r="A45" s="109" t="s">
        <v>1138</v>
      </c>
      <c r="B45" s="105"/>
      <c r="C45" s="105" t="s">
        <v>1115</v>
      </c>
      <c r="D45" s="105" t="s">
        <v>1160</v>
      </c>
      <c r="E45" s="105"/>
      <c r="F45" s="109">
        <v>115.0</v>
      </c>
      <c r="G45" s="110">
        <v>45000.0</v>
      </c>
      <c r="H45" s="113"/>
      <c r="I45" s="110">
        <f t="shared" ref="I45:I47" si="5">G45*F45</f>
        <v>5175000</v>
      </c>
      <c r="J45" s="99"/>
      <c r="K45" s="99"/>
      <c r="L45" s="99"/>
    </row>
    <row r="46">
      <c r="A46" s="109"/>
      <c r="B46" s="105"/>
      <c r="C46" s="105" t="s">
        <v>1115</v>
      </c>
      <c r="D46" s="105" t="s">
        <v>1161</v>
      </c>
      <c r="E46" s="105"/>
      <c r="F46" s="109">
        <v>60.0</v>
      </c>
      <c r="G46" s="110">
        <v>45000.0</v>
      </c>
      <c r="H46" s="113"/>
      <c r="I46" s="110">
        <f t="shared" si="5"/>
        <v>2700000</v>
      </c>
      <c r="J46" s="99"/>
      <c r="K46" s="99"/>
      <c r="L46" s="99"/>
    </row>
    <row r="47">
      <c r="A47" s="109"/>
      <c r="B47" s="105"/>
      <c r="C47" s="105" t="s">
        <v>1115</v>
      </c>
      <c r="D47" s="105" t="s">
        <v>1162</v>
      </c>
      <c r="E47" s="105"/>
      <c r="F47" s="109">
        <v>240.0</v>
      </c>
      <c r="G47" s="110">
        <v>35000.0</v>
      </c>
      <c r="H47" s="113"/>
      <c r="I47" s="110">
        <f t="shared" si="5"/>
        <v>8400000</v>
      </c>
      <c r="J47" s="107">
        <f>SUM(I45:I47)</f>
        <v>16275000</v>
      </c>
      <c r="K47" s="99" t="s">
        <v>1110</v>
      </c>
      <c r="L47" s="99"/>
    </row>
    <row r="48">
      <c r="A48" s="109"/>
      <c r="B48" s="105"/>
      <c r="C48" s="105"/>
      <c r="D48" s="105"/>
      <c r="E48" s="105"/>
      <c r="F48" s="105"/>
      <c r="G48" s="113"/>
      <c r="H48" s="105"/>
      <c r="I48" s="105"/>
      <c r="J48" s="99"/>
      <c r="K48" s="99"/>
      <c r="L48" s="99"/>
    </row>
    <row r="49">
      <c r="A49" s="103">
        <v>46141.0</v>
      </c>
      <c r="B49" s="99"/>
      <c r="C49" s="99" t="s">
        <v>1163</v>
      </c>
      <c r="D49" s="99" t="s">
        <v>1164</v>
      </c>
      <c r="E49" s="99"/>
      <c r="F49" s="101">
        <v>25.0</v>
      </c>
      <c r="G49" s="84">
        <v>375000.0</v>
      </c>
      <c r="H49" s="102"/>
      <c r="I49" s="84">
        <f>G49*F49</f>
        <v>9375000</v>
      </c>
      <c r="J49" s="107">
        <f>I49</f>
        <v>9375000</v>
      </c>
      <c r="K49" s="105" t="s">
        <v>1110</v>
      </c>
      <c r="L49" s="99" t="s">
        <v>1165</v>
      </c>
    </row>
    <row r="50">
      <c r="A50" s="109"/>
      <c r="B50" s="105"/>
      <c r="C50" s="105"/>
      <c r="D50" s="105"/>
      <c r="E50" s="105"/>
      <c r="F50" s="105"/>
      <c r="G50" s="113"/>
      <c r="H50" s="105"/>
      <c r="I50" s="105"/>
      <c r="J50" s="99"/>
      <c r="K50" s="99"/>
      <c r="L50" s="99"/>
    </row>
    <row r="51">
      <c r="A51" s="109" t="s">
        <v>1119</v>
      </c>
      <c r="B51" s="105"/>
      <c r="C51" s="105" t="s">
        <v>1166</v>
      </c>
      <c r="D51" s="99" t="s">
        <v>1112</v>
      </c>
      <c r="E51" s="99"/>
      <c r="F51" s="101">
        <v>59.0</v>
      </c>
      <c r="G51" s="84">
        <v>18500.0</v>
      </c>
      <c r="H51" s="102"/>
      <c r="I51" s="84">
        <f t="shared" ref="I51:I62" si="6">G51*F51</f>
        <v>1091500</v>
      </c>
      <c r="J51" s="99"/>
      <c r="K51" s="99"/>
      <c r="L51" s="99"/>
    </row>
    <row r="52">
      <c r="A52" s="101" t="s">
        <v>1138</v>
      </c>
      <c r="B52" s="99"/>
      <c r="C52" s="99" t="s">
        <v>1166</v>
      </c>
      <c r="D52" s="99" t="s">
        <v>1167</v>
      </c>
      <c r="E52" s="99"/>
      <c r="F52" s="101">
        <v>236.0</v>
      </c>
      <c r="G52" s="84">
        <v>19500.0</v>
      </c>
      <c r="H52" s="102"/>
      <c r="I52" s="84">
        <f t="shared" si="6"/>
        <v>4602000</v>
      </c>
      <c r="J52" s="99"/>
      <c r="K52" s="99"/>
      <c r="L52" s="99"/>
    </row>
    <row r="53">
      <c r="A53" s="101"/>
      <c r="B53" s="99"/>
      <c r="C53" s="99" t="s">
        <v>1111</v>
      </c>
      <c r="D53" s="99" t="s">
        <v>1168</v>
      </c>
      <c r="E53" s="99"/>
      <c r="F53" s="101">
        <v>367.0</v>
      </c>
      <c r="G53" s="84">
        <v>18500.0</v>
      </c>
      <c r="H53" s="102"/>
      <c r="I53" s="84">
        <f t="shared" si="6"/>
        <v>6789500</v>
      </c>
      <c r="J53" s="105"/>
      <c r="K53" s="105"/>
      <c r="L53" s="105"/>
    </row>
    <row r="54">
      <c r="A54" s="101"/>
      <c r="B54" s="99"/>
      <c r="C54" s="99" t="s">
        <v>1111</v>
      </c>
      <c r="D54" s="99" t="s">
        <v>1169</v>
      </c>
      <c r="E54" s="99"/>
      <c r="F54" s="101">
        <v>4920.0</v>
      </c>
      <c r="G54" s="84">
        <v>1800.0</v>
      </c>
      <c r="H54" s="102"/>
      <c r="I54" s="84">
        <f t="shared" si="6"/>
        <v>8856000</v>
      </c>
      <c r="J54" s="99"/>
      <c r="K54" s="99"/>
      <c r="L54" s="99"/>
    </row>
    <row r="55">
      <c r="A55" s="101" t="s">
        <v>1131</v>
      </c>
      <c r="B55" s="99"/>
      <c r="C55" s="99" t="s">
        <v>1111</v>
      </c>
      <c r="D55" s="99" t="s">
        <v>1167</v>
      </c>
      <c r="E55" s="99"/>
      <c r="F55" s="101">
        <v>268.85</v>
      </c>
      <c r="G55" s="84">
        <v>19500.0</v>
      </c>
      <c r="H55" s="102"/>
      <c r="I55" s="84">
        <f t="shared" si="6"/>
        <v>5242575</v>
      </c>
      <c r="J55" s="99"/>
      <c r="K55" s="99"/>
      <c r="L55" s="99"/>
    </row>
    <row r="56">
      <c r="A56" s="109"/>
      <c r="B56" s="105"/>
      <c r="C56" s="99" t="s">
        <v>1111</v>
      </c>
      <c r="D56" s="105" t="s">
        <v>1170</v>
      </c>
      <c r="E56" s="105"/>
      <c r="F56" s="109">
        <v>38.0</v>
      </c>
      <c r="G56" s="110">
        <v>230000.0</v>
      </c>
      <c r="H56" s="105"/>
      <c r="I56" s="84">
        <f t="shared" si="6"/>
        <v>8740000</v>
      </c>
      <c r="J56" s="99"/>
      <c r="K56" s="99"/>
      <c r="L56" s="99"/>
    </row>
    <row r="57">
      <c r="A57" s="109"/>
      <c r="B57" s="105"/>
      <c r="C57" s="99" t="s">
        <v>1111</v>
      </c>
      <c r="D57" s="105" t="s">
        <v>1114</v>
      </c>
      <c r="E57" s="105"/>
      <c r="F57" s="109">
        <v>2100.0</v>
      </c>
      <c r="G57" s="110">
        <v>1800.0</v>
      </c>
      <c r="H57" s="105"/>
      <c r="I57" s="84">
        <f t="shared" si="6"/>
        <v>3780000</v>
      </c>
      <c r="J57" s="99"/>
      <c r="K57" s="99"/>
      <c r="L57" s="99"/>
    </row>
    <row r="58">
      <c r="A58" s="109"/>
      <c r="B58" s="105"/>
      <c r="C58" s="99" t="s">
        <v>1111</v>
      </c>
      <c r="D58" s="105" t="s">
        <v>1171</v>
      </c>
      <c r="E58" s="105"/>
      <c r="F58" s="109">
        <v>267.5</v>
      </c>
      <c r="G58" s="110">
        <v>25500.0</v>
      </c>
      <c r="H58" s="105"/>
      <c r="I58" s="84">
        <f t="shared" si="6"/>
        <v>6821250</v>
      </c>
      <c r="J58" s="99"/>
      <c r="K58" s="99"/>
      <c r="L58" s="99"/>
    </row>
    <row r="59">
      <c r="A59" s="101" t="s">
        <v>1172</v>
      </c>
      <c r="B59" s="99"/>
      <c r="C59" s="99" t="s">
        <v>1111</v>
      </c>
      <c r="D59" s="105" t="s">
        <v>1171</v>
      </c>
      <c r="E59" s="99"/>
      <c r="F59" s="101">
        <v>300.0</v>
      </c>
      <c r="G59" s="84">
        <v>25500.0</v>
      </c>
      <c r="H59" s="102"/>
      <c r="I59" s="84">
        <f t="shared" si="6"/>
        <v>7650000</v>
      </c>
      <c r="J59" s="99"/>
      <c r="K59" s="99"/>
      <c r="L59" s="99"/>
    </row>
    <row r="60">
      <c r="A60" s="101"/>
      <c r="B60" s="99"/>
      <c r="C60" s="99" t="s">
        <v>1111</v>
      </c>
      <c r="D60" s="99" t="s">
        <v>1168</v>
      </c>
      <c r="E60" s="99"/>
      <c r="F60" s="101">
        <v>231.0</v>
      </c>
      <c r="G60" s="84">
        <v>18000.0</v>
      </c>
      <c r="H60" s="102"/>
      <c r="I60" s="84">
        <f t="shared" si="6"/>
        <v>4158000</v>
      </c>
      <c r="J60" s="99"/>
      <c r="K60" s="99"/>
      <c r="L60" s="99"/>
    </row>
    <row r="61">
      <c r="A61" s="101"/>
      <c r="B61" s="99"/>
      <c r="C61" s="99" t="s">
        <v>1111</v>
      </c>
      <c r="D61" s="99" t="s">
        <v>1168</v>
      </c>
      <c r="E61" s="99"/>
      <c r="F61" s="101">
        <v>235.0</v>
      </c>
      <c r="G61" s="84">
        <v>18000.0</v>
      </c>
      <c r="H61" s="102"/>
      <c r="I61" s="84">
        <f t="shared" si="6"/>
        <v>4230000</v>
      </c>
      <c r="J61" s="99"/>
      <c r="K61" s="99"/>
      <c r="L61" s="99"/>
    </row>
    <row r="62">
      <c r="A62" s="101"/>
      <c r="B62" s="99"/>
      <c r="C62" s="99" t="s">
        <v>1111</v>
      </c>
      <c r="D62" s="99" t="s">
        <v>1168</v>
      </c>
      <c r="E62" s="99"/>
      <c r="F62" s="101">
        <v>250.0</v>
      </c>
      <c r="G62" s="84">
        <v>18000.0</v>
      </c>
      <c r="H62" s="102"/>
      <c r="I62" s="84">
        <f t="shared" si="6"/>
        <v>4500000</v>
      </c>
      <c r="J62" s="114">
        <f>SUM(I51:I62)</f>
        <v>66460825</v>
      </c>
      <c r="K62" s="99" t="s">
        <v>1110</v>
      </c>
      <c r="L62" s="99"/>
    </row>
    <row r="63">
      <c r="A63" s="101"/>
      <c r="B63" s="99"/>
      <c r="C63" s="99"/>
      <c r="D63" s="99"/>
      <c r="E63" s="99"/>
      <c r="F63" s="99"/>
      <c r="G63" s="102"/>
      <c r="H63" s="102"/>
      <c r="I63" s="102"/>
      <c r="J63" s="99"/>
      <c r="K63" s="99"/>
      <c r="L63" s="99"/>
    </row>
    <row r="64">
      <c r="A64" s="103">
        <v>46131.0</v>
      </c>
      <c r="B64" s="115" t="s">
        <v>1173</v>
      </c>
      <c r="C64" s="99" t="s">
        <v>1174</v>
      </c>
      <c r="D64" s="99" t="s">
        <v>1175</v>
      </c>
      <c r="E64" s="105" t="s">
        <v>1176</v>
      </c>
      <c r="F64" s="101">
        <v>2.0</v>
      </c>
      <c r="G64" s="84">
        <v>1125000.0</v>
      </c>
      <c r="H64" s="102"/>
      <c r="I64" s="84">
        <f t="shared" ref="I64:I81" si="7">F64*G64</f>
        <v>2250000</v>
      </c>
      <c r="J64" s="99"/>
      <c r="K64" s="99"/>
      <c r="L64" s="99"/>
    </row>
    <row r="65">
      <c r="A65" s="103">
        <v>46132.0</v>
      </c>
      <c r="B65" s="115" t="s">
        <v>1173</v>
      </c>
      <c r="C65" s="99" t="s">
        <v>1174</v>
      </c>
      <c r="D65" s="99" t="s">
        <v>1177</v>
      </c>
      <c r="E65" s="105" t="s">
        <v>1176</v>
      </c>
      <c r="F65" s="101">
        <v>1.0</v>
      </c>
      <c r="G65" s="84">
        <v>1125000.0</v>
      </c>
      <c r="H65" s="102"/>
      <c r="I65" s="84">
        <f t="shared" si="7"/>
        <v>1125000</v>
      </c>
      <c r="J65" s="99"/>
      <c r="K65" s="99"/>
      <c r="L65" s="99"/>
    </row>
    <row r="66">
      <c r="A66" s="103">
        <v>46132.0</v>
      </c>
      <c r="B66" s="115" t="s">
        <v>1173</v>
      </c>
      <c r="C66" s="99" t="s">
        <v>1174</v>
      </c>
      <c r="D66" s="99" t="s">
        <v>1178</v>
      </c>
      <c r="E66" s="105" t="s">
        <v>1176</v>
      </c>
      <c r="F66" s="101">
        <v>1.0</v>
      </c>
      <c r="G66" s="84">
        <v>1125000.0</v>
      </c>
      <c r="H66" s="102"/>
      <c r="I66" s="84">
        <f t="shared" si="7"/>
        <v>1125000</v>
      </c>
      <c r="J66" s="99"/>
      <c r="K66" s="99"/>
      <c r="L66" s="99"/>
    </row>
    <row r="67">
      <c r="A67" s="103">
        <v>46133.0</v>
      </c>
      <c r="B67" s="115" t="s">
        <v>1173</v>
      </c>
      <c r="C67" s="99" t="s">
        <v>1174</v>
      </c>
      <c r="D67" s="99" t="s">
        <v>1179</v>
      </c>
      <c r="E67" s="105" t="s">
        <v>1176</v>
      </c>
      <c r="F67" s="101">
        <v>2.0</v>
      </c>
      <c r="G67" s="84">
        <v>1125000.0</v>
      </c>
      <c r="H67" s="102"/>
      <c r="I67" s="84">
        <f t="shared" si="7"/>
        <v>2250000</v>
      </c>
      <c r="J67" s="99"/>
      <c r="K67" s="99"/>
      <c r="L67" s="99"/>
    </row>
    <row r="68">
      <c r="A68" s="103">
        <v>46133.0</v>
      </c>
      <c r="B68" s="115" t="s">
        <v>1173</v>
      </c>
      <c r="C68" s="99" t="s">
        <v>1174</v>
      </c>
      <c r="D68" s="99" t="s">
        <v>1180</v>
      </c>
      <c r="E68" s="105" t="s">
        <v>1176</v>
      </c>
      <c r="F68" s="101">
        <v>1.0</v>
      </c>
      <c r="G68" s="84">
        <v>1125000.0</v>
      </c>
      <c r="H68" s="102"/>
      <c r="I68" s="84">
        <f t="shared" si="7"/>
        <v>1125000</v>
      </c>
      <c r="J68" s="99"/>
      <c r="K68" s="99"/>
      <c r="L68" s="99"/>
    </row>
    <row r="69">
      <c r="A69" s="103"/>
      <c r="B69" s="115" t="s">
        <v>1173</v>
      </c>
      <c r="C69" s="99" t="s">
        <v>1174</v>
      </c>
      <c r="D69" s="99" t="s">
        <v>1181</v>
      </c>
      <c r="E69" s="105" t="s">
        <v>1176</v>
      </c>
      <c r="F69" s="101">
        <v>1.0</v>
      </c>
      <c r="G69" s="84">
        <v>255000.0</v>
      </c>
      <c r="H69" s="102"/>
      <c r="I69" s="84">
        <f t="shared" si="7"/>
        <v>255000</v>
      </c>
      <c r="J69" s="99"/>
      <c r="K69" s="99"/>
      <c r="L69" s="99"/>
    </row>
    <row r="70">
      <c r="A70" s="103">
        <v>46133.0</v>
      </c>
      <c r="B70" s="115" t="s">
        <v>1173</v>
      </c>
      <c r="C70" s="99" t="s">
        <v>1174</v>
      </c>
      <c r="D70" s="99" t="s">
        <v>1182</v>
      </c>
      <c r="E70" s="105" t="s">
        <v>1176</v>
      </c>
      <c r="F70" s="101">
        <v>2.0</v>
      </c>
      <c r="G70" s="84">
        <v>1125000.0</v>
      </c>
      <c r="H70" s="102"/>
      <c r="I70" s="84">
        <f t="shared" si="7"/>
        <v>2250000</v>
      </c>
      <c r="J70" s="99"/>
      <c r="K70" s="99"/>
      <c r="L70" s="99"/>
    </row>
    <row r="71">
      <c r="A71" s="101"/>
      <c r="B71" s="115" t="s">
        <v>1173</v>
      </c>
      <c r="C71" s="99" t="s">
        <v>1174</v>
      </c>
      <c r="D71" s="99" t="s">
        <v>1183</v>
      </c>
      <c r="E71" s="105" t="s">
        <v>1176</v>
      </c>
      <c r="F71" s="101">
        <v>2.0</v>
      </c>
      <c r="G71" s="84">
        <v>255000.0</v>
      </c>
      <c r="H71" s="102"/>
      <c r="I71" s="84">
        <f t="shared" si="7"/>
        <v>510000</v>
      </c>
      <c r="J71" s="99"/>
      <c r="K71" s="99"/>
      <c r="L71" s="99"/>
    </row>
    <row r="72">
      <c r="A72" s="103">
        <v>46134.0</v>
      </c>
      <c r="B72" s="99"/>
      <c r="C72" s="99" t="s">
        <v>1174</v>
      </c>
      <c r="D72" s="99" t="s">
        <v>1180</v>
      </c>
      <c r="E72" s="105" t="s">
        <v>1176</v>
      </c>
      <c r="F72" s="101">
        <v>2.0</v>
      </c>
      <c r="G72" s="84">
        <v>1125000.0</v>
      </c>
      <c r="H72" s="102"/>
      <c r="I72" s="84">
        <f t="shared" si="7"/>
        <v>2250000</v>
      </c>
      <c r="J72" s="99"/>
      <c r="K72" s="99"/>
      <c r="L72" s="99"/>
    </row>
    <row r="73">
      <c r="A73" s="103">
        <v>46134.0</v>
      </c>
      <c r="B73" s="115" t="s">
        <v>1173</v>
      </c>
      <c r="C73" s="99" t="s">
        <v>1174</v>
      </c>
      <c r="D73" s="99" t="s">
        <v>1178</v>
      </c>
      <c r="E73" s="105" t="s">
        <v>1176</v>
      </c>
      <c r="F73" s="101">
        <v>2.0</v>
      </c>
      <c r="G73" s="84">
        <v>1125000.0</v>
      </c>
      <c r="H73" s="102"/>
      <c r="I73" s="84">
        <f t="shared" si="7"/>
        <v>2250000</v>
      </c>
      <c r="J73" s="99"/>
      <c r="K73" s="99"/>
      <c r="L73" s="99"/>
    </row>
    <row r="74">
      <c r="A74" s="103">
        <v>46135.0</v>
      </c>
      <c r="B74" s="115" t="s">
        <v>1173</v>
      </c>
      <c r="C74" s="99" t="s">
        <v>1174</v>
      </c>
      <c r="D74" s="99" t="s">
        <v>1179</v>
      </c>
      <c r="E74" s="105" t="s">
        <v>1176</v>
      </c>
      <c r="F74" s="101">
        <v>2.0</v>
      </c>
      <c r="G74" s="84">
        <v>1125000.0</v>
      </c>
      <c r="H74" s="102"/>
      <c r="I74" s="84">
        <f t="shared" si="7"/>
        <v>2250000</v>
      </c>
      <c r="J74" s="99"/>
      <c r="K74" s="99"/>
      <c r="L74" s="99"/>
    </row>
    <row r="75">
      <c r="A75" s="103">
        <v>46135.0</v>
      </c>
      <c r="B75" s="115" t="s">
        <v>1173</v>
      </c>
      <c r="C75" s="99" t="s">
        <v>1174</v>
      </c>
      <c r="D75" s="99" t="s">
        <v>1180</v>
      </c>
      <c r="E75" s="105" t="s">
        <v>1176</v>
      </c>
      <c r="F75" s="101">
        <v>2.0</v>
      </c>
      <c r="G75" s="84">
        <v>1125000.0</v>
      </c>
      <c r="H75" s="102"/>
      <c r="I75" s="84">
        <f t="shared" si="7"/>
        <v>2250000</v>
      </c>
      <c r="J75" s="99"/>
      <c r="K75" s="99"/>
      <c r="L75" s="99"/>
    </row>
    <row r="76">
      <c r="A76" s="103">
        <v>46135.0</v>
      </c>
      <c r="B76" s="115" t="s">
        <v>1173</v>
      </c>
      <c r="C76" s="99" t="s">
        <v>1174</v>
      </c>
      <c r="D76" s="99" t="s">
        <v>1182</v>
      </c>
      <c r="E76" s="105" t="s">
        <v>1176</v>
      </c>
      <c r="F76" s="101">
        <v>2.0</v>
      </c>
      <c r="G76" s="84">
        <v>1125000.0</v>
      </c>
      <c r="H76" s="102"/>
      <c r="I76" s="84">
        <f t="shared" si="7"/>
        <v>2250000</v>
      </c>
      <c r="J76" s="99"/>
      <c r="K76" s="99"/>
      <c r="L76" s="99"/>
    </row>
    <row r="77">
      <c r="A77" s="103">
        <v>46137.0</v>
      </c>
      <c r="B77" s="115" t="s">
        <v>1173</v>
      </c>
      <c r="C77" s="99" t="s">
        <v>1174</v>
      </c>
      <c r="D77" s="99" t="s">
        <v>1179</v>
      </c>
      <c r="E77" s="105" t="s">
        <v>1176</v>
      </c>
      <c r="F77" s="101">
        <v>2.0</v>
      </c>
      <c r="G77" s="84">
        <v>1125000.0</v>
      </c>
      <c r="H77" s="102"/>
      <c r="I77" s="84">
        <f t="shared" si="7"/>
        <v>2250000</v>
      </c>
      <c r="J77" s="99"/>
      <c r="K77" s="99"/>
      <c r="L77" s="99"/>
    </row>
    <row r="78">
      <c r="A78" s="101"/>
      <c r="B78" s="115" t="s">
        <v>1173</v>
      </c>
      <c r="C78" s="99" t="s">
        <v>1174</v>
      </c>
      <c r="D78" s="99" t="s">
        <v>1177</v>
      </c>
      <c r="E78" s="105" t="s">
        <v>1176</v>
      </c>
      <c r="F78" s="101">
        <v>2.0</v>
      </c>
      <c r="G78" s="84">
        <v>1125000.0</v>
      </c>
      <c r="H78" s="102"/>
      <c r="I78" s="84">
        <f t="shared" si="7"/>
        <v>2250000</v>
      </c>
      <c r="J78" s="99"/>
      <c r="K78" s="99"/>
      <c r="L78" s="99"/>
    </row>
    <row r="79">
      <c r="A79" s="101"/>
      <c r="B79" s="115" t="s">
        <v>1173</v>
      </c>
      <c r="C79" s="99" t="s">
        <v>1174</v>
      </c>
      <c r="D79" s="99" t="s">
        <v>1182</v>
      </c>
      <c r="E79" s="105" t="s">
        <v>1176</v>
      </c>
      <c r="F79" s="101">
        <v>1.0</v>
      </c>
      <c r="G79" s="84">
        <v>1125000.0</v>
      </c>
      <c r="H79" s="102"/>
      <c r="I79" s="84">
        <f t="shared" si="7"/>
        <v>1125000</v>
      </c>
      <c r="J79" s="99"/>
      <c r="K79" s="99"/>
      <c r="L79" s="99"/>
    </row>
    <row r="80">
      <c r="A80" s="101"/>
      <c r="B80" s="115" t="s">
        <v>1173</v>
      </c>
      <c r="C80" s="99" t="s">
        <v>1174</v>
      </c>
      <c r="D80" s="99" t="s">
        <v>1178</v>
      </c>
      <c r="E80" s="105" t="s">
        <v>1176</v>
      </c>
      <c r="F80" s="101">
        <v>1.0</v>
      </c>
      <c r="G80" s="84">
        <v>1125000.0</v>
      </c>
      <c r="H80" s="102"/>
      <c r="I80" s="84">
        <f t="shared" si="7"/>
        <v>1125000</v>
      </c>
      <c r="J80" s="99"/>
      <c r="K80" s="99"/>
      <c r="L80" s="99"/>
    </row>
    <row r="81">
      <c r="A81" s="101"/>
      <c r="B81" s="115" t="s">
        <v>1173</v>
      </c>
      <c r="C81" s="99" t="s">
        <v>1174</v>
      </c>
      <c r="D81" s="99" t="s">
        <v>1183</v>
      </c>
      <c r="E81" s="105" t="s">
        <v>1176</v>
      </c>
      <c r="F81" s="101">
        <v>1.0</v>
      </c>
      <c r="G81" s="84">
        <v>255000.0</v>
      </c>
      <c r="H81" s="102"/>
      <c r="I81" s="84">
        <f t="shared" si="7"/>
        <v>255000</v>
      </c>
      <c r="J81" s="116">
        <f>sum(I64:I81)</f>
        <v>29145000</v>
      </c>
      <c r="K81" s="99" t="s">
        <v>1110</v>
      </c>
      <c r="L81" s="99"/>
    </row>
    <row r="82">
      <c r="A82" s="101"/>
      <c r="B82" s="99"/>
      <c r="C82" s="99"/>
      <c r="D82" s="99"/>
      <c r="E82" s="99"/>
      <c r="F82" s="99"/>
      <c r="G82" s="102"/>
      <c r="H82" s="102"/>
      <c r="I82" s="102"/>
      <c r="J82" s="99"/>
      <c r="K82" s="99"/>
      <c r="L82" s="99"/>
    </row>
    <row r="83">
      <c r="A83" s="117">
        <v>46135.0</v>
      </c>
      <c r="B83" s="115" t="s">
        <v>1173</v>
      </c>
      <c r="C83" s="99" t="s">
        <v>1174</v>
      </c>
      <c r="D83" s="118" t="s">
        <v>1184</v>
      </c>
      <c r="E83" s="119" t="s">
        <v>1176</v>
      </c>
      <c r="F83" s="111">
        <v>3.0</v>
      </c>
      <c r="G83" s="120">
        <v>1125000.0</v>
      </c>
      <c r="H83" s="102"/>
      <c r="I83" s="120">
        <f t="shared" ref="I83:I84" si="8">F83*G83</f>
        <v>3375000</v>
      </c>
      <c r="J83" s="99"/>
      <c r="K83" s="99"/>
      <c r="L83" s="99"/>
    </row>
    <row r="84">
      <c r="A84" s="101"/>
      <c r="B84" s="115" t="s">
        <v>1173</v>
      </c>
      <c r="C84" s="99" t="s">
        <v>1174</v>
      </c>
      <c r="D84" s="121" t="s">
        <v>1185</v>
      </c>
      <c r="E84" s="121" t="s">
        <v>1176</v>
      </c>
      <c r="F84" s="122">
        <v>1.0</v>
      </c>
      <c r="G84" s="123">
        <v>255000.0</v>
      </c>
      <c r="H84" s="124"/>
      <c r="I84" s="123">
        <f t="shared" si="8"/>
        <v>255000</v>
      </c>
      <c r="J84" s="120">
        <f>sum(I83:I84)</f>
        <v>3630000</v>
      </c>
      <c r="K84" s="118" t="s">
        <v>1110</v>
      </c>
      <c r="L84" s="118" t="s">
        <v>1186</v>
      </c>
    </row>
    <row r="85">
      <c r="A85" s="101"/>
      <c r="B85" s="125"/>
      <c r="C85" s="99"/>
      <c r="D85" s="99"/>
      <c r="E85" s="99"/>
      <c r="F85" s="99"/>
      <c r="G85" s="102"/>
      <c r="H85" s="102"/>
      <c r="I85" s="102"/>
      <c r="J85" s="99"/>
      <c r="K85" s="99"/>
      <c r="L85" s="99"/>
    </row>
    <row r="86">
      <c r="A86" s="101" t="s">
        <v>1187</v>
      </c>
      <c r="B86" s="99"/>
      <c r="C86" s="99" t="s">
        <v>1188</v>
      </c>
      <c r="D86" s="99" t="s">
        <v>1189</v>
      </c>
      <c r="E86" s="99" t="s">
        <v>69</v>
      </c>
      <c r="F86" s="101">
        <v>2800.0</v>
      </c>
      <c r="G86" s="84">
        <v>500.0</v>
      </c>
      <c r="H86" s="102"/>
      <c r="I86" s="84">
        <f t="shared" ref="I86:I87" si="9">F86*G86</f>
        <v>1400000</v>
      </c>
      <c r="J86" s="99"/>
      <c r="K86" s="99"/>
      <c r="L86" s="99" t="s">
        <v>1190</v>
      </c>
    </row>
    <row r="87">
      <c r="A87" s="101" t="s">
        <v>1191</v>
      </c>
      <c r="B87" s="125"/>
      <c r="C87" s="99" t="s">
        <v>1188</v>
      </c>
      <c r="D87" s="99" t="s">
        <v>1192</v>
      </c>
      <c r="E87" s="99" t="s">
        <v>69</v>
      </c>
      <c r="F87" s="101">
        <v>2275.0</v>
      </c>
      <c r="G87" s="84">
        <v>500.0</v>
      </c>
      <c r="H87" s="102"/>
      <c r="I87" s="84">
        <f t="shared" si="9"/>
        <v>1137500</v>
      </c>
      <c r="J87" s="116">
        <f>sum(I86:I87)</f>
        <v>2537500</v>
      </c>
      <c r="K87" s="99" t="s">
        <v>1110</v>
      </c>
      <c r="L87" s="99"/>
    </row>
    <row r="88">
      <c r="A88" s="101"/>
      <c r="B88" s="99"/>
      <c r="C88" s="99"/>
      <c r="D88" s="99"/>
      <c r="E88" s="99"/>
      <c r="F88" s="99"/>
      <c r="G88" s="102"/>
      <c r="H88" s="102"/>
      <c r="I88" s="102"/>
      <c r="J88" s="99"/>
      <c r="K88" s="99"/>
      <c r="L88" s="99"/>
    </row>
    <row r="89">
      <c r="A89" s="101" t="s">
        <v>1191</v>
      </c>
      <c r="B89" s="99"/>
      <c r="C89" s="99" t="s">
        <v>1193</v>
      </c>
      <c r="D89" s="99" t="s">
        <v>1194</v>
      </c>
      <c r="E89" s="99" t="s">
        <v>109</v>
      </c>
      <c r="F89" s="101">
        <v>102.0</v>
      </c>
      <c r="G89" s="84">
        <v>46500.0</v>
      </c>
      <c r="H89" s="102"/>
      <c r="I89" s="84">
        <f t="shared" ref="I89:I90" si="10">F89*G89</f>
        <v>4743000</v>
      </c>
      <c r="J89" s="99"/>
      <c r="K89" s="99"/>
      <c r="L89" s="99" t="s">
        <v>1195</v>
      </c>
    </row>
    <row r="90">
      <c r="A90" s="101"/>
      <c r="B90" s="99"/>
      <c r="C90" s="99" t="s">
        <v>1193</v>
      </c>
      <c r="D90" s="99" t="s">
        <v>114</v>
      </c>
      <c r="E90" s="99" t="s">
        <v>109</v>
      </c>
      <c r="F90" s="101">
        <v>220.0</v>
      </c>
      <c r="G90" s="84">
        <v>36500.0</v>
      </c>
      <c r="H90" s="102"/>
      <c r="I90" s="84">
        <f t="shared" si="10"/>
        <v>8030000</v>
      </c>
      <c r="J90" s="116">
        <f>sum(I89:I90)</f>
        <v>12773000</v>
      </c>
      <c r="K90" s="99" t="s">
        <v>1110</v>
      </c>
      <c r="L90" s="99"/>
    </row>
    <row r="91">
      <c r="A91" s="101"/>
      <c r="B91" s="99"/>
      <c r="C91" s="99"/>
      <c r="D91" s="99"/>
      <c r="E91" s="99"/>
      <c r="F91" s="99"/>
      <c r="G91" s="102"/>
      <c r="H91" s="102"/>
      <c r="I91" s="102"/>
      <c r="J91" s="99"/>
      <c r="K91" s="99"/>
      <c r="L91" s="99"/>
    </row>
    <row r="92">
      <c r="A92" s="101"/>
      <c r="B92" s="99"/>
      <c r="C92" s="99"/>
      <c r="D92" s="99"/>
      <c r="E92" s="99"/>
      <c r="F92" s="99"/>
      <c r="G92" s="102"/>
      <c r="H92" s="102"/>
      <c r="I92" s="102"/>
      <c r="J92" s="99"/>
      <c r="K92" s="99"/>
      <c r="L92" s="99"/>
    </row>
    <row r="93">
      <c r="A93" s="101" t="s">
        <v>1172</v>
      </c>
      <c r="B93" s="99"/>
      <c r="C93" s="99" t="s">
        <v>1130</v>
      </c>
      <c r="D93" s="99" t="s">
        <v>1196</v>
      </c>
      <c r="E93" s="99" t="s">
        <v>67</v>
      </c>
      <c r="F93" s="101">
        <v>105.0</v>
      </c>
      <c r="G93" s="84">
        <v>12000.0</v>
      </c>
      <c r="H93" s="102"/>
      <c r="I93" s="84">
        <f t="shared" ref="I93:I96" si="11">G93*F93</f>
        <v>1260000</v>
      </c>
      <c r="J93" s="99"/>
      <c r="K93" s="99"/>
      <c r="L93" s="99"/>
    </row>
    <row r="94">
      <c r="A94" s="101"/>
      <c r="B94" s="99"/>
      <c r="C94" s="99" t="s">
        <v>1130</v>
      </c>
      <c r="D94" s="99" t="s">
        <v>1132</v>
      </c>
      <c r="E94" s="99"/>
      <c r="F94" s="101">
        <v>90.0</v>
      </c>
      <c r="G94" s="84">
        <v>12000.0</v>
      </c>
      <c r="H94" s="102"/>
      <c r="I94" s="84">
        <f t="shared" si="11"/>
        <v>1080000</v>
      </c>
      <c r="J94" s="99"/>
      <c r="K94" s="99"/>
      <c r="L94" s="99"/>
    </row>
    <row r="95">
      <c r="A95" s="101"/>
      <c r="B95" s="99"/>
      <c r="C95" s="99" t="s">
        <v>1130</v>
      </c>
      <c r="D95" s="99" t="s">
        <v>107</v>
      </c>
      <c r="E95" s="99"/>
      <c r="F95" s="101">
        <v>85.0</v>
      </c>
      <c r="G95" s="84">
        <v>12000.0</v>
      </c>
      <c r="H95" s="102"/>
      <c r="I95" s="84">
        <f t="shared" si="11"/>
        <v>1020000</v>
      </c>
      <c r="J95" s="99"/>
      <c r="K95" s="99"/>
      <c r="L95" s="99"/>
    </row>
    <row r="96">
      <c r="A96" s="101" t="s">
        <v>1197</v>
      </c>
      <c r="B96" s="99"/>
      <c r="C96" s="99" t="s">
        <v>1130</v>
      </c>
      <c r="D96" s="99" t="s">
        <v>1132</v>
      </c>
      <c r="E96" s="99"/>
      <c r="F96" s="101">
        <v>14.0</v>
      </c>
      <c r="G96" s="84">
        <v>12000.0</v>
      </c>
      <c r="H96" s="102"/>
      <c r="I96" s="84">
        <f t="shared" si="11"/>
        <v>168000</v>
      </c>
      <c r="J96" s="116">
        <f>SUM(I93:I96)</f>
        <v>3528000</v>
      </c>
      <c r="K96" s="99" t="s">
        <v>1110</v>
      </c>
      <c r="L96" s="99"/>
    </row>
    <row r="97">
      <c r="A97" s="101"/>
      <c r="B97" s="99"/>
      <c r="C97" s="99"/>
      <c r="D97" s="99"/>
      <c r="E97" s="99"/>
      <c r="F97" s="99"/>
      <c r="G97" s="102"/>
      <c r="H97" s="102"/>
      <c r="I97" s="102"/>
      <c r="J97" s="99"/>
      <c r="K97" s="99"/>
      <c r="L97" s="99"/>
    </row>
    <row r="98">
      <c r="A98" s="101" t="s">
        <v>1198</v>
      </c>
      <c r="B98" s="99"/>
      <c r="C98" s="99"/>
      <c r="D98" s="99" t="s">
        <v>1199</v>
      </c>
      <c r="E98" s="99"/>
      <c r="F98" s="101">
        <v>197.45</v>
      </c>
      <c r="G98" s="84">
        <v>35200.0</v>
      </c>
      <c r="H98" s="102"/>
      <c r="I98" s="84">
        <f t="shared" ref="I98:I100" si="12">F98*G98</f>
        <v>6950240</v>
      </c>
      <c r="J98" s="99"/>
      <c r="K98" s="99"/>
      <c r="L98" s="99"/>
    </row>
    <row r="99">
      <c r="A99" s="101"/>
      <c r="B99" s="99"/>
      <c r="C99" s="99"/>
      <c r="D99" s="99" t="s">
        <v>1200</v>
      </c>
      <c r="E99" s="99"/>
      <c r="F99" s="101">
        <v>120.0</v>
      </c>
      <c r="G99" s="84">
        <v>45200.0</v>
      </c>
      <c r="H99" s="102"/>
      <c r="I99" s="84">
        <f t="shared" si="12"/>
        <v>5424000</v>
      </c>
      <c r="J99" s="99"/>
      <c r="K99" s="99"/>
      <c r="L99" s="99"/>
    </row>
    <row r="100">
      <c r="A100" s="101"/>
      <c r="B100" s="99"/>
      <c r="C100" s="99"/>
      <c r="D100" s="99" t="s">
        <v>1201</v>
      </c>
      <c r="E100" s="99"/>
      <c r="F100" s="101">
        <v>275.0</v>
      </c>
      <c r="G100" s="84">
        <v>35200.0</v>
      </c>
      <c r="H100" s="102"/>
      <c r="I100" s="84">
        <f t="shared" si="12"/>
        <v>9680000</v>
      </c>
      <c r="J100" s="116">
        <f>sum(I98:I100)</f>
        <v>22054240</v>
      </c>
      <c r="K100" s="99" t="s">
        <v>1110</v>
      </c>
      <c r="L100" s="99"/>
    </row>
    <row r="101">
      <c r="A101" s="101"/>
      <c r="B101" s="99"/>
      <c r="C101" s="99"/>
      <c r="D101" s="99"/>
      <c r="E101" s="99"/>
      <c r="F101" s="99"/>
      <c r="G101" s="102"/>
      <c r="H101" s="102"/>
      <c r="I101" s="102"/>
      <c r="J101" s="99"/>
      <c r="K101" s="99"/>
      <c r="L101" s="99"/>
    </row>
    <row r="102">
      <c r="A102" s="101" t="s">
        <v>1202</v>
      </c>
      <c r="B102" s="99"/>
      <c r="C102" s="99"/>
      <c r="D102" s="99" t="s">
        <v>1203</v>
      </c>
      <c r="E102" s="99"/>
      <c r="F102" s="101">
        <v>100.0</v>
      </c>
      <c r="G102" s="84">
        <v>48500.0</v>
      </c>
      <c r="H102" s="102"/>
      <c r="I102" s="84">
        <f t="shared" ref="I102:I103" si="13">F102*G102</f>
        <v>4850000</v>
      </c>
      <c r="J102" s="99"/>
      <c r="K102" s="99"/>
      <c r="L102" s="99"/>
    </row>
    <row r="103">
      <c r="A103" s="101"/>
      <c r="B103" s="99"/>
      <c r="C103" s="99"/>
      <c r="D103" s="99" t="s">
        <v>1204</v>
      </c>
      <c r="E103" s="99"/>
      <c r="F103" s="101">
        <v>120.0</v>
      </c>
      <c r="G103" s="84">
        <v>48500.0</v>
      </c>
      <c r="H103" s="102"/>
      <c r="I103" s="84">
        <f t="shared" si="13"/>
        <v>5820000</v>
      </c>
      <c r="J103" s="116">
        <f>sum(I102:I103)</f>
        <v>10670000</v>
      </c>
      <c r="K103" s="99" t="s">
        <v>1110</v>
      </c>
      <c r="L103" s="99"/>
    </row>
    <row r="104">
      <c r="A104" s="101"/>
      <c r="B104" s="99"/>
      <c r="C104" s="99"/>
      <c r="D104" s="99"/>
      <c r="E104" s="99"/>
      <c r="F104" s="99"/>
      <c r="G104" s="102"/>
      <c r="H104" s="102"/>
      <c r="I104" s="102"/>
      <c r="J104" s="99"/>
      <c r="K104" s="99"/>
      <c r="L104" s="99"/>
    </row>
    <row r="105">
      <c r="A105" s="101" t="s">
        <v>1205</v>
      </c>
      <c r="B105" s="99"/>
      <c r="C105" s="99"/>
      <c r="D105" s="99" t="s">
        <v>1189</v>
      </c>
      <c r="E105" s="99"/>
      <c r="F105" s="101">
        <v>2700.0</v>
      </c>
      <c r="G105" s="84">
        <v>500.0</v>
      </c>
      <c r="H105" s="102"/>
      <c r="I105" s="84">
        <f t="shared" ref="I105:I106" si="14">F105*G105</f>
        <v>1350000</v>
      </c>
      <c r="J105" s="99"/>
      <c r="K105" s="99"/>
      <c r="L105" s="99"/>
    </row>
    <row r="106">
      <c r="A106" s="101" t="s">
        <v>1206</v>
      </c>
      <c r="B106" s="99"/>
      <c r="C106" s="99"/>
      <c r="D106" s="99" t="s">
        <v>1189</v>
      </c>
      <c r="E106" s="99"/>
      <c r="F106" s="101">
        <v>2800.0</v>
      </c>
      <c r="G106" s="84">
        <v>500.0</v>
      </c>
      <c r="H106" s="102"/>
      <c r="I106" s="84">
        <f t="shared" si="14"/>
        <v>1400000</v>
      </c>
      <c r="J106" s="116">
        <f>sum(I105:I106)</f>
        <v>2750000</v>
      </c>
      <c r="K106" s="99" t="s">
        <v>1110</v>
      </c>
      <c r="L106" s="99"/>
    </row>
    <row r="107">
      <c r="A107" s="101"/>
      <c r="B107" s="99"/>
      <c r="C107" s="99"/>
      <c r="D107" s="99"/>
      <c r="E107" s="99"/>
      <c r="F107" s="99"/>
      <c r="G107" s="102"/>
      <c r="H107" s="102"/>
      <c r="I107" s="102"/>
      <c r="J107" s="99"/>
      <c r="K107" s="99"/>
      <c r="L107" s="99"/>
    </row>
    <row r="108">
      <c r="A108" s="101" t="s">
        <v>1206</v>
      </c>
      <c r="B108" s="99"/>
      <c r="C108" s="99"/>
      <c r="D108" s="99" t="s">
        <v>1167</v>
      </c>
      <c r="E108" s="99" t="s">
        <v>109</v>
      </c>
      <c r="F108" s="101">
        <v>220.0</v>
      </c>
      <c r="G108" s="84">
        <v>19500.0</v>
      </c>
      <c r="H108" s="102"/>
      <c r="I108" s="84">
        <f t="shared" ref="I108:I111" si="15">F108*G108</f>
        <v>4290000</v>
      </c>
      <c r="J108" s="99"/>
      <c r="K108" s="99"/>
      <c r="L108" s="99"/>
    </row>
    <row r="109">
      <c r="A109" s="101"/>
      <c r="B109" s="99"/>
      <c r="C109" s="99"/>
      <c r="D109" s="99" t="s">
        <v>1207</v>
      </c>
      <c r="E109" s="99" t="s">
        <v>1208</v>
      </c>
      <c r="F109" s="101">
        <v>39.0</v>
      </c>
      <c r="G109" s="84">
        <v>260000.0</v>
      </c>
      <c r="H109" s="102"/>
      <c r="I109" s="84">
        <f t="shared" si="15"/>
        <v>10140000</v>
      </c>
      <c r="J109" s="99"/>
      <c r="K109" s="99"/>
      <c r="L109" s="99"/>
    </row>
    <row r="110">
      <c r="A110" s="101"/>
      <c r="B110" s="99"/>
      <c r="C110" s="99"/>
      <c r="D110" s="99" t="s">
        <v>1209</v>
      </c>
      <c r="E110" s="99" t="s">
        <v>109</v>
      </c>
      <c r="F110" s="101">
        <v>13.0</v>
      </c>
      <c r="G110" s="84">
        <v>590000.0</v>
      </c>
      <c r="H110" s="102"/>
      <c r="I110" s="84">
        <f t="shared" si="15"/>
        <v>7670000</v>
      </c>
      <c r="J110" s="99"/>
      <c r="K110" s="99"/>
      <c r="L110" s="99"/>
    </row>
    <row r="111">
      <c r="A111" s="101"/>
      <c r="B111" s="99"/>
      <c r="C111" s="99"/>
      <c r="D111" s="99" t="s">
        <v>1210</v>
      </c>
      <c r="E111" s="99" t="s">
        <v>109</v>
      </c>
      <c r="F111" s="101">
        <v>150.0</v>
      </c>
      <c r="G111" s="84">
        <v>18500.0</v>
      </c>
      <c r="H111" s="102"/>
      <c r="I111" s="84">
        <f t="shared" si="15"/>
        <v>2775000</v>
      </c>
      <c r="J111" s="116">
        <f>sum(I108:I111)</f>
        <v>24875000</v>
      </c>
      <c r="K111" s="99" t="s">
        <v>1110</v>
      </c>
      <c r="L111" s="99"/>
    </row>
    <row r="112">
      <c r="A112" s="101"/>
      <c r="B112" s="99"/>
      <c r="C112" s="99"/>
      <c r="D112" s="99"/>
      <c r="E112" s="99"/>
      <c r="F112" s="99"/>
      <c r="G112" s="102"/>
      <c r="H112" s="102"/>
      <c r="I112" s="102"/>
      <c r="J112" s="99"/>
      <c r="K112" s="99"/>
      <c r="L112" s="99"/>
    </row>
    <row r="113">
      <c r="A113" s="101" t="s">
        <v>1205</v>
      </c>
      <c r="B113" s="99"/>
      <c r="C113" s="99"/>
      <c r="D113" s="99" t="s">
        <v>1211</v>
      </c>
      <c r="E113" s="99" t="s">
        <v>109</v>
      </c>
      <c r="F113" s="101">
        <v>146.7</v>
      </c>
      <c r="G113" s="84">
        <v>13500.0</v>
      </c>
      <c r="H113" s="102"/>
      <c r="I113" s="84">
        <f t="shared" ref="I113:I116" si="16">F113*G113</f>
        <v>1980450</v>
      </c>
      <c r="J113" s="99"/>
      <c r="K113" s="105"/>
      <c r="L113" s="99"/>
    </row>
    <row r="114">
      <c r="A114" s="101"/>
      <c r="B114" s="99"/>
      <c r="C114" s="99"/>
      <c r="D114" s="99" t="s">
        <v>1212</v>
      </c>
      <c r="E114" s="99" t="s">
        <v>109</v>
      </c>
      <c r="F114" s="101">
        <v>260.0</v>
      </c>
      <c r="G114" s="84">
        <v>18500.0</v>
      </c>
      <c r="H114" s="102"/>
      <c r="I114" s="84">
        <f t="shared" si="16"/>
        <v>4810000</v>
      </c>
      <c r="J114" s="99"/>
      <c r="K114" s="105"/>
      <c r="L114" s="99"/>
    </row>
    <row r="115">
      <c r="A115" s="101"/>
      <c r="B115" s="99"/>
      <c r="C115" s="99"/>
      <c r="D115" s="99" t="s">
        <v>1213</v>
      </c>
      <c r="E115" s="99" t="s">
        <v>109</v>
      </c>
      <c r="F115" s="101">
        <v>250.0</v>
      </c>
      <c r="G115" s="84">
        <v>18500.0</v>
      </c>
      <c r="H115" s="102"/>
      <c r="I115" s="84">
        <f t="shared" si="16"/>
        <v>4625000</v>
      </c>
      <c r="J115" s="99"/>
      <c r="K115" s="105"/>
      <c r="L115" s="99"/>
    </row>
    <row r="116">
      <c r="A116" s="101"/>
      <c r="B116" s="99"/>
      <c r="C116" s="99"/>
      <c r="D116" s="99" t="s">
        <v>1214</v>
      </c>
      <c r="E116" s="99" t="s">
        <v>109</v>
      </c>
      <c r="F116" s="101">
        <v>250.0</v>
      </c>
      <c r="G116" s="84">
        <v>19500.0</v>
      </c>
      <c r="H116" s="102"/>
      <c r="I116" s="84">
        <f t="shared" si="16"/>
        <v>4875000</v>
      </c>
      <c r="J116" s="116">
        <f>sum(I113:I116)</f>
        <v>16290450</v>
      </c>
      <c r="K116" s="99" t="s">
        <v>1110</v>
      </c>
      <c r="L116" s="99"/>
    </row>
    <row r="117">
      <c r="A117" s="101"/>
      <c r="B117" s="99"/>
      <c r="C117" s="99"/>
      <c r="D117" s="99"/>
      <c r="E117" s="99"/>
      <c r="F117" s="99"/>
      <c r="G117" s="102"/>
      <c r="H117" s="102"/>
      <c r="I117" s="102"/>
      <c r="J117" s="99"/>
      <c r="K117" s="99"/>
      <c r="L117" s="99"/>
    </row>
    <row r="118">
      <c r="A118" s="101" t="s">
        <v>1215</v>
      </c>
      <c r="B118" s="99"/>
      <c r="C118" s="99"/>
      <c r="D118" s="99" t="s">
        <v>1216</v>
      </c>
      <c r="E118" s="99" t="s">
        <v>261</v>
      </c>
      <c r="F118" s="101">
        <v>2.0</v>
      </c>
      <c r="G118" s="84">
        <v>575000.0</v>
      </c>
      <c r="H118" s="102"/>
      <c r="I118" s="84">
        <f>F118*G118</f>
        <v>1150000</v>
      </c>
      <c r="J118" s="84">
        <f>I118</f>
        <v>1150000</v>
      </c>
      <c r="K118" s="99" t="s">
        <v>1110</v>
      </c>
      <c r="L118" s="99"/>
    </row>
    <row r="119">
      <c r="A119" s="101"/>
      <c r="B119" s="99"/>
      <c r="C119" s="99"/>
      <c r="D119" s="99"/>
      <c r="E119" s="99"/>
      <c r="F119" s="99"/>
      <c r="G119" s="102"/>
      <c r="H119" s="102"/>
      <c r="I119" s="102"/>
      <c r="J119" s="99"/>
      <c r="K119" s="99"/>
      <c r="L119" s="99"/>
    </row>
    <row r="120">
      <c r="A120" s="101" t="s">
        <v>1215</v>
      </c>
      <c r="B120" s="99"/>
      <c r="C120" s="99" t="s">
        <v>1217</v>
      </c>
      <c r="D120" s="99" t="s">
        <v>1218</v>
      </c>
      <c r="E120" s="99" t="s">
        <v>69</v>
      </c>
      <c r="F120" s="101">
        <v>2700.0</v>
      </c>
      <c r="G120" s="84">
        <v>2000.0</v>
      </c>
      <c r="H120" s="102"/>
      <c r="I120" s="84">
        <f>F120*G120</f>
        <v>5400000</v>
      </c>
      <c r="J120" s="116">
        <f>I120</f>
        <v>5400000</v>
      </c>
      <c r="K120" s="99" t="s">
        <v>1110</v>
      </c>
      <c r="L120" s="99"/>
    </row>
    <row r="121">
      <c r="A121" s="101"/>
      <c r="B121" s="99"/>
      <c r="C121" s="99"/>
      <c r="D121" s="99"/>
      <c r="E121" s="99"/>
      <c r="F121" s="99"/>
      <c r="G121" s="102"/>
      <c r="H121" s="102"/>
      <c r="I121" s="102"/>
      <c r="J121" s="99"/>
      <c r="K121" s="99"/>
      <c r="L121" s="99"/>
    </row>
    <row r="122">
      <c r="A122" s="101" t="s">
        <v>1191</v>
      </c>
      <c r="B122" s="99"/>
      <c r="C122" s="99" t="s">
        <v>1219</v>
      </c>
      <c r="D122" s="99" t="s">
        <v>1220</v>
      </c>
      <c r="E122" s="99" t="s">
        <v>1221</v>
      </c>
      <c r="F122" s="101">
        <v>95.0</v>
      </c>
      <c r="G122" s="84">
        <v>28000.0</v>
      </c>
      <c r="H122" s="102"/>
      <c r="I122" s="84">
        <f t="shared" ref="I122:I127" si="17">F122*G122</f>
        <v>2660000</v>
      </c>
      <c r="J122" s="99" t="s">
        <v>1222</v>
      </c>
      <c r="K122" s="105"/>
      <c r="L122" s="99"/>
    </row>
    <row r="123">
      <c r="A123" s="101"/>
      <c r="B123" s="99"/>
      <c r="C123" s="99"/>
      <c r="D123" s="99" t="s">
        <v>1223</v>
      </c>
      <c r="E123" s="99" t="s">
        <v>109</v>
      </c>
      <c r="F123" s="101">
        <v>5.0</v>
      </c>
      <c r="G123" s="84">
        <v>22000.0</v>
      </c>
      <c r="H123" s="102"/>
      <c r="I123" s="84">
        <f t="shared" si="17"/>
        <v>110000</v>
      </c>
      <c r="J123" s="99" t="s">
        <v>1224</v>
      </c>
      <c r="K123" s="105"/>
      <c r="L123" s="99"/>
    </row>
    <row r="124">
      <c r="A124" s="101"/>
      <c r="B124" s="99"/>
      <c r="C124" s="99"/>
      <c r="D124" s="99" t="s">
        <v>1225</v>
      </c>
      <c r="E124" s="99" t="s">
        <v>69</v>
      </c>
      <c r="F124" s="101">
        <v>30.0</v>
      </c>
      <c r="G124" s="84">
        <v>13000.0</v>
      </c>
      <c r="H124" s="102"/>
      <c r="I124" s="84">
        <f t="shared" si="17"/>
        <v>390000</v>
      </c>
      <c r="J124" s="99" t="s">
        <v>1226</v>
      </c>
      <c r="K124" s="105"/>
      <c r="L124" s="99"/>
    </row>
    <row r="125">
      <c r="A125" s="101"/>
      <c r="B125" s="99"/>
      <c r="C125" s="99"/>
      <c r="D125" s="99" t="s">
        <v>1220</v>
      </c>
      <c r="E125" s="99" t="s">
        <v>1221</v>
      </c>
      <c r="F125" s="101">
        <v>70.0</v>
      </c>
      <c r="G125" s="84">
        <v>28000.0</v>
      </c>
      <c r="H125" s="102"/>
      <c r="I125" s="84">
        <f t="shared" si="17"/>
        <v>1960000</v>
      </c>
      <c r="J125" s="99" t="s">
        <v>1227</v>
      </c>
      <c r="K125" s="105"/>
      <c r="L125" s="99"/>
    </row>
    <row r="126">
      <c r="A126" s="101"/>
      <c r="B126" s="99"/>
      <c r="C126" s="99"/>
      <c r="D126" s="99" t="s">
        <v>1228</v>
      </c>
      <c r="E126" s="99" t="s">
        <v>109</v>
      </c>
      <c r="F126" s="101">
        <v>40.0</v>
      </c>
      <c r="G126" s="84">
        <v>34000.0</v>
      </c>
      <c r="H126" s="102"/>
      <c r="I126" s="84">
        <f t="shared" si="17"/>
        <v>1360000</v>
      </c>
      <c r="J126" s="99" t="s">
        <v>1229</v>
      </c>
      <c r="K126" s="105"/>
      <c r="L126" s="99"/>
    </row>
    <row r="127">
      <c r="A127" s="101"/>
      <c r="B127" s="99"/>
      <c r="C127" s="99"/>
      <c r="D127" s="99" t="s">
        <v>1230</v>
      </c>
      <c r="E127" s="99" t="s">
        <v>109</v>
      </c>
      <c r="F127" s="101">
        <v>180.0</v>
      </c>
      <c r="G127" s="84">
        <v>28000.0</v>
      </c>
      <c r="H127" s="102"/>
      <c r="I127" s="84">
        <f t="shared" si="17"/>
        <v>5040000</v>
      </c>
      <c r="J127" s="116">
        <f>sum(I122:I127)</f>
        <v>11520000</v>
      </c>
      <c r="K127" s="99" t="s">
        <v>1110</v>
      </c>
      <c r="L127" s="99"/>
    </row>
    <row r="128">
      <c r="A128" s="103"/>
      <c r="B128" s="99"/>
      <c r="C128" s="99"/>
      <c r="D128" s="99"/>
      <c r="E128" s="99"/>
      <c r="F128" s="99"/>
      <c r="G128" s="102"/>
      <c r="H128" s="102"/>
      <c r="I128" s="102"/>
      <c r="J128" s="99"/>
      <c r="K128" s="99"/>
      <c r="L128" s="99"/>
    </row>
    <row r="129">
      <c r="A129" s="103">
        <v>46134.0</v>
      </c>
      <c r="B129" s="99"/>
      <c r="C129" s="99"/>
      <c r="D129" s="99" t="s">
        <v>1231</v>
      </c>
      <c r="E129" s="99" t="s">
        <v>109</v>
      </c>
      <c r="F129" s="101">
        <v>45.0</v>
      </c>
      <c r="G129" s="84">
        <v>84000.0</v>
      </c>
      <c r="H129" s="102"/>
      <c r="I129" s="84">
        <f t="shared" ref="I129:I143" si="18">G129*F129</f>
        <v>3780000</v>
      </c>
      <c r="J129" s="99"/>
      <c r="K129" s="99"/>
      <c r="L129" s="99"/>
    </row>
    <row r="130">
      <c r="A130" s="103">
        <v>46133.0</v>
      </c>
      <c r="B130" s="99"/>
      <c r="C130" s="99"/>
      <c r="D130" s="99" t="s">
        <v>1232</v>
      </c>
      <c r="E130" s="99" t="s">
        <v>109</v>
      </c>
      <c r="F130" s="101">
        <v>98.0</v>
      </c>
      <c r="G130" s="84">
        <v>34000.0</v>
      </c>
      <c r="H130" s="102"/>
      <c r="I130" s="84">
        <f t="shared" si="18"/>
        <v>3332000</v>
      </c>
      <c r="J130" s="99"/>
      <c r="K130" s="99"/>
      <c r="L130" s="99"/>
    </row>
    <row r="131">
      <c r="A131" s="103">
        <v>46135.0</v>
      </c>
      <c r="B131" s="99"/>
      <c r="C131" s="99"/>
      <c r="D131" s="126" t="s">
        <v>1233</v>
      </c>
      <c r="E131" s="126" t="s">
        <v>109</v>
      </c>
      <c r="F131" s="127">
        <v>138.0</v>
      </c>
      <c r="G131" s="128">
        <v>12000.0</v>
      </c>
      <c r="H131" s="102"/>
      <c r="I131" s="128">
        <f t="shared" si="18"/>
        <v>1656000</v>
      </c>
      <c r="J131" s="99"/>
      <c r="K131" s="99"/>
      <c r="L131" s="99"/>
    </row>
    <row r="132">
      <c r="A132" s="103"/>
      <c r="B132" s="99"/>
      <c r="C132" s="99"/>
      <c r="D132" s="126" t="s">
        <v>1234</v>
      </c>
      <c r="E132" s="126" t="s">
        <v>109</v>
      </c>
      <c r="F132" s="127">
        <v>127.0</v>
      </c>
      <c r="G132" s="128">
        <v>11000.0</v>
      </c>
      <c r="H132" s="102"/>
      <c r="I132" s="128">
        <f t="shared" si="18"/>
        <v>1397000</v>
      </c>
      <c r="J132" s="99"/>
      <c r="K132" s="99"/>
      <c r="L132" s="99"/>
    </row>
    <row r="133">
      <c r="A133" s="103"/>
      <c r="B133" s="99"/>
      <c r="C133" s="99"/>
      <c r="D133" s="126" t="s">
        <v>1232</v>
      </c>
      <c r="E133" s="126" t="s">
        <v>109</v>
      </c>
      <c r="F133" s="127">
        <v>249.0</v>
      </c>
      <c r="G133" s="128">
        <v>34000.0</v>
      </c>
      <c r="H133" s="102"/>
      <c r="I133" s="128">
        <f t="shared" si="18"/>
        <v>8466000</v>
      </c>
      <c r="J133" s="99"/>
      <c r="K133" s="99"/>
      <c r="L133" s="99"/>
    </row>
    <row r="134">
      <c r="A134" s="103">
        <v>46135.0</v>
      </c>
      <c r="B134" s="99"/>
      <c r="C134" s="99"/>
      <c r="D134" s="99" t="s">
        <v>1154</v>
      </c>
      <c r="E134" s="99" t="s">
        <v>109</v>
      </c>
      <c r="F134" s="101">
        <v>85.0</v>
      </c>
      <c r="G134" s="84">
        <v>84000.0</v>
      </c>
      <c r="H134" s="102"/>
      <c r="I134" s="84">
        <f t="shared" si="18"/>
        <v>7140000</v>
      </c>
      <c r="J134" s="99"/>
      <c r="K134" s="99"/>
      <c r="L134" s="99"/>
    </row>
    <row r="135">
      <c r="A135" s="103">
        <v>46135.0</v>
      </c>
      <c r="B135" s="99"/>
      <c r="C135" s="99"/>
      <c r="D135" s="99" t="s">
        <v>1152</v>
      </c>
      <c r="E135" s="99" t="s">
        <v>109</v>
      </c>
      <c r="F135" s="101">
        <v>210.0</v>
      </c>
      <c r="G135" s="84">
        <v>1550.0</v>
      </c>
      <c r="H135" s="102"/>
      <c r="I135" s="84">
        <f t="shared" si="18"/>
        <v>325500</v>
      </c>
      <c r="J135" s="99"/>
      <c r="K135" s="99"/>
      <c r="L135" s="99"/>
    </row>
    <row r="136">
      <c r="A136" s="103">
        <v>46132.0</v>
      </c>
      <c r="B136" s="99"/>
      <c r="C136" s="99"/>
      <c r="D136" s="126" t="s">
        <v>1141</v>
      </c>
      <c r="E136" s="126" t="s">
        <v>69</v>
      </c>
      <c r="F136" s="127">
        <v>1700.0</v>
      </c>
      <c r="G136" s="128">
        <v>1550.0</v>
      </c>
      <c r="H136" s="102"/>
      <c r="I136" s="128">
        <f t="shared" si="18"/>
        <v>2635000</v>
      </c>
      <c r="J136" s="99"/>
      <c r="K136" s="99"/>
      <c r="L136" s="99"/>
    </row>
    <row r="137">
      <c r="A137" s="103">
        <v>46133.0</v>
      </c>
      <c r="B137" s="99"/>
      <c r="C137" s="99"/>
      <c r="D137" s="99" t="s">
        <v>1235</v>
      </c>
      <c r="E137" s="99" t="s">
        <v>109</v>
      </c>
      <c r="F137" s="101">
        <v>65.0</v>
      </c>
      <c r="G137" s="84">
        <v>11000.0</v>
      </c>
      <c r="H137" s="102"/>
      <c r="I137" s="84">
        <f t="shared" si="18"/>
        <v>715000</v>
      </c>
      <c r="J137" s="99"/>
      <c r="K137" s="99"/>
      <c r="L137" s="99"/>
    </row>
    <row r="138">
      <c r="A138" s="103">
        <v>46131.0</v>
      </c>
      <c r="B138" s="99"/>
      <c r="C138" s="99"/>
      <c r="D138" s="99" t="s">
        <v>1236</v>
      </c>
      <c r="E138" s="99" t="s">
        <v>109</v>
      </c>
      <c r="F138" s="101">
        <v>52.0</v>
      </c>
      <c r="G138" s="84">
        <v>29500.0</v>
      </c>
      <c r="H138" s="102"/>
      <c r="I138" s="84">
        <f t="shared" si="18"/>
        <v>1534000</v>
      </c>
      <c r="J138" s="99"/>
      <c r="K138" s="99"/>
      <c r="L138" s="99"/>
    </row>
    <row r="139">
      <c r="A139" s="103">
        <v>46134.0</v>
      </c>
      <c r="B139" s="99"/>
      <c r="C139" s="99"/>
      <c r="D139" s="126" t="s">
        <v>1237</v>
      </c>
      <c r="E139" s="126" t="s">
        <v>69</v>
      </c>
      <c r="F139" s="127">
        <v>1933.0</v>
      </c>
      <c r="G139" s="128">
        <v>1550.0</v>
      </c>
      <c r="H139" s="102"/>
      <c r="I139" s="128">
        <f t="shared" si="18"/>
        <v>2996150</v>
      </c>
      <c r="J139" s="99"/>
      <c r="K139" s="99"/>
      <c r="L139" s="99"/>
    </row>
    <row r="140">
      <c r="A140" s="103">
        <v>46136.0</v>
      </c>
      <c r="B140" s="99"/>
      <c r="C140" s="99"/>
      <c r="D140" s="99" t="s">
        <v>1238</v>
      </c>
      <c r="E140" s="99" t="s">
        <v>109</v>
      </c>
      <c r="F140" s="101">
        <v>50.0</v>
      </c>
      <c r="G140" s="84">
        <v>50000.0</v>
      </c>
      <c r="H140" s="102"/>
      <c r="I140" s="84">
        <f t="shared" si="18"/>
        <v>2500000</v>
      </c>
      <c r="J140" s="99"/>
      <c r="K140" s="99"/>
      <c r="L140" s="99"/>
    </row>
    <row r="141">
      <c r="A141" s="103">
        <v>46133.0</v>
      </c>
      <c r="B141" s="99"/>
      <c r="C141" s="99"/>
      <c r="D141" s="126" t="s">
        <v>1146</v>
      </c>
      <c r="E141" s="126" t="s">
        <v>109</v>
      </c>
      <c r="F141" s="127">
        <v>197.0</v>
      </c>
      <c r="G141" s="128">
        <v>21000.0</v>
      </c>
      <c r="H141" s="102"/>
      <c r="I141" s="128">
        <f t="shared" si="18"/>
        <v>4137000</v>
      </c>
      <c r="J141" s="99"/>
      <c r="K141" s="99"/>
      <c r="L141" s="99"/>
    </row>
    <row r="142">
      <c r="A142" s="103">
        <v>46134.0</v>
      </c>
      <c r="B142" s="99"/>
      <c r="C142" s="99"/>
      <c r="D142" s="99" t="s">
        <v>1239</v>
      </c>
      <c r="E142" s="99" t="s">
        <v>109</v>
      </c>
      <c r="F142" s="101">
        <v>70.0</v>
      </c>
      <c r="G142" s="84">
        <v>21000.0</v>
      </c>
      <c r="H142" s="102"/>
      <c r="I142" s="84">
        <f t="shared" si="18"/>
        <v>1470000</v>
      </c>
      <c r="J142" s="99"/>
      <c r="K142" s="99"/>
      <c r="L142" s="99"/>
    </row>
    <row r="143">
      <c r="A143" s="103">
        <v>46131.0</v>
      </c>
      <c r="B143" s="99"/>
      <c r="C143" s="99"/>
      <c r="D143" s="99" t="s">
        <v>1147</v>
      </c>
      <c r="E143" s="99" t="s">
        <v>109</v>
      </c>
      <c r="F143" s="101">
        <v>98.0</v>
      </c>
      <c r="G143" s="84">
        <v>34000.0</v>
      </c>
      <c r="H143" s="102"/>
      <c r="I143" s="84">
        <f t="shared" si="18"/>
        <v>3332000</v>
      </c>
      <c r="J143" s="129">
        <f>SUM(I129:I143)</f>
        <v>45415650</v>
      </c>
      <c r="K143" s="99" t="s">
        <v>1110</v>
      </c>
      <c r="L143" s="99"/>
    </row>
    <row r="144">
      <c r="A144" s="101"/>
      <c r="B144" s="99"/>
      <c r="C144" s="99"/>
      <c r="D144" s="99"/>
      <c r="E144" s="99"/>
      <c r="F144" s="99"/>
      <c r="G144" s="102"/>
      <c r="H144" s="102"/>
      <c r="I144" s="102"/>
      <c r="J144" s="99"/>
      <c r="K144" s="99"/>
      <c r="L144" s="99"/>
    </row>
    <row r="145">
      <c r="A145" s="101"/>
      <c r="B145" s="99"/>
      <c r="C145" s="99"/>
      <c r="D145" s="99"/>
      <c r="E145" s="99"/>
      <c r="F145" s="99"/>
      <c r="G145" s="102"/>
      <c r="H145" s="102"/>
      <c r="I145" s="102"/>
      <c r="J145" s="99"/>
      <c r="K145" s="99"/>
      <c r="L145" s="99"/>
    </row>
    <row r="146">
      <c r="A146" s="101" t="s">
        <v>1240</v>
      </c>
      <c r="B146" s="99"/>
      <c r="C146" s="99"/>
      <c r="D146" s="99" t="s">
        <v>1241</v>
      </c>
      <c r="E146" s="99" t="s">
        <v>69</v>
      </c>
      <c r="F146" s="101">
        <v>2275.0</v>
      </c>
      <c r="G146" s="84">
        <v>570.0</v>
      </c>
      <c r="H146" s="102"/>
      <c r="I146" s="84">
        <f t="shared" ref="I146:I155" si="19">F146*G146</f>
        <v>1296750</v>
      </c>
      <c r="J146" s="99"/>
      <c r="K146" s="99"/>
      <c r="L146" s="99"/>
    </row>
    <row r="147">
      <c r="A147" s="101"/>
      <c r="B147" s="99"/>
      <c r="C147" s="99"/>
      <c r="D147" s="99" t="s">
        <v>1242</v>
      </c>
      <c r="E147" s="99" t="s">
        <v>69</v>
      </c>
      <c r="F147" s="101">
        <v>2040.0</v>
      </c>
      <c r="G147" s="84">
        <v>480.0</v>
      </c>
      <c r="H147" s="102"/>
      <c r="I147" s="84">
        <f t="shared" si="19"/>
        <v>979200</v>
      </c>
      <c r="J147" s="99"/>
      <c r="K147" s="99"/>
      <c r="L147" s="99"/>
    </row>
    <row r="148">
      <c r="A148" s="101"/>
      <c r="B148" s="99"/>
      <c r="C148" s="99"/>
      <c r="D148" s="99" t="s">
        <v>1243</v>
      </c>
      <c r="E148" s="99" t="s">
        <v>69</v>
      </c>
      <c r="F148" s="101">
        <v>2220.0</v>
      </c>
      <c r="G148" s="84">
        <v>560.0</v>
      </c>
      <c r="H148" s="102"/>
      <c r="I148" s="84">
        <f t="shared" si="19"/>
        <v>1243200</v>
      </c>
      <c r="J148" s="99"/>
      <c r="K148" s="99"/>
      <c r="L148" s="99"/>
    </row>
    <row r="149">
      <c r="A149" s="101" t="s">
        <v>1198</v>
      </c>
      <c r="B149" s="99"/>
      <c r="C149" s="99"/>
      <c r="D149" s="99" t="s">
        <v>1244</v>
      </c>
      <c r="E149" s="99" t="s">
        <v>69</v>
      </c>
      <c r="F149" s="101">
        <v>2800.0</v>
      </c>
      <c r="G149" s="84">
        <v>560.0</v>
      </c>
      <c r="H149" s="102"/>
      <c r="I149" s="84">
        <f t="shared" si="19"/>
        <v>1568000</v>
      </c>
      <c r="J149" s="99"/>
      <c r="K149" s="99"/>
      <c r="L149" s="99"/>
    </row>
    <row r="150">
      <c r="A150" s="101"/>
      <c r="B150" s="99"/>
      <c r="C150" s="99"/>
      <c r="D150" s="99" t="s">
        <v>1245</v>
      </c>
      <c r="E150" s="99" t="s">
        <v>69</v>
      </c>
      <c r="F150" s="101">
        <v>2100.0</v>
      </c>
      <c r="G150" s="84">
        <v>570.0</v>
      </c>
      <c r="H150" s="102"/>
      <c r="I150" s="84">
        <f t="shared" si="19"/>
        <v>1197000</v>
      </c>
      <c r="J150" s="99"/>
      <c r="K150" s="99"/>
      <c r="L150" s="99"/>
    </row>
    <row r="151">
      <c r="A151" s="101" t="s">
        <v>1191</v>
      </c>
      <c r="B151" s="99"/>
      <c r="C151" s="99"/>
      <c r="D151" s="99" t="s">
        <v>1243</v>
      </c>
      <c r="E151" s="99" t="s">
        <v>69</v>
      </c>
      <c r="F151" s="101">
        <v>1930.0</v>
      </c>
      <c r="G151" s="84">
        <v>560.0</v>
      </c>
      <c r="H151" s="102"/>
      <c r="I151" s="84">
        <f t="shared" si="19"/>
        <v>1080800</v>
      </c>
      <c r="J151" s="99"/>
      <c r="K151" s="99"/>
      <c r="L151" s="99"/>
    </row>
    <row r="152">
      <c r="A152" s="101"/>
      <c r="B152" s="99"/>
      <c r="C152" s="99"/>
      <c r="D152" s="99" t="s">
        <v>1244</v>
      </c>
      <c r="E152" s="99" t="s">
        <v>69</v>
      </c>
      <c r="F152" s="101">
        <v>2800.0</v>
      </c>
      <c r="G152" s="84">
        <v>560.0</v>
      </c>
      <c r="H152" s="102"/>
      <c r="I152" s="84">
        <f t="shared" si="19"/>
        <v>1568000</v>
      </c>
      <c r="J152" s="99"/>
      <c r="K152" s="99"/>
      <c r="L152" s="99"/>
    </row>
    <row r="153">
      <c r="A153" s="101" t="s">
        <v>1206</v>
      </c>
      <c r="B153" s="99"/>
      <c r="C153" s="99"/>
      <c r="D153" s="99" t="s">
        <v>1245</v>
      </c>
      <c r="E153" s="99" t="s">
        <v>69</v>
      </c>
      <c r="F153" s="101">
        <v>2070.0</v>
      </c>
      <c r="G153" s="84">
        <v>570.0</v>
      </c>
      <c r="H153" s="102"/>
      <c r="I153" s="84">
        <f t="shared" si="19"/>
        <v>1179900</v>
      </c>
      <c r="J153" s="99"/>
      <c r="K153" s="99"/>
      <c r="L153" s="99"/>
    </row>
    <row r="154">
      <c r="A154" s="101" t="s">
        <v>1205</v>
      </c>
      <c r="B154" s="99"/>
      <c r="C154" s="99"/>
      <c r="D154" s="99" t="s">
        <v>1242</v>
      </c>
      <c r="E154" s="99" t="s">
        <v>69</v>
      </c>
      <c r="F154" s="101">
        <v>1000.0</v>
      </c>
      <c r="G154" s="84">
        <v>480.0</v>
      </c>
      <c r="H154" s="102"/>
      <c r="I154" s="84">
        <f t="shared" si="19"/>
        <v>480000</v>
      </c>
      <c r="J154" s="99"/>
      <c r="K154" s="99"/>
      <c r="L154" s="99"/>
    </row>
    <row r="155">
      <c r="A155" s="101"/>
      <c r="B155" s="99"/>
      <c r="C155" s="99"/>
      <c r="D155" s="99" t="s">
        <v>1246</v>
      </c>
      <c r="E155" s="99" t="s">
        <v>69</v>
      </c>
      <c r="F155" s="101">
        <v>3875.0</v>
      </c>
      <c r="G155" s="84">
        <v>590.0</v>
      </c>
      <c r="H155" s="102"/>
      <c r="I155" s="84">
        <f t="shared" si="19"/>
        <v>2286250</v>
      </c>
      <c r="J155" s="130">
        <f>sum(I146:I155)</f>
        <v>12879100</v>
      </c>
      <c r="K155" s="99" t="s">
        <v>1110</v>
      </c>
      <c r="L155" s="99"/>
    </row>
    <row r="156">
      <c r="A156" s="101"/>
      <c r="B156" s="99"/>
      <c r="C156" s="99"/>
      <c r="D156" s="99"/>
      <c r="E156" s="99"/>
      <c r="F156" s="99"/>
      <c r="G156" s="102"/>
      <c r="H156" s="102"/>
      <c r="I156" s="102"/>
      <c r="J156" s="99"/>
      <c r="K156" s="99"/>
      <c r="L156" s="99"/>
    </row>
    <row r="157">
      <c r="A157" s="101"/>
      <c r="B157" s="99"/>
      <c r="C157" s="99"/>
      <c r="D157" s="99"/>
      <c r="E157" s="99"/>
      <c r="F157" s="99"/>
      <c r="G157" s="102"/>
      <c r="H157" s="102"/>
      <c r="I157" s="102"/>
      <c r="J157" s="99"/>
      <c r="K157" s="99"/>
      <c r="L157" s="99"/>
    </row>
    <row r="158">
      <c r="A158" s="101" t="s">
        <v>1138</v>
      </c>
      <c r="B158" s="99"/>
      <c r="C158" s="99"/>
      <c r="D158" s="99" t="s">
        <v>1247</v>
      </c>
      <c r="E158" s="99" t="s">
        <v>69</v>
      </c>
      <c r="F158" s="101">
        <v>1800.0</v>
      </c>
      <c r="G158" s="84">
        <v>500.0</v>
      </c>
      <c r="H158" s="102"/>
      <c r="I158" s="84">
        <f t="shared" ref="I158:I162" si="20">F158*G158</f>
        <v>900000</v>
      </c>
      <c r="J158" s="99"/>
      <c r="K158" s="99"/>
      <c r="L158" s="99"/>
    </row>
    <row r="159">
      <c r="A159" s="101" t="s">
        <v>1131</v>
      </c>
      <c r="B159" s="99"/>
      <c r="C159" s="99"/>
      <c r="D159" s="99" t="s">
        <v>66</v>
      </c>
      <c r="E159" s="99" t="s">
        <v>67</v>
      </c>
      <c r="F159" s="101">
        <v>77.0</v>
      </c>
      <c r="G159" s="84">
        <v>12000.0</v>
      </c>
      <c r="H159" s="102"/>
      <c r="I159" s="84">
        <f t="shared" si="20"/>
        <v>924000</v>
      </c>
      <c r="J159" s="99"/>
      <c r="K159" s="99"/>
      <c r="L159" s="99"/>
    </row>
    <row r="160">
      <c r="A160" s="101" t="s">
        <v>1172</v>
      </c>
      <c r="B160" s="99"/>
      <c r="C160" s="99"/>
      <c r="D160" s="99" t="s">
        <v>1248</v>
      </c>
      <c r="E160" s="99" t="s">
        <v>69</v>
      </c>
      <c r="F160" s="101">
        <v>1800.0</v>
      </c>
      <c r="G160" s="84">
        <v>750.0</v>
      </c>
      <c r="H160" s="102"/>
      <c r="I160" s="84">
        <f t="shared" si="20"/>
        <v>1350000</v>
      </c>
      <c r="J160" s="99"/>
      <c r="K160" s="99"/>
      <c r="L160" s="99"/>
    </row>
    <row r="161">
      <c r="A161" s="101" t="s">
        <v>1249</v>
      </c>
      <c r="B161" s="99"/>
      <c r="C161" s="99"/>
      <c r="D161" s="99" t="s">
        <v>66</v>
      </c>
      <c r="E161" s="99" t="s">
        <v>67</v>
      </c>
      <c r="F161" s="101">
        <v>104.0</v>
      </c>
      <c r="G161" s="84">
        <v>12000.0</v>
      </c>
      <c r="H161" s="102"/>
      <c r="I161" s="84">
        <f t="shared" si="20"/>
        <v>1248000</v>
      </c>
      <c r="J161" s="99"/>
      <c r="K161" s="99"/>
      <c r="L161" s="99"/>
    </row>
    <row r="162">
      <c r="A162" s="101" t="s">
        <v>1250</v>
      </c>
      <c r="B162" s="99"/>
      <c r="C162" s="99"/>
      <c r="D162" s="99" t="s">
        <v>1251</v>
      </c>
      <c r="E162" s="99" t="s">
        <v>69</v>
      </c>
      <c r="F162" s="101">
        <v>2700.0</v>
      </c>
      <c r="G162" s="84">
        <v>500.0</v>
      </c>
      <c r="H162" s="102"/>
      <c r="I162" s="84">
        <f t="shared" si="20"/>
        <v>1350000</v>
      </c>
      <c r="J162" s="84">
        <f>sum(I158:I162)</f>
        <v>5772000</v>
      </c>
      <c r="K162" s="99" t="s">
        <v>1110</v>
      </c>
      <c r="L162" s="99"/>
    </row>
    <row r="163">
      <c r="A163" s="101"/>
      <c r="B163" s="99"/>
      <c r="C163" s="99"/>
      <c r="D163" s="99"/>
      <c r="E163" s="99"/>
      <c r="F163" s="99"/>
      <c r="G163" s="102"/>
      <c r="H163" s="102"/>
      <c r="I163" s="102"/>
      <c r="J163" s="99"/>
      <c r="K163" s="99"/>
      <c r="L163" s="99"/>
    </row>
    <row r="164">
      <c r="A164" s="101"/>
      <c r="B164" s="99"/>
      <c r="C164" s="99"/>
      <c r="D164" s="99"/>
      <c r="E164" s="99"/>
      <c r="F164" s="99"/>
      <c r="G164" s="102"/>
      <c r="H164" s="102"/>
      <c r="I164" s="102"/>
      <c r="J164" s="99"/>
      <c r="K164" s="99"/>
      <c r="L164" s="99"/>
    </row>
    <row r="165">
      <c r="A165" s="101" t="s">
        <v>1240</v>
      </c>
      <c r="B165" s="99"/>
      <c r="C165" s="99" t="s">
        <v>1252</v>
      </c>
      <c r="D165" s="99" t="s">
        <v>1253</v>
      </c>
      <c r="E165" s="99" t="s">
        <v>1176</v>
      </c>
      <c r="F165" s="131">
        <v>2.0</v>
      </c>
      <c r="G165" s="129">
        <v>1125000.0</v>
      </c>
      <c r="H165" s="132"/>
      <c r="I165" s="129">
        <f t="shared" ref="I165:I168" si="21">F165*G165</f>
        <v>2250000</v>
      </c>
      <c r="J165" s="99"/>
      <c r="K165" s="99"/>
      <c r="L165" s="99"/>
    </row>
    <row r="166">
      <c r="A166" s="101" t="s">
        <v>1205</v>
      </c>
      <c r="B166" s="99"/>
      <c r="C166" s="99" t="s">
        <v>1252</v>
      </c>
      <c r="D166" s="99" t="s">
        <v>1253</v>
      </c>
      <c r="E166" s="99" t="s">
        <v>1176</v>
      </c>
      <c r="F166" s="131">
        <v>2.0</v>
      </c>
      <c r="G166" s="129">
        <v>1125000.0</v>
      </c>
      <c r="H166" s="132"/>
      <c r="I166" s="129">
        <f t="shared" si="21"/>
        <v>2250000</v>
      </c>
      <c r="J166" s="105"/>
      <c r="K166" s="105"/>
      <c r="L166" s="99"/>
    </row>
    <row r="167">
      <c r="A167" s="101" t="s">
        <v>1254</v>
      </c>
      <c r="B167" s="99"/>
      <c r="C167" s="99" t="s">
        <v>1252</v>
      </c>
      <c r="D167" s="99" t="s">
        <v>1253</v>
      </c>
      <c r="E167" s="99" t="s">
        <v>1176</v>
      </c>
      <c r="F167" s="131">
        <v>2.0</v>
      </c>
      <c r="G167" s="129">
        <v>1125000.0</v>
      </c>
      <c r="H167" s="132"/>
      <c r="I167" s="129">
        <f t="shared" si="21"/>
        <v>2250000</v>
      </c>
      <c r="J167" s="105"/>
      <c r="K167" s="105"/>
      <c r="L167" s="99"/>
    </row>
    <row r="168">
      <c r="A168" s="101" t="s">
        <v>1215</v>
      </c>
      <c r="B168" s="99"/>
      <c r="C168" s="99" t="s">
        <v>1252</v>
      </c>
      <c r="D168" s="99" t="s">
        <v>1255</v>
      </c>
      <c r="E168" s="99" t="s">
        <v>1176</v>
      </c>
      <c r="F168" s="131">
        <v>2.0</v>
      </c>
      <c r="G168" s="129">
        <v>1125000.0</v>
      </c>
      <c r="H168" s="132"/>
      <c r="I168" s="129">
        <f t="shared" si="21"/>
        <v>2250000</v>
      </c>
      <c r="J168" s="84">
        <f>sum(I165:I168)</f>
        <v>9000000</v>
      </c>
      <c r="K168" s="99" t="s">
        <v>1110</v>
      </c>
      <c r="L168" s="99"/>
    </row>
    <row r="169">
      <c r="A169" s="109"/>
      <c r="B169" s="105"/>
      <c r="C169" s="105"/>
      <c r="D169" s="105"/>
      <c r="E169" s="105"/>
      <c r="F169" s="105"/>
      <c r="G169" s="113"/>
      <c r="H169" s="105"/>
      <c r="I169" s="105"/>
      <c r="J169" s="99"/>
      <c r="K169" s="99"/>
      <c r="L169" s="99"/>
    </row>
    <row r="170">
      <c r="A170" s="101"/>
      <c r="B170" s="99"/>
      <c r="C170" s="99"/>
      <c r="D170" s="99"/>
      <c r="E170" s="99"/>
      <c r="F170" s="99"/>
      <c r="G170" s="102"/>
      <c r="H170" s="102"/>
      <c r="I170" s="102"/>
      <c r="J170" s="99"/>
      <c r="K170" s="99"/>
      <c r="L170" s="99"/>
    </row>
    <row r="171">
      <c r="A171" s="101" t="s">
        <v>1198</v>
      </c>
      <c r="B171" s="99"/>
      <c r="C171" s="99" t="s">
        <v>1252</v>
      </c>
      <c r="D171" s="99" t="s">
        <v>1253</v>
      </c>
      <c r="E171" s="99" t="s">
        <v>1176</v>
      </c>
      <c r="F171" s="101">
        <v>1.0</v>
      </c>
      <c r="G171" s="84">
        <v>1125000.0</v>
      </c>
      <c r="H171" s="102"/>
      <c r="I171" s="84">
        <f t="shared" ref="I171:I188" si="22">F171*G171</f>
        <v>1125000</v>
      </c>
      <c r="J171" s="99"/>
      <c r="K171" s="99"/>
      <c r="L171" s="99"/>
    </row>
    <row r="172">
      <c r="A172" s="101" t="s">
        <v>1206</v>
      </c>
      <c r="B172" s="99"/>
      <c r="C172" s="99" t="s">
        <v>1252</v>
      </c>
      <c r="D172" s="99" t="s">
        <v>1256</v>
      </c>
      <c r="E172" s="99" t="s">
        <v>1176</v>
      </c>
      <c r="F172" s="101">
        <v>2.0</v>
      </c>
      <c r="G172" s="84">
        <v>255000.0</v>
      </c>
      <c r="H172" s="102"/>
      <c r="I172" s="84">
        <f t="shared" si="22"/>
        <v>510000</v>
      </c>
      <c r="J172" s="99"/>
      <c r="K172" s="99"/>
      <c r="L172" s="99"/>
    </row>
    <row r="173">
      <c r="A173" s="101" t="s">
        <v>1198</v>
      </c>
      <c r="B173" s="99"/>
      <c r="C173" s="99" t="s">
        <v>1252</v>
      </c>
      <c r="D173" s="99" t="s">
        <v>1257</v>
      </c>
      <c r="E173" s="99" t="s">
        <v>1176</v>
      </c>
      <c r="F173" s="101">
        <v>3.0</v>
      </c>
      <c r="G173" s="84">
        <v>1125000.0</v>
      </c>
      <c r="H173" s="102"/>
      <c r="I173" s="84">
        <f t="shared" si="22"/>
        <v>3375000</v>
      </c>
      <c r="J173" s="99"/>
      <c r="K173" s="99"/>
      <c r="L173" s="99"/>
    </row>
    <row r="174">
      <c r="A174" s="101" t="s">
        <v>1205</v>
      </c>
      <c r="B174" s="99"/>
      <c r="C174" s="99" t="s">
        <v>1252</v>
      </c>
      <c r="D174" s="99" t="s">
        <v>1257</v>
      </c>
      <c r="E174" s="99" t="s">
        <v>1176</v>
      </c>
      <c r="F174" s="101">
        <v>2.0</v>
      </c>
      <c r="G174" s="84">
        <v>1125000.0</v>
      </c>
      <c r="H174" s="102"/>
      <c r="I174" s="84">
        <f t="shared" si="22"/>
        <v>2250000</v>
      </c>
      <c r="J174" s="99"/>
      <c r="K174" s="99"/>
      <c r="L174" s="99"/>
    </row>
    <row r="175">
      <c r="A175" s="101" t="s">
        <v>1191</v>
      </c>
      <c r="B175" s="99"/>
      <c r="C175" s="99" t="s">
        <v>1252</v>
      </c>
      <c r="D175" s="99" t="s">
        <v>1258</v>
      </c>
      <c r="E175" s="99" t="s">
        <v>1176</v>
      </c>
      <c r="F175" s="101">
        <v>2.0</v>
      </c>
      <c r="G175" s="84">
        <v>1125000.0</v>
      </c>
      <c r="H175" s="102"/>
      <c r="I175" s="84">
        <f t="shared" si="22"/>
        <v>2250000</v>
      </c>
      <c r="J175" s="99"/>
      <c r="K175" s="99"/>
      <c r="L175" s="99"/>
    </row>
    <row r="176">
      <c r="A176" s="101" t="s">
        <v>1205</v>
      </c>
      <c r="B176" s="99"/>
      <c r="C176" s="99" t="s">
        <v>1252</v>
      </c>
      <c r="D176" s="99" t="s">
        <v>1259</v>
      </c>
      <c r="E176" s="99" t="s">
        <v>1176</v>
      </c>
      <c r="F176" s="101">
        <v>1.0</v>
      </c>
      <c r="G176" s="84">
        <v>255000.0</v>
      </c>
      <c r="H176" s="102"/>
      <c r="I176" s="84">
        <f t="shared" si="22"/>
        <v>255000</v>
      </c>
      <c r="J176" s="99"/>
      <c r="K176" s="99"/>
      <c r="L176" s="99"/>
    </row>
    <row r="177">
      <c r="A177" s="101" t="s">
        <v>1215</v>
      </c>
      <c r="B177" s="99"/>
      <c r="C177" s="99" t="s">
        <v>1252</v>
      </c>
      <c r="D177" s="99" t="s">
        <v>1258</v>
      </c>
      <c r="E177" s="99" t="s">
        <v>1176</v>
      </c>
      <c r="F177" s="101">
        <v>2.0</v>
      </c>
      <c r="G177" s="84">
        <v>1125000.0</v>
      </c>
      <c r="H177" s="102"/>
      <c r="I177" s="84">
        <f t="shared" si="22"/>
        <v>2250000</v>
      </c>
      <c r="J177" s="99"/>
      <c r="K177" s="99"/>
      <c r="L177" s="99"/>
    </row>
    <row r="178">
      <c r="A178" s="101" t="s">
        <v>1198</v>
      </c>
      <c r="B178" s="99"/>
      <c r="C178" s="99" t="s">
        <v>1252</v>
      </c>
      <c r="D178" s="99" t="s">
        <v>1260</v>
      </c>
      <c r="E178" s="99" t="s">
        <v>1176</v>
      </c>
      <c r="F178" s="101">
        <v>1.0</v>
      </c>
      <c r="G178" s="84">
        <v>1125000.0</v>
      </c>
      <c r="H178" s="102"/>
      <c r="I178" s="84">
        <f t="shared" si="22"/>
        <v>1125000</v>
      </c>
      <c r="J178" s="99"/>
      <c r="K178" s="99"/>
      <c r="L178" s="99"/>
    </row>
    <row r="179">
      <c r="A179" s="101" t="s">
        <v>1191</v>
      </c>
      <c r="B179" s="99"/>
      <c r="C179" s="99" t="s">
        <v>1252</v>
      </c>
      <c r="D179" s="99" t="s">
        <v>1260</v>
      </c>
      <c r="E179" s="99" t="s">
        <v>1176</v>
      </c>
      <c r="F179" s="101">
        <v>1.0</v>
      </c>
      <c r="G179" s="84">
        <v>1125000.0</v>
      </c>
      <c r="H179" s="102"/>
      <c r="I179" s="84">
        <f t="shared" si="22"/>
        <v>1125000</v>
      </c>
      <c r="J179" s="99"/>
      <c r="K179" s="99"/>
      <c r="L179" s="99"/>
    </row>
    <row r="180">
      <c r="A180" s="101" t="s">
        <v>1206</v>
      </c>
      <c r="B180" s="99"/>
      <c r="C180" s="99" t="s">
        <v>1252</v>
      </c>
      <c r="D180" s="99" t="s">
        <v>1261</v>
      </c>
      <c r="E180" s="99" t="s">
        <v>1176</v>
      </c>
      <c r="F180" s="101">
        <v>1.0</v>
      </c>
      <c r="G180" s="84">
        <v>255000.0</v>
      </c>
      <c r="H180" s="102"/>
      <c r="I180" s="84">
        <f t="shared" si="22"/>
        <v>255000</v>
      </c>
      <c r="J180" s="99"/>
      <c r="K180" s="99"/>
      <c r="L180" s="99"/>
    </row>
    <row r="181">
      <c r="A181" s="101" t="s">
        <v>1205</v>
      </c>
      <c r="B181" s="99"/>
      <c r="C181" s="99" t="s">
        <v>1252</v>
      </c>
      <c r="D181" s="99" t="s">
        <v>1260</v>
      </c>
      <c r="E181" s="99" t="s">
        <v>1176</v>
      </c>
      <c r="F181" s="101">
        <v>2.0</v>
      </c>
      <c r="G181" s="84">
        <v>1125000.0</v>
      </c>
      <c r="H181" s="102"/>
      <c r="I181" s="84">
        <f t="shared" si="22"/>
        <v>2250000</v>
      </c>
      <c r="J181" s="99"/>
      <c r="K181" s="99"/>
      <c r="L181" s="99"/>
    </row>
    <row r="182">
      <c r="A182" s="101"/>
      <c r="B182" s="99"/>
      <c r="C182" s="99" t="s">
        <v>1252</v>
      </c>
      <c r="D182" s="99" t="s">
        <v>1261</v>
      </c>
      <c r="E182" s="99" t="s">
        <v>1176</v>
      </c>
      <c r="F182" s="101">
        <v>2.0</v>
      </c>
      <c r="G182" s="84">
        <v>255000.0</v>
      </c>
      <c r="H182" s="102"/>
      <c r="I182" s="84">
        <f t="shared" si="22"/>
        <v>510000</v>
      </c>
      <c r="J182" s="99"/>
      <c r="K182" s="99"/>
      <c r="L182" s="99"/>
    </row>
    <row r="183">
      <c r="A183" s="101" t="s">
        <v>1215</v>
      </c>
      <c r="B183" s="99"/>
      <c r="C183" s="99" t="s">
        <v>1252</v>
      </c>
      <c r="D183" s="99" t="s">
        <v>1260</v>
      </c>
      <c r="E183" s="99" t="s">
        <v>1176</v>
      </c>
      <c r="F183" s="101">
        <v>1.0</v>
      </c>
      <c r="G183" s="84">
        <v>1125000.0</v>
      </c>
      <c r="H183" s="102"/>
      <c r="I183" s="84">
        <f t="shared" si="22"/>
        <v>1125000</v>
      </c>
      <c r="J183" s="99"/>
      <c r="K183" s="99"/>
      <c r="L183" s="99"/>
    </row>
    <row r="184">
      <c r="A184" s="101" t="s">
        <v>1198</v>
      </c>
      <c r="B184" s="99"/>
      <c r="C184" s="99" t="s">
        <v>1252</v>
      </c>
      <c r="D184" s="99" t="s">
        <v>1255</v>
      </c>
      <c r="E184" s="99" t="s">
        <v>1176</v>
      </c>
      <c r="F184" s="101">
        <v>1.0</v>
      </c>
      <c r="G184" s="84">
        <v>1125000.0</v>
      </c>
      <c r="H184" s="102"/>
      <c r="I184" s="84">
        <f t="shared" si="22"/>
        <v>1125000</v>
      </c>
      <c r="J184" s="99"/>
      <c r="K184" s="99"/>
      <c r="L184" s="99"/>
    </row>
    <row r="185">
      <c r="A185" s="101"/>
      <c r="B185" s="99"/>
      <c r="C185" s="99" t="s">
        <v>1252</v>
      </c>
      <c r="D185" s="99" t="s">
        <v>1262</v>
      </c>
      <c r="E185" s="99" t="s">
        <v>1176</v>
      </c>
      <c r="F185" s="101">
        <v>1.0</v>
      </c>
      <c r="G185" s="84">
        <v>255000.0</v>
      </c>
      <c r="H185" s="102"/>
      <c r="I185" s="84">
        <f t="shared" si="22"/>
        <v>255000</v>
      </c>
      <c r="J185" s="99"/>
      <c r="K185" s="99"/>
      <c r="L185" s="99"/>
    </row>
    <row r="186">
      <c r="A186" s="101" t="s">
        <v>1263</v>
      </c>
      <c r="B186" s="99"/>
      <c r="C186" s="99" t="s">
        <v>1252</v>
      </c>
      <c r="D186" s="99" t="s">
        <v>1255</v>
      </c>
      <c r="E186" s="99" t="s">
        <v>1176</v>
      </c>
      <c r="F186" s="101">
        <v>2.0</v>
      </c>
      <c r="G186" s="84">
        <v>1125000.0</v>
      </c>
      <c r="H186" s="102"/>
      <c r="I186" s="84">
        <f t="shared" si="22"/>
        <v>2250000</v>
      </c>
      <c r="J186" s="99"/>
      <c r="K186" s="99"/>
      <c r="L186" s="99"/>
    </row>
    <row r="187">
      <c r="A187" s="109" t="s">
        <v>1205</v>
      </c>
      <c r="B187" s="105"/>
      <c r="C187" s="99" t="s">
        <v>1252</v>
      </c>
      <c r="D187" s="105" t="s">
        <v>1255</v>
      </c>
      <c r="E187" s="105" t="s">
        <v>1176</v>
      </c>
      <c r="F187" s="109">
        <v>1.0</v>
      </c>
      <c r="G187" s="110">
        <v>1125000.0</v>
      </c>
      <c r="H187" s="102"/>
      <c r="I187" s="84">
        <f t="shared" si="22"/>
        <v>1125000</v>
      </c>
      <c r="J187" s="99"/>
      <c r="K187" s="99"/>
      <c r="L187" s="99"/>
    </row>
    <row r="188">
      <c r="A188" s="101" t="s">
        <v>1191</v>
      </c>
      <c r="B188" s="99"/>
      <c r="C188" s="99" t="s">
        <v>1252</v>
      </c>
      <c r="D188" s="99" t="s">
        <v>1264</v>
      </c>
      <c r="E188" s="99" t="s">
        <v>1176</v>
      </c>
      <c r="F188" s="101">
        <v>3.0</v>
      </c>
      <c r="G188" s="84">
        <v>1125000.0</v>
      </c>
      <c r="H188" s="102"/>
      <c r="I188" s="84">
        <f t="shared" si="22"/>
        <v>3375000</v>
      </c>
      <c r="J188" s="84">
        <f>sum(I171:I188)</f>
        <v>26535000</v>
      </c>
      <c r="K188" s="99" t="s">
        <v>1110</v>
      </c>
      <c r="L188" s="99"/>
    </row>
    <row r="189">
      <c r="A189" s="101"/>
      <c r="B189" s="99"/>
      <c r="C189" s="99"/>
      <c r="D189" s="99"/>
      <c r="E189" s="99"/>
      <c r="F189" s="99"/>
      <c r="G189" s="102"/>
      <c r="H189" s="102"/>
      <c r="I189" s="102"/>
      <c r="J189" s="99"/>
      <c r="K189" s="99"/>
      <c r="L189" s="99"/>
    </row>
    <row r="190">
      <c r="A190" s="101" t="s">
        <v>1265</v>
      </c>
      <c r="B190" s="99"/>
      <c r="C190" s="99"/>
      <c r="D190" s="99" t="s">
        <v>1266</v>
      </c>
      <c r="E190" s="99" t="s">
        <v>109</v>
      </c>
      <c r="F190" s="101">
        <v>281.6</v>
      </c>
      <c r="G190" s="84">
        <v>33000.0</v>
      </c>
      <c r="H190" s="102"/>
      <c r="I190" s="84">
        <f t="shared" ref="I190:I193" si="23">F190*G190</f>
        <v>9292800</v>
      </c>
      <c r="J190" s="99"/>
      <c r="K190" s="99"/>
      <c r="L190" s="99"/>
    </row>
    <row r="191">
      <c r="A191" s="101"/>
      <c r="B191" s="99"/>
      <c r="C191" s="99"/>
      <c r="D191" s="99" t="s">
        <v>1267</v>
      </c>
      <c r="E191" s="99" t="s">
        <v>109</v>
      </c>
      <c r="F191" s="101">
        <v>150.0</v>
      </c>
      <c r="G191" s="84">
        <v>46000.0</v>
      </c>
      <c r="H191" s="102"/>
      <c r="I191" s="84">
        <f t="shared" si="23"/>
        <v>6900000</v>
      </c>
      <c r="J191" s="99"/>
      <c r="K191" s="99"/>
      <c r="L191" s="99"/>
    </row>
    <row r="192">
      <c r="A192" s="101"/>
      <c r="B192" s="99"/>
      <c r="C192" s="99"/>
      <c r="D192" s="99" t="s">
        <v>1268</v>
      </c>
      <c r="E192" s="99" t="s">
        <v>109</v>
      </c>
      <c r="F192" s="101">
        <v>212.0</v>
      </c>
      <c r="G192" s="84">
        <v>36000.0</v>
      </c>
      <c r="H192" s="102"/>
      <c r="I192" s="84">
        <f t="shared" si="23"/>
        <v>7632000</v>
      </c>
      <c r="J192" s="99"/>
      <c r="K192" s="99"/>
      <c r="L192" s="99"/>
    </row>
    <row r="193">
      <c r="A193" s="101" t="s">
        <v>1269</v>
      </c>
      <c r="B193" s="99"/>
      <c r="C193" s="99"/>
      <c r="D193" s="99" t="s">
        <v>116</v>
      </c>
      <c r="E193" s="99" t="s">
        <v>109</v>
      </c>
      <c r="F193" s="101">
        <v>215.0</v>
      </c>
      <c r="G193" s="84">
        <v>35000.0</v>
      </c>
      <c r="H193" s="102"/>
      <c r="I193" s="84">
        <f t="shared" si="23"/>
        <v>7525000</v>
      </c>
      <c r="J193" s="84">
        <f>sum(I190:I193)</f>
        <v>31349800</v>
      </c>
      <c r="K193" s="99" t="s">
        <v>1110</v>
      </c>
      <c r="L193" s="99"/>
    </row>
    <row r="194">
      <c r="A194" s="101"/>
      <c r="B194" s="99"/>
      <c r="C194" s="99"/>
      <c r="D194" s="99"/>
      <c r="E194" s="99"/>
      <c r="F194" s="99"/>
      <c r="G194" s="102"/>
      <c r="H194" s="102"/>
      <c r="I194" s="102"/>
      <c r="J194" s="99"/>
      <c r="K194" s="99"/>
      <c r="L194" s="99"/>
    </row>
    <row r="195">
      <c r="A195" s="101"/>
      <c r="B195" s="99"/>
      <c r="C195" s="99"/>
      <c r="D195" s="99"/>
      <c r="E195" s="99"/>
      <c r="F195" s="99"/>
      <c r="G195" s="102"/>
      <c r="H195" s="102"/>
      <c r="I195" s="102"/>
      <c r="J195" s="99"/>
      <c r="K195" s="99"/>
      <c r="L195" s="99"/>
    </row>
    <row r="196">
      <c r="A196" s="101" t="s">
        <v>1270</v>
      </c>
      <c r="B196" s="99"/>
      <c r="C196" s="99" t="s">
        <v>1130</v>
      </c>
      <c r="D196" s="99" t="s">
        <v>1271</v>
      </c>
      <c r="E196" s="99" t="s">
        <v>109</v>
      </c>
      <c r="F196" s="101">
        <v>63.0</v>
      </c>
      <c r="G196" s="84">
        <v>34000.0</v>
      </c>
      <c r="H196" s="102"/>
      <c r="I196" s="84">
        <f t="shared" ref="I196:I200" si="24">F196*G196</f>
        <v>2142000</v>
      </c>
      <c r="J196" s="99"/>
      <c r="K196" s="99" t="s">
        <v>17</v>
      </c>
      <c r="L196" s="99" t="s">
        <v>1272</v>
      </c>
    </row>
    <row r="197">
      <c r="A197" s="101"/>
      <c r="B197" s="99"/>
      <c r="C197" s="99" t="s">
        <v>1130</v>
      </c>
      <c r="D197" s="99" t="s">
        <v>1273</v>
      </c>
      <c r="E197" s="99" t="s">
        <v>109</v>
      </c>
      <c r="F197" s="101">
        <v>14.55</v>
      </c>
      <c r="G197" s="84">
        <v>150000.0</v>
      </c>
      <c r="H197" s="102"/>
      <c r="I197" s="84">
        <f t="shared" si="24"/>
        <v>2182500</v>
      </c>
      <c r="J197" s="99"/>
      <c r="K197" s="99" t="s">
        <v>17</v>
      </c>
      <c r="L197" s="99" t="s">
        <v>1274</v>
      </c>
    </row>
    <row r="198">
      <c r="A198" s="101"/>
      <c r="B198" s="99"/>
      <c r="C198" s="99" t="s">
        <v>1130</v>
      </c>
      <c r="D198" s="99" t="s">
        <v>107</v>
      </c>
      <c r="E198" s="99" t="s">
        <v>67</v>
      </c>
      <c r="F198" s="101">
        <v>150.0</v>
      </c>
      <c r="G198" s="84">
        <v>12000.0</v>
      </c>
      <c r="H198" s="102"/>
      <c r="I198" s="84">
        <f t="shared" si="24"/>
        <v>1800000</v>
      </c>
      <c r="J198" s="99"/>
      <c r="K198" s="99" t="s">
        <v>17</v>
      </c>
      <c r="L198" s="99"/>
    </row>
    <row r="199">
      <c r="A199" s="101"/>
      <c r="B199" s="99"/>
      <c r="C199" s="99" t="s">
        <v>1130</v>
      </c>
      <c r="D199" s="99" t="s">
        <v>1196</v>
      </c>
      <c r="E199" s="99" t="s">
        <v>109</v>
      </c>
      <c r="F199" s="101">
        <v>105.0</v>
      </c>
      <c r="G199" s="84">
        <v>12000.0</v>
      </c>
      <c r="H199" s="102"/>
      <c r="I199" s="84">
        <f t="shared" si="24"/>
        <v>1260000</v>
      </c>
      <c r="J199" s="99"/>
      <c r="K199" s="99" t="s">
        <v>17</v>
      </c>
      <c r="L199" s="99"/>
    </row>
    <row r="200">
      <c r="A200" s="101"/>
      <c r="B200" s="99"/>
      <c r="C200" s="99" t="s">
        <v>1130</v>
      </c>
      <c r="D200" s="99" t="s">
        <v>1275</v>
      </c>
      <c r="E200" s="99" t="s">
        <v>109</v>
      </c>
      <c r="F200" s="101">
        <v>65.0</v>
      </c>
      <c r="G200" s="84">
        <v>34000.0</v>
      </c>
      <c r="H200" s="102"/>
      <c r="I200" s="84">
        <f t="shared" si="24"/>
        <v>2210000</v>
      </c>
      <c r="J200" s="84">
        <f>sum(I196:I200)</f>
        <v>9594500</v>
      </c>
      <c r="K200" s="99" t="s">
        <v>1110</v>
      </c>
      <c r="L200" s="99" t="s">
        <v>1276</v>
      </c>
    </row>
    <row r="201">
      <c r="A201" s="101"/>
      <c r="B201" s="99"/>
      <c r="C201" s="99"/>
      <c r="D201" s="99"/>
      <c r="E201" s="99"/>
      <c r="F201" s="99"/>
      <c r="G201" s="102"/>
      <c r="H201" s="102"/>
      <c r="I201" s="102"/>
      <c r="J201" s="99"/>
      <c r="K201" s="99"/>
      <c r="L201" s="99"/>
    </row>
    <row r="202">
      <c r="A202" s="101" t="s">
        <v>1270</v>
      </c>
      <c r="B202" s="99"/>
      <c r="C202" s="99" t="s">
        <v>1166</v>
      </c>
      <c r="D202" s="99" t="s">
        <v>1277</v>
      </c>
      <c r="E202" s="99" t="s">
        <v>1221</v>
      </c>
      <c r="F202" s="101">
        <v>205.0</v>
      </c>
      <c r="G202" s="84">
        <v>12500.0</v>
      </c>
      <c r="H202" s="102"/>
      <c r="I202" s="84">
        <f>F202*G202</f>
        <v>2562500</v>
      </c>
      <c r="J202" s="84">
        <f>I202</f>
        <v>2562500</v>
      </c>
      <c r="K202" s="99" t="s">
        <v>1110</v>
      </c>
      <c r="L202" s="99"/>
    </row>
    <row r="203">
      <c r="A203" s="101"/>
      <c r="B203" s="99"/>
      <c r="C203" s="99"/>
      <c r="D203" s="99"/>
      <c r="E203" s="99"/>
      <c r="F203" s="99"/>
      <c r="G203" s="102"/>
      <c r="H203" s="102"/>
      <c r="I203" s="102"/>
      <c r="J203" s="99"/>
      <c r="K203" s="99"/>
      <c r="L203" s="99"/>
    </row>
    <row r="204">
      <c r="A204" s="101"/>
      <c r="B204" s="99"/>
      <c r="C204" s="99"/>
      <c r="D204" s="99"/>
      <c r="E204" s="99"/>
      <c r="F204" s="99"/>
      <c r="G204" s="102"/>
      <c r="H204" s="102"/>
      <c r="I204" s="102"/>
      <c r="J204" s="99"/>
      <c r="K204" s="99"/>
      <c r="L204" s="99"/>
    </row>
    <row r="205">
      <c r="A205" s="101" t="s">
        <v>1270</v>
      </c>
      <c r="B205" s="99"/>
      <c r="C205" s="99" t="s">
        <v>1166</v>
      </c>
      <c r="D205" s="99" t="s">
        <v>1278</v>
      </c>
      <c r="E205" s="99" t="s">
        <v>1208</v>
      </c>
      <c r="F205" s="101">
        <v>33.0</v>
      </c>
      <c r="G205" s="84">
        <v>260000.0</v>
      </c>
      <c r="H205" s="102"/>
      <c r="I205" s="84">
        <f t="shared" ref="I205:I207" si="25">F205*G205</f>
        <v>8580000</v>
      </c>
      <c r="J205" s="99"/>
      <c r="K205" s="99" t="s">
        <v>17</v>
      </c>
      <c r="L205" s="99" t="s">
        <v>1279</v>
      </c>
    </row>
    <row r="206">
      <c r="A206" s="101"/>
      <c r="B206" s="99"/>
      <c r="C206" s="99" t="s">
        <v>1166</v>
      </c>
      <c r="D206" s="99" t="s">
        <v>1278</v>
      </c>
      <c r="E206" s="99" t="s">
        <v>1208</v>
      </c>
      <c r="F206" s="101">
        <v>45.0</v>
      </c>
      <c r="G206" s="84">
        <v>260000.0</v>
      </c>
      <c r="H206" s="102"/>
      <c r="I206" s="84">
        <f t="shared" si="25"/>
        <v>11700000</v>
      </c>
      <c r="J206" s="99"/>
      <c r="K206" s="99" t="s">
        <v>17</v>
      </c>
      <c r="L206" s="99" t="s">
        <v>1280</v>
      </c>
    </row>
    <row r="207">
      <c r="A207" s="101"/>
      <c r="B207" s="99"/>
      <c r="C207" s="99" t="s">
        <v>1166</v>
      </c>
      <c r="D207" s="99" t="s">
        <v>1114</v>
      </c>
      <c r="E207" s="99" t="s">
        <v>69</v>
      </c>
      <c r="F207" s="101">
        <v>7467.0</v>
      </c>
      <c r="G207" s="84">
        <v>1800.0</v>
      </c>
      <c r="H207" s="102"/>
      <c r="I207" s="84">
        <f t="shared" si="25"/>
        <v>13440600</v>
      </c>
      <c r="J207" s="84">
        <f>sum(I205:I207)</f>
        <v>33720600</v>
      </c>
      <c r="K207" s="99" t="s">
        <v>1110</v>
      </c>
      <c r="L207" s="99" t="s">
        <v>1281</v>
      </c>
    </row>
    <row r="208">
      <c r="A208" s="101"/>
      <c r="B208" s="99"/>
      <c r="C208" s="99"/>
      <c r="D208" s="99"/>
      <c r="E208" s="99"/>
      <c r="F208" s="99"/>
      <c r="G208" s="102"/>
      <c r="H208" s="102"/>
      <c r="I208" s="102"/>
      <c r="J208" s="99"/>
      <c r="K208" s="99"/>
      <c r="L208" s="99"/>
    </row>
    <row r="209">
      <c r="A209" s="109" t="s">
        <v>1138</v>
      </c>
      <c r="B209" s="105"/>
      <c r="C209" s="99" t="s">
        <v>1252</v>
      </c>
      <c r="D209" s="105" t="s">
        <v>1141</v>
      </c>
      <c r="E209" s="105" t="s">
        <v>109</v>
      </c>
      <c r="F209" s="109">
        <v>1660.0</v>
      </c>
      <c r="G209" s="110">
        <v>1650.0</v>
      </c>
      <c r="H209" s="113"/>
      <c r="I209" s="110">
        <f t="shared" ref="I209:I225" si="26">F209*G209</f>
        <v>2739000</v>
      </c>
      <c r="J209" s="105"/>
      <c r="K209" s="105" t="s">
        <v>17</v>
      </c>
      <c r="L209" s="105"/>
    </row>
    <row r="210">
      <c r="A210" s="101" t="s">
        <v>1138</v>
      </c>
      <c r="B210" s="99"/>
      <c r="C210" s="99" t="s">
        <v>1252</v>
      </c>
      <c r="D210" s="99" t="s">
        <v>1147</v>
      </c>
      <c r="E210" s="99" t="s">
        <v>16</v>
      </c>
      <c r="F210" s="101">
        <v>90.0</v>
      </c>
      <c r="G210" s="84">
        <v>34000.0</v>
      </c>
      <c r="H210" s="102"/>
      <c r="I210" s="84">
        <f t="shared" si="26"/>
        <v>3060000</v>
      </c>
      <c r="J210" s="99"/>
      <c r="K210" s="99" t="s">
        <v>17</v>
      </c>
      <c r="L210" s="99"/>
    </row>
    <row r="211">
      <c r="A211" s="101" t="s">
        <v>1131</v>
      </c>
      <c r="B211" s="99"/>
      <c r="C211" s="99" t="s">
        <v>1252</v>
      </c>
      <c r="D211" s="99" t="s">
        <v>1282</v>
      </c>
      <c r="E211" s="99" t="s">
        <v>109</v>
      </c>
      <c r="F211" s="101">
        <v>126.0</v>
      </c>
      <c r="G211" s="84">
        <v>11000.0</v>
      </c>
      <c r="H211" s="102"/>
      <c r="I211" s="84">
        <f t="shared" si="26"/>
        <v>1386000</v>
      </c>
      <c r="J211" s="99"/>
      <c r="K211" s="99" t="s">
        <v>17</v>
      </c>
      <c r="L211" s="99">
        <v>128.5</v>
      </c>
    </row>
    <row r="212">
      <c r="A212" s="101" t="s">
        <v>1131</v>
      </c>
      <c r="B212" s="99"/>
      <c r="C212" s="99" t="s">
        <v>1252</v>
      </c>
      <c r="D212" s="99" t="s">
        <v>1283</v>
      </c>
      <c r="E212" s="99" t="s">
        <v>69</v>
      </c>
      <c r="F212" s="101">
        <v>1650.0</v>
      </c>
      <c r="G212" s="84">
        <v>1780.0</v>
      </c>
      <c r="H212" s="102"/>
      <c r="I212" s="84">
        <f t="shared" si="26"/>
        <v>2937000</v>
      </c>
      <c r="J212" s="99"/>
      <c r="K212" s="99" t="s">
        <v>17</v>
      </c>
      <c r="L212" s="99">
        <v>1790.0</v>
      </c>
    </row>
    <row r="213">
      <c r="A213" s="101" t="s">
        <v>1172</v>
      </c>
      <c r="B213" s="99"/>
      <c r="C213" s="99" t="s">
        <v>1252</v>
      </c>
      <c r="D213" s="99" t="s">
        <v>1284</v>
      </c>
      <c r="E213" s="99" t="s">
        <v>109</v>
      </c>
      <c r="F213" s="101">
        <v>200.0</v>
      </c>
      <c r="G213" s="84">
        <v>17500.0</v>
      </c>
      <c r="H213" s="102"/>
      <c r="I213" s="84">
        <f t="shared" si="26"/>
        <v>3500000</v>
      </c>
      <c r="J213" s="99"/>
      <c r="K213" s="99" t="s">
        <v>17</v>
      </c>
      <c r="L213" s="99">
        <v>203.3</v>
      </c>
    </row>
    <row r="214">
      <c r="A214" s="101" t="s">
        <v>1172</v>
      </c>
      <c r="B214" s="99"/>
      <c r="C214" s="99" t="s">
        <v>1252</v>
      </c>
      <c r="D214" s="99" t="s">
        <v>1145</v>
      </c>
      <c r="E214" s="99" t="s">
        <v>109</v>
      </c>
      <c r="F214" s="101">
        <v>168.0</v>
      </c>
      <c r="G214" s="84">
        <v>14000.0</v>
      </c>
      <c r="H214" s="102"/>
      <c r="I214" s="84">
        <f t="shared" si="26"/>
        <v>2352000</v>
      </c>
      <c r="J214" s="99"/>
      <c r="K214" s="99" t="s">
        <v>17</v>
      </c>
      <c r="L214" s="99"/>
    </row>
    <row r="215">
      <c r="A215" s="101" t="s">
        <v>1249</v>
      </c>
      <c r="B215" s="99"/>
      <c r="C215" s="99" t="s">
        <v>1252</v>
      </c>
      <c r="D215" s="99" t="s">
        <v>1285</v>
      </c>
      <c r="E215" s="99" t="s">
        <v>109</v>
      </c>
      <c r="F215" s="101">
        <v>101.0</v>
      </c>
      <c r="G215" s="84">
        <v>42000.0</v>
      </c>
      <c r="H215" s="102"/>
      <c r="I215" s="84">
        <f t="shared" si="26"/>
        <v>4242000</v>
      </c>
      <c r="J215" s="99"/>
      <c r="K215" s="99" t="s">
        <v>17</v>
      </c>
      <c r="L215" s="99"/>
    </row>
    <row r="216">
      <c r="A216" s="101" t="s">
        <v>1249</v>
      </c>
      <c r="B216" s="99"/>
      <c r="C216" s="99" t="s">
        <v>1252</v>
      </c>
      <c r="D216" s="99" t="s">
        <v>1282</v>
      </c>
      <c r="E216" s="99" t="s">
        <v>109</v>
      </c>
      <c r="F216" s="101">
        <v>113.45</v>
      </c>
      <c r="G216" s="84">
        <v>11000.0</v>
      </c>
      <c r="H216" s="102"/>
      <c r="I216" s="84">
        <f t="shared" si="26"/>
        <v>1247950</v>
      </c>
      <c r="J216" s="99"/>
      <c r="K216" s="99" t="s">
        <v>17</v>
      </c>
      <c r="L216" s="99"/>
    </row>
    <row r="217">
      <c r="A217" s="101" t="s">
        <v>1250</v>
      </c>
      <c r="B217" s="99"/>
      <c r="C217" s="99" t="s">
        <v>1252</v>
      </c>
      <c r="D217" s="99" t="s">
        <v>1286</v>
      </c>
      <c r="E217" s="99" t="s">
        <v>109</v>
      </c>
      <c r="F217" s="101">
        <v>150.0</v>
      </c>
      <c r="G217" s="84">
        <v>1650.0</v>
      </c>
      <c r="H217" s="102"/>
      <c r="I217" s="84">
        <f t="shared" si="26"/>
        <v>247500</v>
      </c>
      <c r="J217" s="99"/>
      <c r="K217" s="99" t="s">
        <v>17</v>
      </c>
      <c r="L217" s="105"/>
    </row>
    <row r="218">
      <c r="A218" s="101" t="s">
        <v>1250</v>
      </c>
      <c r="B218" s="99"/>
      <c r="C218" s="99" t="s">
        <v>1252</v>
      </c>
      <c r="D218" s="99" t="s">
        <v>1287</v>
      </c>
      <c r="E218" s="99" t="s">
        <v>109</v>
      </c>
      <c r="F218" s="101">
        <v>84.0</v>
      </c>
      <c r="G218" s="84">
        <v>76500.0</v>
      </c>
      <c r="H218" s="102"/>
      <c r="I218" s="84">
        <f t="shared" si="26"/>
        <v>6426000</v>
      </c>
      <c r="J218" s="99"/>
      <c r="K218" s="99" t="s">
        <v>17</v>
      </c>
      <c r="L218" s="105">
        <v>84.18</v>
      </c>
    </row>
    <row r="219">
      <c r="A219" s="101" t="s">
        <v>1250</v>
      </c>
      <c r="B219" s="99"/>
      <c r="C219" s="99" t="s">
        <v>1252</v>
      </c>
      <c r="D219" s="99" t="s">
        <v>1150</v>
      </c>
      <c r="E219" s="99" t="s">
        <v>109</v>
      </c>
      <c r="F219" s="101">
        <v>54.0</v>
      </c>
      <c r="G219" s="84">
        <v>76500.0</v>
      </c>
      <c r="H219" s="102"/>
      <c r="I219" s="84">
        <f t="shared" si="26"/>
        <v>4131000</v>
      </c>
      <c r="J219" s="99"/>
      <c r="K219" s="99" t="s">
        <v>17</v>
      </c>
      <c r="L219" s="105"/>
    </row>
    <row r="220">
      <c r="A220" s="101"/>
      <c r="B220" s="99"/>
      <c r="C220" s="99" t="s">
        <v>1252</v>
      </c>
      <c r="D220" s="99" t="s">
        <v>1283</v>
      </c>
      <c r="E220" s="99" t="s">
        <v>109</v>
      </c>
      <c r="F220" s="101">
        <v>1375.0</v>
      </c>
      <c r="G220" s="84">
        <v>1650.0</v>
      </c>
      <c r="H220" s="102"/>
      <c r="I220" s="84">
        <f t="shared" si="26"/>
        <v>2268750</v>
      </c>
      <c r="J220" s="99"/>
      <c r="K220" s="99" t="s">
        <v>17</v>
      </c>
      <c r="L220" s="99"/>
    </row>
    <row r="221">
      <c r="A221" s="101"/>
      <c r="B221" s="99"/>
      <c r="C221" s="99" t="s">
        <v>1252</v>
      </c>
      <c r="D221" s="99" t="s">
        <v>1285</v>
      </c>
      <c r="E221" s="99" t="s">
        <v>109</v>
      </c>
      <c r="F221" s="101">
        <v>66.0</v>
      </c>
      <c r="G221" s="84">
        <v>42000.0</v>
      </c>
      <c r="H221" s="102"/>
      <c r="I221" s="84">
        <f t="shared" si="26"/>
        <v>2772000</v>
      </c>
      <c r="J221" s="99"/>
      <c r="K221" s="99" t="s">
        <v>17</v>
      </c>
      <c r="L221" s="99">
        <v>67.0</v>
      </c>
    </row>
    <row r="222">
      <c r="A222" s="101"/>
      <c r="B222" s="99"/>
      <c r="C222" s="99" t="s">
        <v>1252</v>
      </c>
      <c r="D222" s="99" t="s">
        <v>1143</v>
      </c>
      <c r="E222" s="99" t="s">
        <v>109</v>
      </c>
      <c r="F222" s="101">
        <v>6.0</v>
      </c>
      <c r="G222" s="84">
        <v>29500.0</v>
      </c>
      <c r="H222" s="102"/>
      <c r="I222" s="84">
        <f t="shared" si="26"/>
        <v>177000</v>
      </c>
      <c r="J222" s="99"/>
      <c r="K222" s="99" t="s">
        <v>17</v>
      </c>
      <c r="L222" s="99"/>
    </row>
    <row r="223">
      <c r="A223" s="101" t="s">
        <v>1250</v>
      </c>
      <c r="B223" s="99"/>
      <c r="C223" s="99" t="s">
        <v>1252</v>
      </c>
      <c r="D223" s="99" t="s">
        <v>1288</v>
      </c>
      <c r="E223" s="99" t="s">
        <v>69</v>
      </c>
      <c r="F223" s="101">
        <v>1340.0</v>
      </c>
      <c r="G223" s="84">
        <v>1650.0</v>
      </c>
      <c r="H223" s="102"/>
      <c r="I223" s="84">
        <f t="shared" si="26"/>
        <v>2211000</v>
      </c>
      <c r="J223" s="99"/>
      <c r="K223" s="99" t="s">
        <v>17</v>
      </c>
      <c r="L223" s="99"/>
    </row>
    <row r="224">
      <c r="A224" s="101" t="s">
        <v>1197</v>
      </c>
      <c r="B224" s="99"/>
      <c r="C224" s="99" t="s">
        <v>1252</v>
      </c>
      <c r="D224" s="99" t="s">
        <v>1289</v>
      </c>
      <c r="E224" s="99" t="s">
        <v>109</v>
      </c>
      <c r="F224" s="101">
        <v>72.0</v>
      </c>
      <c r="G224" s="84">
        <v>29500.0</v>
      </c>
      <c r="H224" s="102"/>
      <c r="I224" s="84">
        <f t="shared" si="26"/>
        <v>2124000</v>
      </c>
      <c r="J224" s="99"/>
      <c r="K224" s="99" t="s">
        <v>17</v>
      </c>
      <c r="L224" s="99"/>
    </row>
    <row r="225">
      <c r="A225" s="101"/>
      <c r="B225" s="99"/>
      <c r="C225" s="99" t="s">
        <v>1252</v>
      </c>
      <c r="D225" s="99" t="s">
        <v>1235</v>
      </c>
      <c r="E225" s="99" t="s">
        <v>109</v>
      </c>
      <c r="F225" s="101">
        <v>102.5</v>
      </c>
      <c r="G225" s="84">
        <v>11000.0</v>
      </c>
      <c r="H225" s="102"/>
      <c r="I225" s="84">
        <f t="shared" si="26"/>
        <v>1127500</v>
      </c>
      <c r="J225" s="84">
        <f>sum(I209:I225)</f>
        <v>42948700</v>
      </c>
      <c r="K225" s="99" t="s">
        <v>1110</v>
      </c>
      <c r="L225" s="99"/>
    </row>
    <row r="226">
      <c r="A226" s="101"/>
      <c r="B226" s="99"/>
      <c r="C226" s="99"/>
      <c r="D226" s="99"/>
      <c r="E226" s="99"/>
      <c r="F226" s="99"/>
      <c r="G226" s="102"/>
      <c r="H226" s="102"/>
      <c r="I226" s="102"/>
      <c r="J226" s="99"/>
      <c r="K226" s="99"/>
      <c r="L226" s="99"/>
    </row>
    <row r="227">
      <c r="A227" s="101" t="s">
        <v>1290</v>
      </c>
      <c r="B227" s="99"/>
      <c r="C227" s="99" t="s">
        <v>1291</v>
      </c>
      <c r="D227" s="99" t="s">
        <v>1292</v>
      </c>
      <c r="E227" s="99" t="s">
        <v>69</v>
      </c>
      <c r="F227" s="101">
        <v>132.0</v>
      </c>
      <c r="G227" s="84">
        <v>20000.0</v>
      </c>
      <c r="H227" s="102"/>
      <c r="I227" s="84">
        <f t="shared" ref="I227:I229" si="27">F227*G227</f>
        <v>2640000</v>
      </c>
      <c r="J227" s="99"/>
      <c r="K227" s="99" t="s">
        <v>17</v>
      </c>
      <c r="L227" s="105" t="s">
        <v>1293</v>
      </c>
    </row>
    <row r="228">
      <c r="A228" s="101"/>
      <c r="B228" s="99"/>
      <c r="C228" s="99" t="s">
        <v>1291</v>
      </c>
      <c r="D228" s="99" t="s">
        <v>1294</v>
      </c>
      <c r="E228" s="99" t="s">
        <v>1221</v>
      </c>
      <c r="F228" s="101">
        <v>70.0</v>
      </c>
      <c r="G228" s="84">
        <v>28000.0</v>
      </c>
      <c r="H228" s="102"/>
      <c r="I228" s="84">
        <f t="shared" si="27"/>
        <v>1960000</v>
      </c>
      <c r="J228" s="99"/>
      <c r="K228" s="99" t="s">
        <v>17</v>
      </c>
      <c r="L228" s="99" t="s">
        <v>1280</v>
      </c>
    </row>
    <row r="229">
      <c r="A229" s="101"/>
      <c r="B229" s="99"/>
      <c r="C229" s="99" t="s">
        <v>1291</v>
      </c>
      <c r="D229" s="99" t="s">
        <v>1295</v>
      </c>
      <c r="E229" s="99" t="s">
        <v>69</v>
      </c>
      <c r="F229" s="101">
        <v>200.0</v>
      </c>
      <c r="G229" s="84">
        <v>29000.0</v>
      </c>
      <c r="H229" s="102"/>
      <c r="I229" s="84">
        <f t="shared" si="27"/>
        <v>5800000</v>
      </c>
      <c r="J229" s="84">
        <f>sum(I227:I229)</f>
        <v>10400000</v>
      </c>
      <c r="K229" s="99" t="s">
        <v>1110</v>
      </c>
      <c r="L229" s="99" t="s">
        <v>1272</v>
      </c>
    </row>
    <row r="230">
      <c r="A230" s="109"/>
      <c r="B230" s="105"/>
      <c r="C230" s="105"/>
      <c r="D230" s="105"/>
      <c r="E230" s="105"/>
      <c r="F230" s="105"/>
      <c r="G230" s="113"/>
      <c r="H230" s="105"/>
      <c r="I230" s="105"/>
      <c r="J230" s="99"/>
      <c r="K230" s="99"/>
      <c r="L230" s="99"/>
    </row>
    <row r="231">
      <c r="A231" s="101" t="s">
        <v>1265</v>
      </c>
      <c r="B231" s="99"/>
      <c r="C231" s="99" t="s">
        <v>65</v>
      </c>
      <c r="D231" s="99" t="s">
        <v>1296</v>
      </c>
      <c r="E231" s="99" t="s">
        <v>69</v>
      </c>
      <c r="F231" s="101">
        <v>1790.0</v>
      </c>
      <c r="G231" s="84">
        <v>750.0</v>
      </c>
      <c r="H231" s="102"/>
      <c r="I231" s="84">
        <f t="shared" ref="I231:I233" si="28">F231*G231</f>
        <v>1342500</v>
      </c>
      <c r="J231" s="99"/>
      <c r="K231" s="99" t="s">
        <v>17</v>
      </c>
      <c r="L231" s="101">
        <v>1791.0</v>
      </c>
    </row>
    <row r="232">
      <c r="A232" s="101" t="s">
        <v>1269</v>
      </c>
      <c r="B232" s="99"/>
      <c r="C232" s="99" t="s">
        <v>65</v>
      </c>
      <c r="D232" s="99" t="s">
        <v>1297</v>
      </c>
      <c r="E232" s="99" t="s">
        <v>67</v>
      </c>
      <c r="F232" s="101">
        <v>38.0</v>
      </c>
      <c r="G232" s="84">
        <v>12000.0</v>
      </c>
      <c r="H232" s="102"/>
      <c r="I232" s="84">
        <f t="shared" si="28"/>
        <v>456000</v>
      </c>
      <c r="J232" s="99"/>
      <c r="K232" s="99" t="s">
        <v>17</v>
      </c>
      <c r="L232" s="101">
        <v>38.0</v>
      </c>
    </row>
    <row r="233">
      <c r="A233" s="101" t="s">
        <v>1270</v>
      </c>
      <c r="B233" s="99"/>
      <c r="C233" s="99" t="s">
        <v>65</v>
      </c>
      <c r="D233" s="99" t="s">
        <v>1297</v>
      </c>
      <c r="E233" s="99" t="s">
        <v>67</v>
      </c>
      <c r="F233" s="101">
        <v>103.0</v>
      </c>
      <c r="G233" s="84">
        <v>12000.0</v>
      </c>
      <c r="H233" s="102"/>
      <c r="I233" s="84">
        <f t="shared" si="28"/>
        <v>1236000</v>
      </c>
      <c r="J233" s="84">
        <f>sum(I231:I233)</f>
        <v>3034500</v>
      </c>
      <c r="K233" s="99" t="s">
        <v>1110</v>
      </c>
      <c r="L233" s="101">
        <v>104.0</v>
      </c>
    </row>
    <row r="234">
      <c r="A234" s="101"/>
      <c r="B234" s="99"/>
      <c r="C234" s="99"/>
      <c r="D234" s="99"/>
      <c r="E234" s="99"/>
      <c r="F234" s="99"/>
      <c r="G234" s="102"/>
      <c r="H234" s="102"/>
      <c r="I234" s="102"/>
      <c r="J234" s="99"/>
      <c r="K234" s="99"/>
      <c r="L234" s="99"/>
    </row>
    <row r="235">
      <c r="A235" s="101" t="s">
        <v>1270</v>
      </c>
      <c r="B235" s="99"/>
      <c r="C235" s="99" t="s">
        <v>1217</v>
      </c>
      <c r="D235" s="99" t="s">
        <v>1298</v>
      </c>
      <c r="E235" s="99" t="s">
        <v>112</v>
      </c>
      <c r="F235" s="101">
        <v>2800.0</v>
      </c>
      <c r="G235" s="84">
        <v>3500.0</v>
      </c>
      <c r="H235" s="102"/>
      <c r="I235" s="84">
        <f t="shared" ref="I235:I236" si="29">F235*G235</f>
        <v>9800000</v>
      </c>
      <c r="J235" s="99"/>
      <c r="K235" s="99" t="s">
        <v>17</v>
      </c>
      <c r="L235" s="101">
        <v>2830.0</v>
      </c>
    </row>
    <row r="236">
      <c r="A236" s="101" t="s">
        <v>1270</v>
      </c>
      <c r="B236" s="99"/>
      <c r="C236" s="99" t="s">
        <v>1217</v>
      </c>
      <c r="D236" s="99" t="s">
        <v>1299</v>
      </c>
      <c r="E236" s="99" t="s">
        <v>69</v>
      </c>
      <c r="F236" s="101">
        <v>2000.0</v>
      </c>
      <c r="G236" s="84">
        <v>2000.0</v>
      </c>
      <c r="H236" s="102"/>
      <c r="I236" s="84">
        <f t="shared" si="29"/>
        <v>4000000</v>
      </c>
      <c r="J236" s="84">
        <f>sum(I235:I236)</f>
        <v>13800000</v>
      </c>
      <c r="K236" s="99" t="s">
        <v>1110</v>
      </c>
      <c r="L236" s="99"/>
    </row>
    <row r="237">
      <c r="A237" s="101"/>
      <c r="B237" s="99"/>
      <c r="C237" s="99"/>
      <c r="D237" s="99"/>
      <c r="E237" s="99"/>
      <c r="F237" s="99"/>
      <c r="G237" s="102"/>
      <c r="H237" s="102"/>
      <c r="I237" s="102"/>
      <c r="J237" s="99"/>
      <c r="K237" s="99"/>
      <c r="L237" s="99"/>
    </row>
    <row r="238">
      <c r="A238" s="101" t="s">
        <v>1270</v>
      </c>
      <c r="B238" s="99"/>
      <c r="C238" s="99" t="s">
        <v>1193</v>
      </c>
      <c r="D238" s="99" t="s">
        <v>1300</v>
      </c>
      <c r="E238" s="99" t="s">
        <v>109</v>
      </c>
      <c r="F238" s="101">
        <v>298.7</v>
      </c>
      <c r="G238" s="84">
        <v>33000.0</v>
      </c>
      <c r="H238" s="102"/>
      <c r="I238" s="84">
        <f t="shared" ref="I238:I239" si="30">F238*G238</f>
        <v>9857100</v>
      </c>
      <c r="J238" s="99"/>
      <c r="K238" s="99" t="s">
        <v>17</v>
      </c>
      <c r="L238" s="101">
        <v>281.0</v>
      </c>
    </row>
    <row r="239">
      <c r="A239" s="101"/>
      <c r="B239" s="99"/>
      <c r="C239" s="99"/>
      <c r="D239" s="99" t="s">
        <v>1200</v>
      </c>
      <c r="E239" s="99" t="s">
        <v>109</v>
      </c>
      <c r="F239" s="101">
        <v>110.0</v>
      </c>
      <c r="G239" s="84">
        <v>45000.0</v>
      </c>
      <c r="H239" s="102"/>
      <c r="I239" s="84">
        <f t="shared" si="30"/>
        <v>4950000</v>
      </c>
      <c r="J239" s="84">
        <f>sum(I238:I239)</f>
        <v>14807100</v>
      </c>
      <c r="K239" s="99" t="s">
        <v>1110</v>
      </c>
      <c r="L239" s="99"/>
    </row>
    <row r="240">
      <c r="A240" s="101"/>
      <c r="B240" s="99"/>
      <c r="C240" s="99"/>
      <c r="D240" s="99"/>
      <c r="E240" s="99"/>
      <c r="F240" s="99"/>
      <c r="G240" s="102"/>
      <c r="H240" s="102"/>
      <c r="I240" s="102"/>
      <c r="J240" s="99"/>
      <c r="K240" s="99"/>
      <c r="L240" s="99"/>
    </row>
    <row r="241">
      <c r="A241" s="101" t="s">
        <v>1269</v>
      </c>
      <c r="B241" s="99"/>
      <c r="C241" s="99" t="s">
        <v>1133</v>
      </c>
      <c r="D241" s="99" t="s">
        <v>1255</v>
      </c>
      <c r="E241" s="99" t="s">
        <v>1176</v>
      </c>
      <c r="F241" s="101">
        <v>2.0</v>
      </c>
      <c r="G241" s="84">
        <v>1125000.0</v>
      </c>
      <c r="H241" s="102"/>
      <c r="I241" s="84">
        <f t="shared" ref="I241:I247" si="31">F241*G241</f>
        <v>2250000</v>
      </c>
      <c r="J241" s="99"/>
      <c r="K241" s="99" t="s">
        <v>17</v>
      </c>
      <c r="L241" s="99"/>
    </row>
    <row r="242">
      <c r="A242" s="101" t="s">
        <v>1269</v>
      </c>
      <c r="B242" s="99"/>
      <c r="C242" s="99" t="s">
        <v>1133</v>
      </c>
      <c r="D242" s="99" t="s">
        <v>1301</v>
      </c>
      <c r="E242" s="99" t="s">
        <v>1176</v>
      </c>
      <c r="F242" s="101">
        <v>2.0</v>
      </c>
      <c r="G242" s="84">
        <v>1125000.0</v>
      </c>
      <c r="H242" s="102"/>
      <c r="I242" s="84">
        <f t="shared" si="31"/>
        <v>2250000</v>
      </c>
      <c r="J242" s="99"/>
      <c r="K242" s="99" t="s">
        <v>17</v>
      </c>
      <c r="L242" s="99"/>
    </row>
    <row r="243">
      <c r="A243" s="101" t="s">
        <v>1270</v>
      </c>
      <c r="B243" s="99"/>
      <c r="C243" s="99" t="s">
        <v>1302</v>
      </c>
      <c r="D243" s="99" t="s">
        <v>1260</v>
      </c>
      <c r="E243" s="99" t="s">
        <v>1176</v>
      </c>
      <c r="F243" s="101">
        <v>1.0</v>
      </c>
      <c r="G243" s="84">
        <v>1125000.0</v>
      </c>
      <c r="H243" s="102"/>
      <c r="I243" s="84">
        <f t="shared" si="31"/>
        <v>1125000</v>
      </c>
      <c r="J243" s="99"/>
      <c r="K243" s="99" t="s">
        <v>17</v>
      </c>
      <c r="L243" s="99"/>
    </row>
    <row r="244">
      <c r="A244" s="101" t="s">
        <v>1303</v>
      </c>
      <c r="B244" s="99"/>
      <c r="C244" s="99" t="s">
        <v>1302</v>
      </c>
      <c r="D244" s="99" t="s">
        <v>1304</v>
      </c>
      <c r="E244" s="99" t="s">
        <v>1176</v>
      </c>
      <c r="F244" s="101">
        <v>3.0</v>
      </c>
      <c r="G244" s="84">
        <v>1125000.0</v>
      </c>
      <c r="H244" s="102"/>
      <c r="I244" s="84">
        <f t="shared" si="31"/>
        <v>3375000</v>
      </c>
      <c r="J244" s="99"/>
      <c r="K244" s="99" t="s">
        <v>17</v>
      </c>
      <c r="L244" s="99"/>
    </row>
    <row r="245">
      <c r="A245" s="101" t="s">
        <v>1269</v>
      </c>
      <c r="B245" s="99"/>
      <c r="C245" s="99" t="s">
        <v>1302</v>
      </c>
      <c r="D245" s="99" t="s">
        <v>1264</v>
      </c>
      <c r="E245" s="99" t="s">
        <v>1176</v>
      </c>
      <c r="F245" s="101">
        <v>3.0</v>
      </c>
      <c r="G245" s="84">
        <v>1125000.0</v>
      </c>
      <c r="H245" s="102"/>
      <c r="I245" s="84">
        <f t="shared" si="31"/>
        <v>3375000</v>
      </c>
      <c r="J245" s="99"/>
      <c r="K245" s="99" t="s">
        <v>17</v>
      </c>
      <c r="L245" s="99"/>
    </row>
    <row r="246">
      <c r="A246" s="101" t="s">
        <v>1305</v>
      </c>
      <c r="B246" s="99"/>
      <c r="C246" s="99" t="s">
        <v>1302</v>
      </c>
      <c r="D246" s="99" t="s">
        <v>1256</v>
      </c>
      <c r="E246" s="99" t="s">
        <v>1176</v>
      </c>
      <c r="F246" s="101">
        <v>1.0</v>
      </c>
      <c r="G246" s="84">
        <v>255000.0</v>
      </c>
      <c r="H246" s="102"/>
      <c r="I246" s="84">
        <f t="shared" si="31"/>
        <v>255000</v>
      </c>
      <c r="J246" s="99"/>
      <c r="K246" s="99" t="s">
        <v>17</v>
      </c>
      <c r="L246" s="99"/>
    </row>
    <row r="247">
      <c r="A247" s="101" t="s">
        <v>1269</v>
      </c>
      <c r="B247" s="99"/>
      <c r="C247" s="99" t="s">
        <v>1302</v>
      </c>
      <c r="D247" s="99" t="s">
        <v>1306</v>
      </c>
      <c r="E247" s="99" t="s">
        <v>1176</v>
      </c>
      <c r="F247" s="101">
        <v>1.0</v>
      </c>
      <c r="G247" s="84">
        <v>1125000.0</v>
      </c>
      <c r="H247" s="102"/>
      <c r="I247" s="84">
        <f t="shared" si="31"/>
        <v>1125000</v>
      </c>
      <c r="J247" s="84">
        <f>sum(I241:I247)</f>
        <v>13755000</v>
      </c>
      <c r="K247" s="99" t="s">
        <v>1110</v>
      </c>
      <c r="L247" s="99"/>
    </row>
    <row r="248">
      <c r="A248" s="109"/>
      <c r="B248" s="105"/>
      <c r="C248" s="105"/>
      <c r="D248" s="105"/>
      <c r="E248" s="105"/>
      <c r="F248" s="105"/>
      <c r="G248" s="113"/>
      <c r="H248" s="105"/>
      <c r="I248" s="105"/>
      <c r="J248" s="99"/>
      <c r="K248" s="99"/>
      <c r="L248" s="99"/>
    </row>
    <row r="249">
      <c r="A249" s="101" t="s">
        <v>1303</v>
      </c>
      <c r="B249" s="99"/>
      <c r="C249" s="99" t="s">
        <v>1133</v>
      </c>
      <c r="D249" s="99" t="s">
        <v>1255</v>
      </c>
      <c r="E249" s="99" t="s">
        <v>1176</v>
      </c>
      <c r="F249" s="101">
        <v>1.0</v>
      </c>
      <c r="G249" s="84">
        <v>1125000.0</v>
      </c>
      <c r="H249" s="102"/>
      <c r="I249" s="84">
        <f t="shared" ref="I249:I251" si="32">F249*G249</f>
        <v>1125000</v>
      </c>
      <c r="J249" s="99"/>
      <c r="K249" s="99" t="s">
        <v>17</v>
      </c>
      <c r="L249" s="99"/>
    </row>
    <row r="250">
      <c r="A250" s="101" t="s">
        <v>1303</v>
      </c>
      <c r="B250" s="99"/>
      <c r="C250" s="99" t="s">
        <v>1302</v>
      </c>
      <c r="D250" s="99" t="s">
        <v>1301</v>
      </c>
      <c r="E250" s="99" t="s">
        <v>1176</v>
      </c>
      <c r="F250" s="101">
        <v>2.0</v>
      </c>
      <c r="G250" s="84">
        <v>1125000.0</v>
      </c>
      <c r="H250" s="102"/>
      <c r="I250" s="84">
        <f t="shared" si="32"/>
        <v>2250000</v>
      </c>
      <c r="J250" s="99"/>
      <c r="K250" s="99" t="s">
        <v>17</v>
      </c>
      <c r="L250" s="99"/>
    </row>
    <row r="251">
      <c r="A251" s="101" t="s">
        <v>1307</v>
      </c>
      <c r="B251" s="99"/>
      <c r="C251" s="99" t="s">
        <v>1302</v>
      </c>
      <c r="D251" s="99" t="s">
        <v>1306</v>
      </c>
      <c r="E251" s="99" t="s">
        <v>1176</v>
      </c>
      <c r="F251" s="101">
        <v>2.0</v>
      </c>
      <c r="G251" s="84">
        <v>1125000.0</v>
      </c>
      <c r="H251" s="102"/>
      <c r="I251" s="84">
        <f t="shared" si="32"/>
        <v>2250000</v>
      </c>
      <c r="J251" s="84">
        <f>sum(I249:I251)</f>
        <v>5625000</v>
      </c>
      <c r="K251" s="99" t="s">
        <v>1110</v>
      </c>
      <c r="L251" s="99"/>
    </row>
    <row r="252">
      <c r="A252" s="101"/>
      <c r="B252" s="99"/>
      <c r="C252" s="99"/>
      <c r="D252" s="99"/>
      <c r="E252" s="99"/>
      <c r="F252" s="99"/>
      <c r="G252" s="102"/>
      <c r="H252" s="102"/>
      <c r="I252" s="102"/>
      <c r="J252" s="99"/>
      <c r="K252" s="99"/>
      <c r="L252" s="99"/>
    </row>
    <row r="253">
      <c r="A253" s="101" t="s">
        <v>1265</v>
      </c>
      <c r="B253" s="99"/>
      <c r="C253" s="99" t="s">
        <v>1302</v>
      </c>
      <c r="D253" s="99" t="s">
        <v>1308</v>
      </c>
      <c r="E253" s="99" t="s">
        <v>109</v>
      </c>
      <c r="F253" s="101">
        <v>150.0</v>
      </c>
      <c r="G253" s="84">
        <v>17500.0</v>
      </c>
      <c r="H253" s="102"/>
      <c r="I253" s="128">
        <f t="shared" ref="I253:I264" si="33">F253*G253</f>
        <v>2625000</v>
      </c>
      <c r="J253" s="99"/>
      <c r="K253" s="99" t="s">
        <v>17</v>
      </c>
      <c r="L253" s="99"/>
    </row>
    <row r="254">
      <c r="A254" s="101" t="s">
        <v>1269</v>
      </c>
      <c r="B254" s="99"/>
      <c r="C254" s="99" t="s">
        <v>1302</v>
      </c>
      <c r="D254" s="99" t="s">
        <v>1143</v>
      </c>
      <c r="E254" s="99" t="s">
        <v>109</v>
      </c>
      <c r="F254" s="101">
        <v>144.0</v>
      </c>
      <c r="G254" s="84">
        <v>29500.0</v>
      </c>
      <c r="H254" s="102"/>
      <c r="I254" s="128">
        <f t="shared" si="33"/>
        <v>4248000</v>
      </c>
      <c r="J254" s="99"/>
      <c r="K254" s="99" t="s">
        <v>17</v>
      </c>
      <c r="L254" s="99"/>
    </row>
    <row r="255">
      <c r="A255" s="101" t="s">
        <v>1269</v>
      </c>
      <c r="B255" s="99"/>
      <c r="C255" s="99" t="s">
        <v>1302</v>
      </c>
      <c r="D255" s="99" t="s">
        <v>1309</v>
      </c>
      <c r="E255" s="99" t="s">
        <v>109</v>
      </c>
      <c r="F255" s="101">
        <v>66.5</v>
      </c>
      <c r="G255" s="84">
        <v>69000.0</v>
      </c>
      <c r="H255" s="102"/>
      <c r="I255" s="128">
        <f t="shared" si="33"/>
        <v>4588500</v>
      </c>
      <c r="J255" s="99"/>
      <c r="K255" s="99" t="s">
        <v>17</v>
      </c>
      <c r="L255" s="99"/>
    </row>
    <row r="256">
      <c r="A256" s="101" t="s">
        <v>1270</v>
      </c>
      <c r="B256" s="99"/>
      <c r="C256" s="99" t="s">
        <v>1302</v>
      </c>
      <c r="D256" s="99" t="s">
        <v>1283</v>
      </c>
      <c r="E256" s="99" t="s">
        <v>69</v>
      </c>
      <c r="F256" s="101">
        <v>1385.0</v>
      </c>
      <c r="G256" s="84">
        <v>1650.0</v>
      </c>
      <c r="H256" s="102"/>
      <c r="I256" s="128">
        <f t="shared" si="33"/>
        <v>2285250</v>
      </c>
      <c r="J256" s="99"/>
      <c r="K256" s="99" t="s">
        <v>17</v>
      </c>
      <c r="L256" s="99"/>
    </row>
    <row r="257">
      <c r="A257" s="101"/>
      <c r="B257" s="99"/>
      <c r="C257" s="99" t="s">
        <v>1302</v>
      </c>
      <c r="D257" s="99" t="s">
        <v>1310</v>
      </c>
      <c r="E257" s="99" t="s">
        <v>109</v>
      </c>
      <c r="F257" s="101">
        <v>154.0</v>
      </c>
      <c r="G257" s="84">
        <v>28500.0</v>
      </c>
      <c r="H257" s="102"/>
      <c r="I257" s="128">
        <f t="shared" si="33"/>
        <v>4389000</v>
      </c>
      <c r="J257" s="99"/>
      <c r="K257" s="99" t="s">
        <v>17</v>
      </c>
      <c r="L257" s="99"/>
    </row>
    <row r="258">
      <c r="A258" s="101"/>
      <c r="B258" s="99"/>
      <c r="C258" s="99" t="s">
        <v>1302</v>
      </c>
      <c r="D258" s="99" t="s">
        <v>1150</v>
      </c>
      <c r="E258" s="99" t="s">
        <v>109</v>
      </c>
      <c r="F258" s="101">
        <v>54.0</v>
      </c>
      <c r="G258" s="84">
        <v>69000.0</v>
      </c>
      <c r="H258" s="102"/>
      <c r="I258" s="128">
        <f t="shared" si="33"/>
        <v>3726000</v>
      </c>
      <c r="J258" s="99"/>
      <c r="K258" s="99" t="s">
        <v>17</v>
      </c>
      <c r="L258" s="99"/>
    </row>
    <row r="259">
      <c r="A259" s="101" t="s">
        <v>1270</v>
      </c>
      <c r="B259" s="99"/>
      <c r="C259" s="99" t="s">
        <v>1302</v>
      </c>
      <c r="D259" s="99" t="s">
        <v>1289</v>
      </c>
      <c r="E259" s="99" t="s">
        <v>109</v>
      </c>
      <c r="F259" s="101">
        <v>15.0</v>
      </c>
      <c r="G259" s="84">
        <v>29500.0</v>
      </c>
      <c r="H259" s="102"/>
      <c r="I259" s="128">
        <f t="shared" si="33"/>
        <v>442500</v>
      </c>
      <c r="J259" s="99"/>
      <c r="K259" s="99" t="s">
        <v>1311</v>
      </c>
      <c r="L259" s="99"/>
    </row>
    <row r="260">
      <c r="A260" s="101" t="s">
        <v>1270</v>
      </c>
      <c r="B260" s="99"/>
      <c r="C260" s="99" t="s">
        <v>1302</v>
      </c>
      <c r="D260" s="99" t="s">
        <v>1235</v>
      </c>
      <c r="E260" s="99" t="s">
        <v>109</v>
      </c>
      <c r="F260" s="101">
        <v>179.5</v>
      </c>
      <c r="G260" s="84">
        <v>11500.0</v>
      </c>
      <c r="H260" s="102"/>
      <c r="I260" s="128">
        <f t="shared" si="33"/>
        <v>2064250</v>
      </c>
      <c r="J260" s="99"/>
      <c r="K260" s="99" t="s">
        <v>17</v>
      </c>
      <c r="L260" s="99"/>
    </row>
    <row r="261">
      <c r="A261" s="101"/>
      <c r="B261" s="99"/>
      <c r="C261" s="99" t="s">
        <v>1302</v>
      </c>
      <c r="D261" s="99" t="s">
        <v>1312</v>
      </c>
      <c r="E261" s="99" t="s">
        <v>109</v>
      </c>
      <c r="F261" s="101">
        <v>58.65</v>
      </c>
      <c r="G261" s="84">
        <v>17500.0</v>
      </c>
      <c r="H261" s="102"/>
      <c r="I261" s="128">
        <f t="shared" si="33"/>
        <v>1026375</v>
      </c>
      <c r="J261" s="99"/>
      <c r="K261" s="99" t="s">
        <v>17</v>
      </c>
      <c r="L261" s="99"/>
    </row>
    <row r="262">
      <c r="A262" s="101" t="s">
        <v>1303</v>
      </c>
      <c r="B262" s="99"/>
      <c r="C262" s="99" t="s">
        <v>1302</v>
      </c>
      <c r="D262" s="99" t="s">
        <v>1141</v>
      </c>
      <c r="E262" s="99" t="s">
        <v>69</v>
      </c>
      <c r="F262" s="101">
        <v>550.0</v>
      </c>
      <c r="G262" s="84">
        <v>1650.0</v>
      </c>
      <c r="H262" s="102"/>
      <c r="I262" s="128">
        <f t="shared" si="33"/>
        <v>907500</v>
      </c>
      <c r="J262" s="99"/>
      <c r="K262" s="99" t="s">
        <v>17</v>
      </c>
      <c r="L262" s="99"/>
    </row>
    <row r="263">
      <c r="A263" s="101" t="s">
        <v>1313</v>
      </c>
      <c r="B263" s="99"/>
      <c r="C263" s="99" t="s">
        <v>1302</v>
      </c>
      <c r="D263" s="99" t="s">
        <v>1284</v>
      </c>
      <c r="E263" s="99" t="s">
        <v>109</v>
      </c>
      <c r="F263" s="101">
        <v>120.0</v>
      </c>
      <c r="G263" s="84">
        <v>15500.0</v>
      </c>
      <c r="H263" s="102"/>
      <c r="I263" s="128">
        <f t="shared" si="33"/>
        <v>1860000</v>
      </c>
      <c r="J263" s="99"/>
      <c r="K263" s="99" t="s">
        <v>17</v>
      </c>
      <c r="L263" s="99"/>
    </row>
    <row r="264">
      <c r="A264" s="101" t="s">
        <v>1314</v>
      </c>
      <c r="B264" s="99"/>
      <c r="C264" s="99" t="s">
        <v>1302</v>
      </c>
      <c r="D264" s="99" t="s">
        <v>1284</v>
      </c>
      <c r="E264" s="99" t="s">
        <v>109</v>
      </c>
      <c r="F264" s="101">
        <v>60.65</v>
      </c>
      <c r="G264" s="84">
        <v>15500.0</v>
      </c>
      <c r="H264" s="102"/>
      <c r="I264" s="128">
        <f t="shared" si="33"/>
        <v>940075</v>
      </c>
      <c r="J264" s="84">
        <f>sum(I253:I264)</f>
        <v>29102450</v>
      </c>
      <c r="K264" s="99" t="s">
        <v>1110</v>
      </c>
      <c r="L264" s="99"/>
    </row>
    <row r="265">
      <c r="A265" s="101"/>
      <c r="B265" s="99"/>
      <c r="C265" s="99"/>
      <c r="D265" s="99"/>
      <c r="E265" s="99"/>
      <c r="F265" s="99"/>
      <c r="G265" s="102"/>
      <c r="H265" s="102"/>
      <c r="I265" s="102"/>
      <c r="J265" s="99"/>
      <c r="K265" s="99"/>
      <c r="L265" s="99"/>
    </row>
    <row r="266">
      <c r="A266" s="101"/>
      <c r="B266" s="99"/>
      <c r="C266" s="99"/>
      <c r="D266" s="99"/>
      <c r="E266" s="99"/>
      <c r="F266" s="99"/>
      <c r="G266" s="102"/>
      <c r="H266" s="102"/>
      <c r="I266" s="102"/>
      <c r="J266" s="99"/>
      <c r="K266" s="99"/>
      <c r="L266" s="99"/>
    </row>
    <row r="267">
      <c r="A267" s="101" t="s">
        <v>1314</v>
      </c>
      <c r="B267" s="99"/>
      <c r="C267" s="99" t="s">
        <v>1315</v>
      </c>
      <c r="D267" s="99" t="s">
        <v>1316</v>
      </c>
      <c r="E267" s="99" t="s">
        <v>133</v>
      </c>
      <c r="F267" s="101">
        <v>85.0</v>
      </c>
      <c r="G267" s="84">
        <v>12000.0</v>
      </c>
      <c r="H267" s="102"/>
      <c r="I267" s="84">
        <f t="shared" ref="I267:I268" si="34">F267*G267</f>
        <v>1020000</v>
      </c>
      <c r="J267" s="99"/>
      <c r="K267" s="99"/>
      <c r="L267" s="99"/>
    </row>
    <row r="268">
      <c r="A268" s="101"/>
      <c r="B268" s="99"/>
      <c r="C268" s="99" t="s">
        <v>1315</v>
      </c>
      <c r="D268" s="99" t="s">
        <v>1317</v>
      </c>
      <c r="E268" s="99" t="s">
        <v>133</v>
      </c>
      <c r="F268" s="101">
        <v>80.0</v>
      </c>
      <c r="G268" s="84">
        <v>12000.0</v>
      </c>
      <c r="H268" s="102"/>
      <c r="I268" s="84">
        <f t="shared" si="34"/>
        <v>960000</v>
      </c>
      <c r="J268" s="84">
        <f>SUM(I267:I268)</f>
        <v>1980000</v>
      </c>
      <c r="K268" s="99" t="s">
        <v>1110</v>
      </c>
      <c r="L268" s="99"/>
    </row>
    <row r="269">
      <c r="A269" s="101"/>
      <c r="B269" s="99"/>
      <c r="C269" s="99"/>
      <c r="D269" s="99"/>
      <c r="E269" s="99"/>
      <c r="F269" s="99"/>
      <c r="G269" s="102"/>
      <c r="H269" s="102"/>
      <c r="I269" s="102"/>
      <c r="J269" s="99"/>
      <c r="K269" s="99"/>
      <c r="L269" s="99"/>
    </row>
    <row r="270">
      <c r="A270" s="101" t="s">
        <v>1318</v>
      </c>
      <c r="B270" s="99"/>
      <c r="C270" s="99" t="s">
        <v>1193</v>
      </c>
      <c r="D270" s="99" t="s">
        <v>1319</v>
      </c>
      <c r="E270" s="99" t="s">
        <v>16</v>
      </c>
      <c r="F270" s="101">
        <v>165.0</v>
      </c>
      <c r="G270" s="84">
        <v>33500.0</v>
      </c>
      <c r="H270" s="102"/>
      <c r="I270" s="84">
        <f t="shared" ref="I270:I273" si="35">F270*G270</f>
        <v>5527500</v>
      </c>
      <c r="J270" s="99"/>
      <c r="K270" s="99"/>
      <c r="L270" s="99"/>
    </row>
    <row r="271">
      <c r="A271" s="101"/>
      <c r="B271" s="99"/>
      <c r="C271" s="99" t="s">
        <v>1193</v>
      </c>
      <c r="D271" s="99" t="s">
        <v>1320</v>
      </c>
      <c r="E271" s="99" t="s">
        <v>16</v>
      </c>
      <c r="F271" s="101">
        <v>238.5</v>
      </c>
      <c r="G271" s="84">
        <v>31500.0</v>
      </c>
      <c r="H271" s="102"/>
      <c r="I271" s="84">
        <f t="shared" si="35"/>
        <v>7512750</v>
      </c>
      <c r="J271" s="99"/>
      <c r="K271" s="99"/>
      <c r="L271" s="99"/>
    </row>
    <row r="272">
      <c r="A272" s="101"/>
      <c r="B272" s="99"/>
      <c r="C272" s="99" t="s">
        <v>1193</v>
      </c>
      <c r="D272" s="99" t="s">
        <v>1321</v>
      </c>
      <c r="E272" s="99" t="s">
        <v>16</v>
      </c>
      <c r="F272" s="101">
        <v>20.7</v>
      </c>
      <c r="G272" s="84">
        <v>21000.0</v>
      </c>
      <c r="H272" s="102"/>
      <c r="I272" s="84">
        <f t="shared" si="35"/>
        <v>434700</v>
      </c>
      <c r="J272" s="99"/>
      <c r="K272" s="99"/>
      <c r="L272" s="99"/>
    </row>
    <row r="273">
      <c r="A273" s="101"/>
      <c r="B273" s="99"/>
      <c r="C273" s="99" t="s">
        <v>1193</v>
      </c>
      <c r="D273" s="99" t="s">
        <v>1201</v>
      </c>
      <c r="E273" s="99" t="s">
        <v>16</v>
      </c>
      <c r="F273" s="101">
        <v>212.0</v>
      </c>
      <c r="G273" s="84">
        <v>33500.0</v>
      </c>
      <c r="H273" s="102"/>
      <c r="I273" s="84">
        <f t="shared" si="35"/>
        <v>7102000</v>
      </c>
      <c r="J273" s="84">
        <f>SUM(I270:I273)</f>
        <v>20576950</v>
      </c>
      <c r="K273" s="99" t="s">
        <v>1110</v>
      </c>
      <c r="L273" s="99"/>
    </row>
    <row r="274">
      <c r="A274" s="101"/>
      <c r="B274" s="99"/>
      <c r="C274" s="99"/>
      <c r="D274" s="99"/>
      <c r="E274" s="99"/>
      <c r="F274" s="99"/>
      <c r="G274" s="102"/>
      <c r="H274" s="102"/>
      <c r="I274" s="102"/>
      <c r="J274" s="99"/>
      <c r="K274" s="99"/>
      <c r="L274" s="99"/>
    </row>
    <row r="275">
      <c r="A275" s="101"/>
      <c r="B275" s="99"/>
      <c r="C275" s="99"/>
      <c r="D275" s="99"/>
      <c r="E275" s="99"/>
      <c r="F275" s="99"/>
      <c r="G275" s="102"/>
      <c r="H275" s="102"/>
      <c r="I275" s="102"/>
      <c r="J275" s="99"/>
      <c r="K275" s="99"/>
      <c r="L275" s="99"/>
    </row>
    <row r="276">
      <c r="A276" s="101" t="s">
        <v>1322</v>
      </c>
      <c r="B276" s="99"/>
      <c r="C276" s="99" t="s">
        <v>1130</v>
      </c>
      <c r="D276" s="99" t="s">
        <v>1196</v>
      </c>
      <c r="E276" s="99" t="s">
        <v>133</v>
      </c>
      <c r="F276" s="101">
        <v>105.0</v>
      </c>
      <c r="G276" s="84">
        <v>12000.0</v>
      </c>
      <c r="H276" s="102"/>
      <c r="I276" s="84">
        <f t="shared" ref="I276:I278" si="36">F276*G276</f>
        <v>1260000</v>
      </c>
      <c r="J276" s="99"/>
      <c r="K276" s="99"/>
      <c r="L276" s="99"/>
    </row>
    <row r="277">
      <c r="A277" s="101"/>
      <c r="B277" s="99"/>
      <c r="C277" s="99" t="s">
        <v>1130</v>
      </c>
      <c r="D277" s="99" t="s">
        <v>107</v>
      </c>
      <c r="E277" s="99" t="s">
        <v>133</v>
      </c>
      <c r="F277" s="101">
        <v>120.0</v>
      </c>
      <c r="G277" s="84">
        <v>12000.0</v>
      </c>
      <c r="H277" s="102"/>
      <c r="I277" s="84">
        <f t="shared" si="36"/>
        <v>1440000</v>
      </c>
      <c r="J277" s="99"/>
      <c r="K277" s="99"/>
      <c r="L277" s="99"/>
    </row>
    <row r="278">
      <c r="A278" s="101"/>
      <c r="B278" s="99"/>
      <c r="C278" s="99" t="s">
        <v>1130</v>
      </c>
      <c r="D278" s="99" t="s">
        <v>1132</v>
      </c>
      <c r="E278" s="99" t="s">
        <v>133</v>
      </c>
      <c r="F278" s="101">
        <v>54.0</v>
      </c>
      <c r="G278" s="84">
        <v>12000.0</v>
      </c>
      <c r="H278" s="102"/>
      <c r="I278" s="84">
        <f t="shared" si="36"/>
        <v>648000</v>
      </c>
      <c r="J278" s="84">
        <f>SUM(I276:I278)</f>
        <v>3348000</v>
      </c>
      <c r="K278" s="99" t="s">
        <v>1110</v>
      </c>
      <c r="L278" s="99"/>
    </row>
    <row r="279">
      <c r="A279" s="101"/>
      <c r="B279" s="99"/>
      <c r="C279" s="99"/>
      <c r="D279" s="99"/>
      <c r="E279" s="99"/>
      <c r="F279" s="99"/>
      <c r="G279" s="102"/>
      <c r="H279" s="102"/>
      <c r="I279" s="102"/>
      <c r="J279" s="99"/>
      <c r="K279" s="99"/>
      <c r="L279" s="99"/>
    </row>
    <row r="280">
      <c r="A280" s="101"/>
      <c r="B280" s="99"/>
      <c r="C280" s="99"/>
      <c r="D280" s="99"/>
      <c r="E280" s="99"/>
      <c r="F280" s="99"/>
      <c r="G280" s="102"/>
      <c r="H280" s="102"/>
      <c r="I280" s="102"/>
      <c r="J280" s="99"/>
      <c r="K280" s="99"/>
      <c r="L280" s="99"/>
    </row>
    <row r="281">
      <c r="A281" s="101" t="s">
        <v>1322</v>
      </c>
      <c r="B281" s="99"/>
      <c r="C281" s="99" t="s">
        <v>1193</v>
      </c>
      <c r="D281" s="99" t="s">
        <v>1323</v>
      </c>
      <c r="E281" s="99" t="s">
        <v>109</v>
      </c>
      <c r="F281" s="101">
        <v>275.0</v>
      </c>
      <c r="G281" s="84">
        <v>31500.0</v>
      </c>
      <c r="H281" s="102"/>
      <c r="I281" s="84">
        <f>F281*G281</f>
        <v>8662500</v>
      </c>
      <c r="J281" s="84">
        <f>I281</f>
        <v>8662500</v>
      </c>
      <c r="K281" s="99" t="s">
        <v>1110</v>
      </c>
      <c r="L281" s="99"/>
    </row>
    <row r="282">
      <c r="A282" s="101"/>
      <c r="B282" s="99"/>
      <c r="C282" s="99"/>
      <c r="D282" s="99"/>
      <c r="E282" s="99"/>
      <c r="F282" s="99"/>
      <c r="G282" s="102"/>
      <c r="H282" s="102"/>
      <c r="I282" s="102"/>
      <c r="J282" s="99"/>
      <c r="K282" s="99"/>
      <c r="L282" s="99"/>
    </row>
    <row r="283">
      <c r="A283" s="101" t="s">
        <v>1322</v>
      </c>
      <c r="B283" s="99"/>
      <c r="C283" s="99" t="s">
        <v>1166</v>
      </c>
      <c r="D283" s="99" t="s">
        <v>1324</v>
      </c>
      <c r="E283" s="99" t="s">
        <v>109</v>
      </c>
      <c r="F283" s="101">
        <v>160.0</v>
      </c>
      <c r="G283" s="84">
        <v>24500.0</v>
      </c>
      <c r="H283" s="102"/>
      <c r="I283" s="84">
        <f t="shared" ref="I283:I287" si="37">F283*G283</f>
        <v>3920000</v>
      </c>
      <c r="J283" s="99"/>
      <c r="K283" s="99"/>
      <c r="L283" s="99"/>
    </row>
    <row r="284">
      <c r="A284" s="101"/>
      <c r="B284" s="99"/>
      <c r="C284" s="99" t="s">
        <v>1166</v>
      </c>
      <c r="D284" s="99" t="s">
        <v>1325</v>
      </c>
      <c r="E284" s="99" t="s">
        <v>69</v>
      </c>
      <c r="F284" s="101">
        <v>2080.0</v>
      </c>
      <c r="G284" s="84">
        <v>1800.0</v>
      </c>
      <c r="H284" s="102"/>
      <c r="I284" s="84">
        <f t="shared" si="37"/>
        <v>3744000</v>
      </c>
      <c r="J284" s="99"/>
      <c r="K284" s="99"/>
      <c r="L284" s="99"/>
    </row>
    <row r="285">
      <c r="A285" s="101"/>
      <c r="B285" s="99"/>
      <c r="C285" s="99" t="s">
        <v>1166</v>
      </c>
      <c r="D285" s="99" t="s">
        <v>1325</v>
      </c>
      <c r="E285" s="99" t="s">
        <v>69</v>
      </c>
      <c r="F285" s="101">
        <v>1250.0</v>
      </c>
      <c r="G285" s="84">
        <v>1800.0</v>
      </c>
      <c r="H285" s="102"/>
      <c r="I285" s="84">
        <f t="shared" si="37"/>
        <v>2250000</v>
      </c>
      <c r="J285" s="99"/>
      <c r="K285" s="99"/>
      <c r="L285" s="99"/>
    </row>
    <row r="286">
      <c r="A286" s="101"/>
      <c r="B286" s="99"/>
      <c r="C286" s="99" t="s">
        <v>1166</v>
      </c>
      <c r="D286" s="99" t="s">
        <v>1326</v>
      </c>
      <c r="E286" s="99" t="s">
        <v>109</v>
      </c>
      <c r="F286" s="101">
        <v>120.0</v>
      </c>
      <c r="G286" s="84">
        <v>18000.0</v>
      </c>
      <c r="H286" s="102"/>
      <c r="I286" s="84">
        <f t="shared" si="37"/>
        <v>2160000</v>
      </c>
      <c r="J286" s="99"/>
      <c r="K286" s="99"/>
      <c r="L286" s="99"/>
    </row>
    <row r="287">
      <c r="A287" s="101"/>
      <c r="B287" s="99"/>
      <c r="C287" s="99" t="s">
        <v>1166</v>
      </c>
      <c r="D287" s="99" t="s">
        <v>1325</v>
      </c>
      <c r="E287" s="99" t="s">
        <v>69</v>
      </c>
      <c r="F287" s="101">
        <v>600.0</v>
      </c>
      <c r="G287" s="84">
        <v>1800.0</v>
      </c>
      <c r="H287" s="102"/>
      <c r="I287" s="84">
        <f t="shared" si="37"/>
        <v>1080000</v>
      </c>
      <c r="J287" s="84">
        <f>sum(I283:I287)</f>
        <v>13154000</v>
      </c>
      <c r="K287" s="99" t="s">
        <v>1110</v>
      </c>
      <c r="L287" s="99"/>
    </row>
    <row r="288">
      <c r="A288" s="101"/>
      <c r="B288" s="99"/>
      <c r="C288" s="99"/>
      <c r="D288" s="99"/>
      <c r="E288" s="99"/>
      <c r="F288" s="99"/>
      <c r="G288" s="102"/>
      <c r="H288" s="102"/>
      <c r="I288" s="102"/>
      <c r="J288" s="99"/>
      <c r="K288" s="99"/>
      <c r="L288" s="99"/>
    </row>
    <row r="289">
      <c r="A289" s="101" t="s">
        <v>1327</v>
      </c>
      <c r="B289" s="99"/>
      <c r="C289" s="99" t="s">
        <v>1166</v>
      </c>
      <c r="D289" s="99" t="s">
        <v>1328</v>
      </c>
      <c r="E289" s="99" t="s">
        <v>109</v>
      </c>
      <c r="F289" s="101">
        <v>122.0</v>
      </c>
      <c r="G289" s="84">
        <v>18500.0</v>
      </c>
      <c r="H289" s="102"/>
      <c r="I289" s="84">
        <f t="shared" ref="I289:I301" si="38">F289*G289</f>
        <v>2257000</v>
      </c>
      <c r="J289" s="99"/>
      <c r="K289" s="99" t="s">
        <v>17</v>
      </c>
      <c r="L289" s="99">
        <v>135.0</v>
      </c>
    </row>
    <row r="290">
      <c r="A290" s="101"/>
      <c r="B290" s="99"/>
      <c r="C290" s="99" t="s">
        <v>1166</v>
      </c>
      <c r="D290" s="99" t="s">
        <v>1329</v>
      </c>
      <c r="E290" s="99" t="s">
        <v>109</v>
      </c>
      <c r="F290" s="101">
        <v>240.0</v>
      </c>
      <c r="G290" s="84">
        <v>18000.0</v>
      </c>
      <c r="H290" s="102"/>
      <c r="I290" s="84">
        <f t="shared" si="38"/>
        <v>4320000</v>
      </c>
      <c r="J290" s="99"/>
      <c r="K290" s="105" t="s">
        <v>17</v>
      </c>
      <c r="L290" s="99"/>
    </row>
    <row r="291">
      <c r="A291" s="101"/>
      <c r="B291" s="99"/>
      <c r="C291" s="99" t="s">
        <v>1166</v>
      </c>
      <c r="D291" s="99" t="s">
        <v>1330</v>
      </c>
      <c r="E291" s="99" t="s">
        <v>109</v>
      </c>
      <c r="F291" s="101">
        <v>195.0</v>
      </c>
      <c r="G291" s="84">
        <v>12500.0</v>
      </c>
      <c r="H291" s="102"/>
      <c r="I291" s="84">
        <f t="shared" si="38"/>
        <v>2437500</v>
      </c>
      <c r="J291" s="99"/>
      <c r="K291" s="99" t="s">
        <v>17</v>
      </c>
      <c r="L291" s="99"/>
    </row>
    <row r="292">
      <c r="A292" s="101"/>
      <c r="B292" s="99"/>
      <c r="C292" s="99" t="s">
        <v>1166</v>
      </c>
      <c r="D292" s="99" t="s">
        <v>1331</v>
      </c>
      <c r="E292" s="99" t="s">
        <v>109</v>
      </c>
      <c r="F292" s="101">
        <v>150.0</v>
      </c>
      <c r="G292" s="84">
        <v>18000.0</v>
      </c>
      <c r="H292" s="102"/>
      <c r="I292" s="84">
        <f t="shared" si="38"/>
        <v>2700000</v>
      </c>
      <c r="J292" s="99"/>
      <c r="K292" s="99" t="s">
        <v>17</v>
      </c>
      <c r="L292" s="99"/>
    </row>
    <row r="293">
      <c r="A293" s="101" t="s">
        <v>1332</v>
      </c>
      <c r="B293" s="99"/>
      <c r="C293" s="99" t="s">
        <v>1166</v>
      </c>
      <c r="D293" s="99" t="s">
        <v>1333</v>
      </c>
      <c r="E293" s="99" t="s">
        <v>109</v>
      </c>
      <c r="F293" s="101">
        <v>100.0</v>
      </c>
      <c r="G293" s="84">
        <v>18500.0</v>
      </c>
      <c r="H293" s="102"/>
      <c r="I293" s="84">
        <f t="shared" si="38"/>
        <v>1850000</v>
      </c>
      <c r="J293" s="99"/>
      <c r="K293" s="99" t="s">
        <v>17</v>
      </c>
      <c r="L293" s="99">
        <v>120.0</v>
      </c>
    </row>
    <row r="294">
      <c r="A294" s="101"/>
      <c r="B294" s="99"/>
      <c r="C294" s="99" t="s">
        <v>1166</v>
      </c>
      <c r="D294" s="99" t="s">
        <v>1334</v>
      </c>
      <c r="E294" s="99" t="s">
        <v>109</v>
      </c>
      <c r="F294" s="101">
        <v>290.0</v>
      </c>
      <c r="G294" s="84">
        <v>18500.0</v>
      </c>
      <c r="H294" s="102"/>
      <c r="I294" s="84">
        <f t="shared" si="38"/>
        <v>5365000</v>
      </c>
      <c r="J294" s="99"/>
      <c r="K294" s="99" t="s">
        <v>17</v>
      </c>
      <c r="L294" s="99"/>
    </row>
    <row r="295">
      <c r="A295" s="101"/>
      <c r="B295" s="99"/>
      <c r="C295" s="99" t="s">
        <v>1166</v>
      </c>
      <c r="D295" s="99" t="s">
        <v>1335</v>
      </c>
      <c r="E295" s="99" t="s">
        <v>109</v>
      </c>
      <c r="F295" s="101">
        <v>218.5</v>
      </c>
      <c r="G295" s="84">
        <v>18500.0</v>
      </c>
      <c r="H295" s="102"/>
      <c r="I295" s="84">
        <f t="shared" si="38"/>
        <v>4042250</v>
      </c>
      <c r="J295" s="99"/>
      <c r="K295" s="99" t="s">
        <v>17</v>
      </c>
      <c r="L295" s="99"/>
    </row>
    <row r="296">
      <c r="A296" s="101"/>
      <c r="B296" s="99"/>
      <c r="C296" s="99" t="s">
        <v>1166</v>
      </c>
      <c r="D296" s="99" t="s">
        <v>1336</v>
      </c>
      <c r="E296" s="99" t="s">
        <v>109</v>
      </c>
      <c r="F296" s="101">
        <v>139.0</v>
      </c>
      <c r="G296" s="84">
        <v>25000.0</v>
      </c>
      <c r="H296" s="102"/>
      <c r="I296" s="84">
        <f t="shared" si="38"/>
        <v>3475000</v>
      </c>
      <c r="J296" s="99"/>
      <c r="K296" s="99" t="s">
        <v>17</v>
      </c>
      <c r="L296" s="99">
        <v>138.7</v>
      </c>
    </row>
    <row r="297">
      <c r="A297" s="101" t="s">
        <v>1337</v>
      </c>
      <c r="B297" s="99"/>
      <c r="C297" s="99" t="s">
        <v>1166</v>
      </c>
      <c r="D297" s="99" t="s">
        <v>1114</v>
      </c>
      <c r="E297" s="99" t="s">
        <v>109</v>
      </c>
      <c r="F297" s="101">
        <v>4685.0</v>
      </c>
      <c r="G297" s="84">
        <v>1800.0</v>
      </c>
      <c r="H297" s="102"/>
      <c r="I297" s="84">
        <f t="shared" si="38"/>
        <v>8433000</v>
      </c>
      <c r="J297" s="99"/>
      <c r="K297" s="99" t="s">
        <v>17</v>
      </c>
      <c r="L297" s="99" t="s">
        <v>1338</v>
      </c>
    </row>
    <row r="298">
      <c r="A298" s="101"/>
      <c r="B298" s="99"/>
      <c r="C298" s="99" t="s">
        <v>1166</v>
      </c>
      <c r="D298" s="99" t="s">
        <v>1339</v>
      </c>
      <c r="E298" s="99" t="s">
        <v>109</v>
      </c>
      <c r="F298" s="101">
        <v>98.0</v>
      </c>
      <c r="G298" s="84">
        <v>25000.0</v>
      </c>
      <c r="H298" s="102"/>
      <c r="I298" s="84">
        <f t="shared" si="38"/>
        <v>2450000</v>
      </c>
      <c r="J298" s="99"/>
      <c r="K298" s="99" t="s">
        <v>17</v>
      </c>
      <c r="L298" s="99"/>
    </row>
    <row r="299">
      <c r="A299" s="101"/>
      <c r="B299" s="99"/>
      <c r="C299" s="99" t="s">
        <v>1166</v>
      </c>
      <c r="D299" s="99" t="s">
        <v>1209</v>
      </c>
      <c r="E299" s="99" t="s">
        <v>109</v>
      </c>
      <c r="F299" s="101">
        <v>30.0</v>
      </c>
      <c r="G299" s="84">
        <v>590000.0</v>
      </c>
      <c r="H299" s="102"/>
      <c r="I299" s="84">
        <f t="shared" si="38"/>
        <v>17700000</v>
      </c>
      <c r="J299" s="99"/>
      <c r="K299" s="99" t="s">
        <v>17</v>
      </c>
      <c r="L299" s="99"/>
    </row>
    <row r="300">
      <c r="A300" s="101"/>
      <c r="B300" s="99"/>
      <c r="C300" s="99" t="s">
        <v>1166</v>
      </c>
      <c r="D300" s="99" t="s">
        <v>1329</v>
      </c>
      <c r="E300" s="99" t="s">
        <v>109</v>
      </c>
      <c r="F300" s="101">
        <v>286.5</v>
      </c>
      <c r="G300" s="84">
        <v>18000.0</v>
      </c>
      <c r="H300" s="102"/>
      <c r="I300" s="84">
        <f t="shared" si="38"/>
        <v>5157000</v>
      </c>
      <c r="J300" s="99"/>
      <c r="K300" s="99" t="s">
        <v>17</v>
      </c>
      <c r="L300" s="99"/>
    </row>
    <row r="301">
      <c r="A301" s="101" t="s">
        <v>1340</v>
      </c>
      <c r="B301" s="99"/>
      <c r="C301" s="99" t="s">
        <v>1166</v>
      </c>
      <c r="D301" s="99" t="s">
        <v>1112</v>
      </c>
      <c r="E301" s="99" t="s">
        <v>109</v>
      </c>
      <c r="F301" s="101">
        <v>38.0</v>
      </c>
      <c r="G301" s="84">
        <v>18500.0</v>
      </c>
      <c r="H301" s="102"/>
      <c r="I301" s="84">
        <f t="shared" si="38"/>
        <v>703000</v>
      </c>
      <c r="J301" s="84">
        <f>SUM(I289:I301)</f>
        <v>60889750</v>
      </c>
      <c r="K301" s="99" t="s">
        <v>1110</v>
      </c>
      <c r="L301" s="99"/>
    </row>
    <row r="302">
      <c r="A302" s="101"/>
      <c r="B302" s="99"/>
      <c r="C302" s="99"/>
      <c r="D302" s="99"/>
      <c r="E302" s="99"/>
      <c r="F302" s="99"/>
      <c r="G302" s="102"/>
      <c r="H302" s="102"/>
      <c r="I302" s="102"/>
      <c r="J302" s="99"/>
      <c r="K302" s="99"/>
      <c r="L302" s="99"/>
    </row>
    <row r="303">
      <c r="A303" s="103">
        <v>46139.0</v>
      </c>
      <c r="B303" s="99"/>
      <c r="C303" s="99" t="s">
        <v>1341</v>
      </c>
      <c r="D303" s="133" t="s">
        <v>1342</v>
      </c>
      <c r="E303" s="99" t="s">
        <v>109</v>
      </c>
      <c r="F303" s="101">
        <v>75.0</v>
      </c>
      <c r="G303" s="84">
        <v>26000.0</v>
      </c>
      <c r="H303" s="102"/>
      <c r="I303" s="84">
        <f t="shared" ref="I303:I304" si="39">F303*G303</f>
        <v>1950000</v>
      </c>
      <c r="J303" s="99"/>
      <c r="K303" s="99" t="s">
        <v>17</v>
      </c>
      <c r="L303" s="99" t="s">
        <v>1343</v>
      </c>
    </row>
    <row r="304">
      <c r="A304" s="103">
        <v>46140.0</v>
      </c>
      <c r="B304" s="99"/>
      <c r="C304" s="99" t="s">
        <v>1341</v>
      </c>
      <c r="D304" s="99" t="s">
        <v>1342</v>
      </c>
      <c r="E304" s="99" t="s">
        <v>109</v>
      </c>
      <c r="F304" s="101">
        <v>23.0</v>
      </c>
      <c r="G304" s="84">
        <v>26000.0</v>
      </c>
      <c r="H304" s="102"/>
      <c r="I304" s="84">
        <f t="shared" si="39"/>
        <v>598000</v>
      </c>
      <c r="J304" s="84">
        <f>sum(I303:I304)</f>
        <v>2548000</v>
      </c>
      <c r="K304" s="99" t="s">
        <v>1110</v>
      </c>
      <c r="L304" s="99"/>
    </row>
    <row r="305">
      <c r="A305" s="101"/>
      <c r="B305" s="99"/>
      <c r="C305" s="99"/>
      <c r="D305" s="99"/>
      <c r="E305" s="99"/>
      <c r="F305" s="99"/>
      <c r="G305" s="102"/>
      <c r="H305" s="102"/>
      <c r="I305" s="102"/>
      <c r="J305" s="99"/>
      <c r="K305" s="99"/>
      <c r="L305" s="99"/>
    </row>
    <row r="306">
      <c r="A306" s="103">
        <v>46152.0</v>
      </c>
      <c r="B306" s="99"/>
      <c r="C306" s="99" t="s">
        <v>1125</v>
      </c>
      <c r="D306" s="99" t="s">
        <v>1344</v>
      </c>
      <c r="E306" s="99" t="s">
        <v>69</v>
      </c>
      <c r="F306" s="101">
        <v>2030.0</v>
      </c>
      <c r="G306" s="84">
        <v>480.0</v>
      </c>
      <c r="H306" s="102"/>
      <c r="I306" s="84">
        <f t="shared" ref="I306:I310" si="40">F306*G306</f>
        <v>974400</v>
      </c>
      <c r="J306" s="99"/>
      <c r="K306" s="99" t="s">
        <v>167</v>
      </c>
      <c r="L306" s="99"/>
    </row>
    <row r="307">
      <c r="A307" s="103">
        <v>46153.0</v>
      </c>
      <c r="B307" s="99"/>
      <c r="C307" s="99" t="s">
        <v>1125</v>
      </c>
      <c r="D307" s="99" t="s">
        <v>1345</v>
      </c>
      <c r="E307" s="99" t="s">
        <v>69</v>
      </c>
      <c r="F307" s="101">
        <v>2076.0</v>
      </c>
      <c r="G307" s="84">
        <v>480.0</v>
      </c>
      <c r="H307" s="102"/>
      <c r="I307" s="84">
        <f t="shared" si="40"/>
        <v>996480</v>
      </c>
      <c r="J307" s="99"/>
      <c r="K307" s="99" t="s">
        <v>167</v>
      </c>
      <c r="L307" s="99"/>
    </row>
    <row r="308">
      <c r="A308" s="101"/>
      <c r="B308" s="99"/>
      <c r="C308" s="99" t="s">
        <v>1125</v>
      </c>
      <c r="D308" s="99" t="s">
        <v>1346</v>
      </c>
      <c r="E308" s="99" t="s">
        <v>69</v>
      </c>
      <c r="F308" s="101">
        <v>2800.0</v>
      </c>
      <c r="G308" s="84">
        <v>560.0</v>
      </c>
      <c r="H308" s="102"/>
      <c r="I308" s="84">
        <f t="shared" si="40"/>
        <v>1568000</v>
      </c>
      <c r="J308" s="99"/>
      <c r="K308" s="99" t="s">
        <v>167</v>
      </c>
      <c r="L308" s="99"/>
    </row>
    <row r="309">
      <c r="A309" s="103">
        <v>46154.0</v>
      </c>
      <c r="B309" s="99"/>
      <c r="C309" s="99" t="s">
        <v>1125</v>
      </c>
      <c r="D309" s="99" t="s">
        <v>1346</v>
      </c>
      <c r="E309" s="99" t="s">
        <v>69</v>
      </c>
      <c r="F309" s="101">
        <v>2800.0</v>
      </c>
      <c r="G309" s="84">
        <v>560.0</v>
      </c>
      <c r="H309" s="102"/>
      <c r="I309" s="84">
        <f t="shared" si="40"/>
        <v>1568000</v>
      </c>
      <c r="J309" s="99"/>
      <c r="K309" s="99" t="s">
        <v>167</v>
      </c>
      <c r="L309" s="99"/>
    </row>
    <row r="310">
      <c r="A310" s="101"/>
      <c r="B310" s="99"/>
      <c r="C310" s="99" t="s">
        <v>1125</v>
      </c>
      <c r="D310" s="99" t="s">
        <v>1346</v>
      </c>
      <c r="E310" s="99" t="s">
        <v>69</v>
      </c>
      <c r="F310" s="101">
        <v>2040.0</v>
      </c>
      <c r="G310" s="84">
        <v>560.0</v>
      </c>
      <c r="H310" s="102"/>
      <c r="I310" s="84">
        <f t="shared" si="40"/>
        <v>1142400</v>
      </c>
      <c r="J310" s="84">
        <f>SUM(I306:I310)</f>
        <v>6249280</v>
      </c>
      <c r="K310" s="99" t="s">
        <v>1110</v>
      </c>
      <c r="L310" s="99"/>
    </row>
    <row r="311">
      <c r="A311" s="101"/>
      <c r="B311" s="99"/>
      <c r="C311" s="99"/>
      <c r="D311" s="99"/>
      <c r="E311" s="99"/>
      <c r="F311" s="99"/>
      <c r="G311" s="102"/>
      <c r="H311" s="102"/>
      <c r="I311" s="102"/>
      <c r="J311" s="99"/>
      <c r="K311" s="99"/>
      <c r="L311" s="99"/>
    </row>
    <row r="312">
      <c r="A312" s="103">
        <v>46161.0</v>
      </c>
      <c r="B312" s="99"/>
      <c r="C312" s="99" t="s">
        <v>1347</v>
      </c>
      <c r="D312" s="99" t="s">
        <v>1136</v>
      </c>
      <c r="E312" s="99" t="s">
        <v>109</v>
      </c>
      <c r="F312" s="101">
        <v>70.0</v>
      </c>
      <c r="G312" s="84">
        <v>51000.0</v>
      </c>
      <c r="H312" s="102"/>
      <c r="I312" s="84">
        <f>F312*G312</f>
        <v>3570000</v>
      </c>
      <c r="J312" s="84">
        <f>I312</f>
        <v>3570000</v>
      </c>
      <c r="K312" s="99" t="s">
        <v>1110</v>
      </c>
      <c r="L312" s="99"/>
    </row>
    <row r="313">
      <c r="A313" s="101"/>
      <c r="B313" s="99"/>
      <c r="C313" s="99"/>
      <c r="D313" s="99"/>
      <c r="E313" s="99"/>
      <c r="F313" s="99"/>
      <c r="G313" s="102"/>
      <c r="H313" s="102"/>
      <c r="I313" s="102"/>
      <c r="J313" s="99"/>
      <c r="K313" s="99"/>
      <c r="L313" s="99"/>
    </row>
    <row r="314">
      <c r="A314" s="103">
        <v>46162.0</v>
      </c>
      <c r="B314" s="99"/>
      <c r="C314" s="99" t="s">
        <v>1130</v>
      </c>
      <c r="D314" s="99" t="s">
        <v>1132</v>
      </c>
      <c r="E314" s="99" t="s">
        <v>67</v>
      </c>
      <c r="F314" s="101">
        <v>64.0</v>
      </c>
      <c r="G314" s="84">
        <v>12000.0</v>
      </c>
      <c r="H314" s="102"/>
      <c r="I314" s="84">
        <f t="shared" ref="I314:I315" si="41">F314*G314</f>
        <v>768000</v>
      </c>
      <c r="J314" s="99"/>
      <c r="K314" s="99" t="s">
        <v>17</v>
      </c>
      <c r="L314" s="99"/>
    </row>
    <row r="315">
      <c r="A315" s="101"/>
      <c r="B315" s="99"/>
      <c r="C315" s="99" t="s">
        <v>1130</v>
      </c>
      <c r="D315" s="99" t="s">
        <v>107</v>
      </c>
      <c r="E315" s="99" t="s">
        <v>67</v>
      </c>
      <c r="F315" s="101">
        <v>95.0</v>
      </c>
      <c r="G315" s="84">
        <v>12000.0</v>
      </c>
      <c r="H315" s="102"/>
      <c r="I315" s="84">
        <f t="shared" si="41"/>
        <v>1140000</v>
      </c>
      <c r="J315" s="84">
        <f>SUM(I314:I315)</f>
        <v>1908000</v>
      </c>
      <c r="K315" s="99" t="s">
        <v>1110</v>
      </c>
      <c r="L315" s="99"/>
    </row>
    <row r="316">
      <c r="A316" s="101"/>
      <c r="B316" s="99"/>
      <c r="C316" s="99"/>
      <c r="D316" s="99"/>
      <c r="E316" s="99"/>
      <c r="F316" s="99"/>
      <c r="G316" s="102"/>
      <c r="H316" s="102"/>
      <c r="I316" s="102"/>
      <c r="J316" s="99"/>
      <c r="K316" s="99"/>
      <c r="L316" s="99"/>
    </row>
    <row r="317">
      <c r="A317" s="101" t="s">
        <v>1327</v>
      </c>
      <c r="B317" s="99"/>
      <c r="C317" s="99" t="s">
        <v>1193</v>
      </c>
      <c r="D317" s="99" t="s">
        <v>1348</v>
      </c>
      <c r="E317" s="99" t="s">
        <v>109</v>
      </c>
      <c r="F317" s="101">
        <v>170.45</v>
      </c>
      <c r="G317" s="84">
        <v>31500.0</v>
      </c>
      <c r="H317" s="102"/>
      <c r="I317" s="84">
        <f t="shared" ref="I317:I320" si="42">F317*G317</f>
        <v>5369175</v>
      </c>
      <c r="J317" s="99"/>
      <c r="K317" s="99" t="s">
        <v>17</v>
      </c>
      <c r="L317" s="99"/>
    </row>
    <row r="318">
      <c r="A318" s="101"/>
      <c r="B318" s="99"/>
      <c r="C318" s="99" t="s">
        <v>1193</v>
      </c>
      <c r="D318" s="99" t="s">
        <v>1194</v>
      </c>
      <c r="E318" s="99" t="s">
        <v>109</v>
      </c>
      <c r="F318" s="101">
        <v>67.0</v>
      </c>
      <c r="G318" s="84">
        <v>45000.0</v>
      </c>
      <c r="H318" s="102"/>
      <c r="I318" s="84">
        <f t="shared" si="42"/>
        <v>3015000</v>
      </c>
      <c r="J318" s="99"/>
      <c r="K318" s="99" t="s">
        <v>17</v>
      </c>
      <c r="L318" s="99"/>
    </row>
    <row r="319">
      <c r="A319" s="101"/>
      <c r="B319" s="99"/>
      <c r="C319" s="99" t="s">
        <v>1193</v>
      </c>
      <c r="D319" s="99" t="s">
        <v>1349</v>
      </c>
      <c r="E319" s="99" t="s">
        <v>109</v>
      </c>
      <c r="F319" s="101">
        <v>141.0</v>
      </c>
      <c r="G319" s="84">
        <v>45000.0</v>
      </c>
      <c r="H319" s="102"/>
      <c r="I319" s="84">
        <f t="shared" si="42"/>
        <v>6345000</v>
      </c>
      <c r="J319" s="99"/>
      <c r="K319" s="99" t="s">
        <v>17</v>
      </c>
      <c r="L319" s="99"/>
    </row>
    <row r="320">
      <c r="A320" s="101"/>
      <c r="B320" s="99"/>
      <c r="C320" s="99" t="s">
        <v>1193</v>
      </c>
      <c r="D320" s="99" t="s">
        <v>1350</v>
      </c>
      <c r="E320" s="99" t="s">
        <v>109</v>
      </c>
      <c r="F320" s="101">
        <v>50.0</v>
      </c>
      <c r="G320" s="84">
        <v>47000.0</v>
      </c>
      <c r="H320" s="102"/>
      <c r="I320" s="84">
        <f t="shared" si="42"/>
        <v>2350000</v>
      </c>
      <c r="J320" s="84">
        <f>sum(I317:I320)</f>
        <v>17079175</v>
      </c>
      <c r="K320" s="99" t="s">
        <v>1110</v>
      </c>
      <c r="L320" s="99"/>
    </row>
    <row r="321">
      <c r="A321" s="101"/>
      <c r="B321" s="99"/>
      <c r="C321" s="99"/>
      <c r="D321" s="99"/>
      <c r="E321" s="99"/>
      <c r="F321" s="99"/>
      <c r="G321" s="102"/>
      <c r="H321" s="102"/>
      <c r="I321" s="102"/>
      <c r="J321" s="99"/>
      <c r="K321" s="99"/>
      <c r="L321" s="99"/>
    </row>
    <row r="322">
      <c r="A322" s="101" t="s">
        <v>1337</v>
      </c>
      <c r="B322" s="99"/>
      <c r="C322" s="99" t="s">
        <v>1351</v>
      </c>
      <c r="D322" s="99" t="s">
        <v>1352</v>
      </c>
      <c r="E322" s="99" t="s">
        <v>67</v>
      </c>
      <c r="F322" s="101">
        <v>105.0</v>
      </c>
      <c r="G322" s="84">
        <v>12000.0</v>
      </c>
      <c r="H322" s="102"/>
      <c r="I322" s="84">
        <f t="shared" ref="I322:I325" si="43">F322*G322</f>
        <v>1260000</v>
      </c>
      <c r="J322" s="99"/>
      <c r="K322" s="99" t="s">
        <v>17</v>
      </c>
      <c r="L322" s="99"/>
    </row>
    <row r="323">
      <c r="A323" s="101" t="s">
        <v>1337</v>
      </c>
      <c r="B323" s="99"/>
      <c r="C323" s="99" t="s">
        <v>1351</v>
      </c>
      <c r="D323" s="105" t="s">
        <v>1353</v>
      </c>
      <c r="E323" s="105" t="s">
        <v>67</v>
      </c>
      <c r="F323" s="109">
        <v>53.0</v>
      </c>
      <c r="G323" s="110">
        <v>12000.0</v>
      </c>
      <c r="H323" s="105"/>
      <c r="I323" s="84">
        <f t="shared" si="43"/>
        <v>636000</v>
      </c>
      <c r="J323" s="99"/>
      <c r="K323" s="99" t="s">
        <v>17</v>
      </c>
      <c r="L323" s="99"/>
    </row>
    <row r="324">
      <c r="A324" s="101" t="s">
        <v>1327</v>
      </c>
      <c r="B324" s="99"/>
      <c r="C324" s="105" t="s">
        <v>1351</v>
      </c>
      <c r="D324" s="105" t="s">
        <v>1354</v>
      </c>
      <c r="E324" s="105" t="s">
        <v>109</v>
      </c>
      <c r="F324" s="109">
        <v>30.0</v>
      </c>
      <c r="G324" s="110">
        <v>34000.0</v>
      </c>
      <c r="H324" s="105"/>
      <c r="I324" s="84">
        <f t="shared" si="43"/>
        <v>1020000</v>
      </c>
      <c r="J324" s="99"/>
      <c r="K324" s="99" t="s">
        <v>17</v>
      </c>
      <c r="L324" s="99"/>
    </row>
    <row r="325">
      <c r="A325" s="101"/>
      <c r="B325" s="99"/>
      <c r="C325" s="99" t="s">
        <v>1351</v>
      </c>
      <c r="D325" s="99" t="s">
        <v>108</v>
      </c>
      <c r="E325" s="99" t="s">
        <v>109</v>
      </c>
      <c r="F325" s="101">
        <v>17.0</v>
      </c>
      <c r="G325" s="84">
        <v>55000.0</v>
      </c>
      <c r="H325" s="102"/>
      <c r="I325" s="84">
        <f t="shared" si="43"/>
        <v>935000</v>
      </c>
      <c r="J325" s="84">
        <f>sum(I322:I325)</f>
        <v>3851000</v>
      </c>
      <c r="K325" s="99" t="s">
        <v>1110</v>
      </c>
      <c r="L325" s="99"/>
    </row>
    <row r="326">
      <c r="A326" s="101"/>
      <c r="B326" s="99"/>
      <c r="C326" s="99"/>
      <c r="D326" s="99"/>
      <c r="E326" s="99"/>
      <c r="F326" s="99"/>
      <c r="G326" s="102"/>
      <c r="H326" s="102"/>
      <c r="I326" s="102"/>
      <c r="J326" s="99"/>
      <c r="K326" s="99"/>
      <c r="L326" s="99"/>
    </row>
    <row r="327">
      <c r="A327" s="101" t="s">
        <v>1318</v>
      </c>
      <c r="B327" s="99"/>
      <c r="C327" s="99" t="s">
        <v>1355</v>
      </c>
      <c r="D327" s="99" t="s">
        <v>1356</v>
      </c>
      <c r="E327" s="99" t="s">
        <v>109</v>
      </c>
      <c r="F327" s="101">
        <v>36.5</v>
      </c>
      <c r="G327" s="84">
        <v>70000.0</v>
      </c>
      <c r="H327" s="102"/>
      <c r="I327" s="84">
        <f t="shared" ref="I327:I339" si="44">F327*G327</f>
        <v>2555000</v>
      </c>
      <c r="J327" s="99"/>
      <c r="K327" s="99" t="s">
        <v>17</v>
      </c>
      <c r="L327" s="99"/>
    </row>
    <row r="328">
      <c r="A328" s="101" t="s">
        <v>1318</v>
      </c>
      <c r="B328" s="99"/>
      <c r="C328" s="99" t="s">
        <v>1355</v>
      </c>
      <c r="D328" s="99" t="s">
        <v>1155</v>
      </c>
      <c r="E328" s="99" t="s">
        <v>109</v>
      </c>
      <c r="F328" s="101">
        <v>95.5</v>
      </c>
      <c r="G328" s="84">
        <v>14000.0</v>
      </c>
      <c r="H328" s="102"/>
      <c r="I328" s="84">
        <f t="shared" si="44"/>
        <v>1337000</v>
      </c>
      <c r="J328" s="99"/>
      <c r="K328" s="99" t="s">
        <v>17</v>
      </c>
      <c r="L328" s="99"/>
    </row>
    <row r="329">
      <c r="A329" s="101" t="s">
        <v>1322</v>
      </c>
      <c r="B329" s="99"/>
      <c r="C329" s="99" t="s">
        <v>1355</v>
      </c>
      <c r="D329" s="99" t="s">
        <v>1148</v>
      </c>
      <c r="E329" s="99" t="s">
        <v>109</v>
      </c>
      <c r="F329" s="101">
        <v>144.8</v>
      </c>
      <c r="G329" s="84">
        <v>28500.0</v>
      </c>
      <c r="H329" s="102"/>
      <c r="I329" s="84">
        <f t="shared" si="44"/>
        <v>4126800</v>
      </c>
      <c r="J329" s="99"/>
      <c r="K329" s="99" t="s">
        <v>17</v>
      </c>
      <c r="L329" s="99"/>
    </row>
    <row r="330">
      <c r="A330" s="101" t="s">
        <v>1322</v>
      </c>
      <c r="B330" s="99"/>
      <c r="C330" s="99" t="s">
        <v>1355</v>
      </c>
      <c r="D330" s="99" t="s">
        <v>1143</v>
      </c>
      <c r="E330" s="99" t="s">
        <v>109</v>
      </c>
      <c r="F330" s="101">
        <v>130.0</v>
      </c>
      <c r="G330" s="84">
        <v>28500.0</v>
      </c>
      <c r="H330" s="102"/>
      <c r="I330" s="84">
        <f t="shared" si="44"/>
        <v>3705000</v>
      </c>
      <c r="J330" s="99"/>
      <c r="K330" s="99" t="s">
        <v>17</v>
      </c>
      <c r="L330" s="99"/>
    </row>
    <row r="331">
      <c r="A331" s="101" t="s">
        <v>1327</v>
      </c>
      <c r="B331" s="99"/>
      <c r="C331" s="99" t="s">
        <v>1355</v>
      </c>
      <c r="D331" s="99" t="s">
        <v>1357</v>
      </c>
      <c r="E331" s="99" t="s">
        <v>109</v>
      </c>
      <c r="F331" s="101">
        <v>130.0</v>
      </c>
      <c r="G331" s="84">
        <v>15000.0</v>
      </c>
      <c r="H331" s="102"/>
      <c r="I331" s="84">
        <f t="shared" si="44"/>
        <v>1950000</v>
      </c>
      <c r="J331" s="99"/>
      <c r="K331" s="99" t="s">
        <v>17</v>
      </c>
      <c r="L331" s="99"/>
    </row>
    <row r="332">
      <c r="A332" s="101" t="s">
        <v>1327</v>
      </c>
      <c r="B332" s="99"/>
      <c r="C332" s="99" t="s">
        <v>1355</v>
      </c>
      <c r="D332" s="99" t="s">
        <v>1282</v>
      </c>
      <c r="E332" s="99" t="s">
        <v>109</v>
      </c>
      <c r="F332" s="101">
        <v>120.0</v>
      </c>
      <c r="G332" s="84">
        <v>11000.0</v>
      </c>
      <c r="H332" s="102"/>
      <c r="I332" s="84">
        <f t="shared" si="44"/>
        <v>1320000</v>
      </c>
      <c r="J332" s="99"/>
      <c r="K332" s="99" t="s">
        <v>17</v>
      </c>
      <c r="L332" s="99"/>
    </row>
    <row r="333">
      <c r="A333" s="101" t="s">
        <v>1332</v>
      </c>
      <c r="B333" s="99"/>
      <c r="C333" s="99" t="s">
        <v>1355</v>
      </c>
      <c r="D333" s="99" t="s">
        <v>1141</v>
      </c>
      <c r="E333" s="99" t="s">
        <v>109</v>
      </c>
      <c r="F333" s="101">
        <v>1740.0</v>
      </c>
      <c r="G333" s="84">
        <v>1650.0</v>
      </c>
      <c r="H333" s="102"/>
      <c r="I333" s="84">
        <f t="shared" si="44"/>
        <v>2871000</v>
      </c>
      <c r="J333" s="99"/>
      <c r="K333" s="99" t="s">
        <v>17</v>
      </c>
      <c r="L333" s="99"/>
    </row>
    <row r="334">
      <c r="A334" s="101" t="s">
        <v>1332</v>
      </c>
      <c r="B334" s="99"/>
      <c r="C334" s="99" t="s">
        <v>1355</v>
      </c>
      <c r="D334" s="99" t="s">
        <v>1308</v>
      </c>
      <c r="E334" s="99" t="s">
        <v>109</v>
      </c>
      <c r="F334" s="101">
        <v>117.0</v>
      </c>
      <c r="G334" s="84">
        <v>17000.0</v>
      </c>
      <c r="H334" s="102"/>
      <c r="I334" s="84">
        <f t="shared" si="44"/>
        <v>1989000</v>
      </c>
      <c r="J334" s="99"/>
      <c r="K334" s="99" t="s">
        <v>17</v>
      </c>
      <c r="L334" s="99"/>
    </row>
    <row r="335">
      <c r="A335" s="101" t="s">
        <v>1337</v>
      </c>
      <c r="B335" s="99"/>
      <c r="C335" s="99" t="s">
        <v>1355</v>
      </c>
      <c r="D335" s="99" t="s">
        <v>1239</v>
      </c>
      <c r="E335" s="99" t="s">
        <v>109</v>
      </c>
      <c r="F335" s="101">
        <v>107.8</v>
      </c>
      <c r="G335" s="84">
        <v>24000.0</v>
      </c>
      <c r="H335" s="102"/>
      <c r="I335" s="84">
        <f t="shared" si="44"/>
        <v>2587200</v>
      </c>
      <c r="J335" s="99"/>
      <c r="K335" s="99" t="s">
        <v>17</v>
      </c>
      <c r="L335" s="101">
        <v>131.0</v>
      </c>
    </row>
    <row r="336">
      <c r="A336" s="101" t="s">
        <v>1337</v>
      </c>
      <c r="B336" s="99"/>
      <c r="C336" s="99" t="s">
        <v>1355</v>
      </c>
      <c r="D336" s="99" t="s">
        <v>1358</v>
      </c>
      <c r="E336" s="99" t="s">
        <v>109</v>
      </c>
      <c r="F336" s="101">
        <v>136.0</v>
      </c>
      <c r="G336" s="84">
        <v>38000.0</v>
      </c>
      <c r="H336" s="102"/>
      <c r="I336" s="84">
        <f t="shared" si="44"/>
        <v>5168000</v>
      </c>
      <c r="J336" s="99"/>
      <c r="K336" s="99" t="s">
        <v>17</v>
      </c>
      <c r="L336" s="99"/>
    </row>
    <row r="337">
      <c r="A337" s="101" t="s">
        <v>1337</v>
      </c>
      <c r="B337" s="99"/>
      <c r="C337" s="99" t="s">
        <v>1355</v>
      </c>
      <c r="D337" s="99" t="s">
        <v>1359</v>
      </c>
      <c r="E337" s="99" t="s">
        <v>109</v>
      </c>
      <c r="F337" s="101">
        <v>51.0</v>
      </c>
      <c r="G337" s="84">
        <v>28500.0</v>
      </c>
      <c r="H337" s="102"/>
      <c r="I337" s="84">
        <f t="shared" si="44"/>
        <v>1453500</v>
      </c>
      <c r="J337" s="99"/>
      <c r="K337" s="99" t="s">
        <v>17</v>
      </c>
      <c r="L337" s="99"/>
    </row>
    <row r="338">
      <c r="A338" s="101" t="s">
        <v>1337</v>
      </c>
      <c r="B338" s="99"/>
      <c r="C338" s="99" t="s">
        <v>1355</v>
      </c>
      <c r="D338" s="99" t="s">
        <v>1360</v>
      </c>
      <c r="E338" s="99" t="s">
        <v>109</v>
      </c>
      <c r="F338" s="101">
        <v>1397.0</v>
      </c>
      <c r="G338" s="84">
        <v>1650.0</v>
      </c>
      <c r="H338" s="102"/>
      <c r="I338" s="84">
        <f t="shared" si="44"/>
        <v>2305050</v>
      </c>
      <c r="J338" s="99"/>
      <c r="K338" s="99" t="s">
        <v>17</v>
      </c>
      <c r="L338" s="99"/>
    </row>
    <row r="339">
      <c r="A339" s="101" t="s">
        <v>1361</v>
      </c>
      <c r="B339" s="99"/>
      <c r="C339" s="99" t="s">
        <v>1355</v>
      </c>
      <c r="D339" s="99" t="s">
        <v>1154</v>
      </c>
      <c r="E339" s="99" t="s">
        <v>109</v>
      </c>
      <c r="F339" s="101">
        <v>65.0</v>
      </c>
      <c r="G339" s="84">
        <v>70000.0</v>
      </c>
      <c r="H339" s="102"/>
      <c r="I339" s="84">
        <f t="shared" si="44"/>
        <v>4550000</v>
      </c>
      <c r="J339" s="84">
        <f>sum(I327:I339)</f>
        <v>35917550</v>
      </c>
      <c r="K339" s="99" t="s">
        <v>1110</v>
      </c>
      <c r="L339" s="99"/>
    </row>
    <row r="340">
      <c r="A340" s="101"/>
      <c r="B340" s="99"/>
      <c r="C340" s="99"/>
      <c r="D340" s="99"/>
      <c r="E340" s="99"/>
      <c r="F340" s="99"/>
      <c r="G340" s="102"/>
      <c r="H340" s="102"/>
      <c r="I340" s="102"/>
      <c r="J340" s="99"/>
      <c r="K340" s="99"/>
      <c r="L340" s="99"/>
    </row>
    <row r="341">
      <c r="A341" s="101"/>
      <c r="B341" s="99"/>
      <c r="C341" s="99"/>
      <c r="D341" s="99"/>
      <c r="E341" s="99"/>
      <c r="F341" s="99"/>
      <c r="G341" s="102"/>
      <c r="H341" s="102"/>
      <c r="I341" s="102"/>
      <c r="J341" s="99"/>
      <c r="K341" s="99"/>
      <c r="L341" s="99"/>
    </row>
    <row r="342">
      <c r="A342" s="101" t="s">
        <v>1327</v>
      </c>
      <c r="B342" s="99"/>
      <c r="C342" s="99" t="s">
        <v>1362</v>
      </c>
      <c r="D342" s="99" t="s">
        <v>1223</v>
      </c>
      <c r="E342" s="99" t="s">
        <v>109</v>
      </c>
      <c r="F342" s="134">
        <v>2.0</v>
      </c>
      <c r="G342" s="84">
        <v>22000.0</v>
      </c>
      <c r="H342" s="102"/>
      <c r="I342" s="84">
        <f t="shared" ref="I342:I345" si="45">F342*G342</f>
        <v>44000</v>
      </c>
      <c r="J342" s="99"/>
      <c r="K342" s="99" t="s">
        <v>17</v>
      </c>
      <c r="L342" s="99"/>
    </row>
    <row r="343">
      <c r="A343" s="101"/>
      <c r="B343" s="99"/>
      <c r="C343" s="99" t="s">
        <v>1362</v>
      </c>
      <c r="D343" s="99" t="s">
        <v>1363</v>
      </c>
      <c r="E343" s="99" t="s">
        <v>109</v>
      </c>
      <c r="F343" s="134">
        <v>142.0</v>
      </c>
      <c r="G343" s="84">
        <v>28000.0</v>
      </c>
      <c r="H343" s="102"/>
      <c r="I343" s="84">
        <f t="shared" si="45"/>
        <v>3976000</v>
      </c>
      <c r="J343" s="99"/>
      <c r="K343" s="99"/>
      <c r="L343" s="99" t="s">
        <v>1364</v>
      </c>
    </row>
    <row r="344">
      <c r="A344" s="101"/>
      <c r="B344" s="99"/>
      <c r="C344" s="99" t="s">
        <v>1362</v>
      </c>
      <c r="D344" s="99" t="s">
        <v>1365</v>
      </c>
      <c r="E344" s="99" t="s">
        <v>109</v>
      </c>
      <c r="F344" s="134">
        <v>139.0</v>
      </c>
      <c r="G344" s="84">
        <v>20000.0</v>
      </c>
      <c r="H344" s="102"/>
      <c r="I344" s="84">
        <f t="shared" si="45"/>
        <v>2780000</v>
      </c>
      <c r="J344" s="99"/>
      <c r="K344" s="99" t="s">
        <v>17</v>
      </c>
      <c r="L344" s="99"/>
    </row>
    <row r="345">
      <c r="A345" s="101"/>
      <c r="B345" s="99"/>
      <c r="C345" s="99" t="s">
        <v>1362</v>
      </c>
      <c r="D345" s="99" t="s">
        <v>1366</v>
      </c>
      <c r="E345" s="99" t="s">
        <v>109</v>
      </c>
      <c r="F345" s="134">
        <v>1.0</v>
      </c>
      <c r="G345" s="84">
        <v>37000.0</v>
      </c>
      <c r="H345" s="102"/>
      <c r="I345" s="84">
        <f t="shared" si="45"/>
        <v>37000</v>
      </c>
      <c r="J345" s="84">
        <f>sum(I342:I345)</f>
        <v>6837000</v>
      </c>
      <c r="K345" s="99" t="s">
        <v>1110</v>
      </c>
      <c r="L345" s="99"/>
    </row>
    <row r="346">
      <c r="A346" s="101"/>
      <c r="B346" s="99"/>
      <c r="C346" s="99"/>
      <c r="D346" s="99"/>
      <c r="E346" s="99"/>
      <c r="F346" s="99"/>
      <c r="G346" s="102"/>
      <c r="H346" s="102"/>
      <c r="I346" s="102"/>
      <c r="J346" s="99"/>
      <c r="K346" s="99"/>
      <c r="L346" s="99"/>
    </row>
    <row r="347">
      <c r="A347" s="101" t="s">
        <v>1322</v>
      </c>
      <c r="B347" s="99"/>
      <c r="C347" s="99" t="s">
        <v>1367</v>
      </c>
      <c r="D347" s="99" t="s">
        <v>111</v>
      </c>
      <c r="E347" s="99" t="s">
        <v>109</v>
      </c>
      <c r="F347" s="101">
        <v>2100.0</v>
      </c>
      <c r="G347" s="84">
        <v>3500.0</v>
      </c>
      <c r="H347" s="102"/>
      <c r="I347" s="84">
        <f t="shared" ref="I347:I349" si="46">F347*G347</f>
        <v>7350000</v>
      </c>
      <c r="J347" s="99"/>
      <c r="K347" s="99" t="s">
        <v>17</v>
      </c>
      <c r="L347" s="99"/>
    </row>
    <row r="348">
      <c r="A348" s="101" t="s">
        <v>1332</v>
      </c>
      <c r="B348" s="99"/>
      <c r="C348" s="99"/>
      <c r="D348" s="99" t="s">
        <v>1368</v>
      </c>
      <c r="E348" s="99" t="s">
        <v>109</v>
      </c>
      <c r="F348" s="101">
        <v>1340.0</v>
      </c>
      <c r="G348" s="84">
        <v>3500.0</v>
      </c>
      <c r="H348" s="102"/>
      <c r="I348" s="84">
        <f t="shared" si="46"/>
        <v>4690000</v>
      </c>
      <c r="J348" s="84">
        <f>sum(I347:I348)</f>
        <v>12040000</v>
      </c>
      <c r="K348" s="99" t="s">
        <v>1110</v>
      </c>
      <c r="L348" s="99"/>
    </row>
    <row r="349">
      <c r="A349" s="101"/>
      <c r="B349" s="99"/>
      <c r="C349" s="105" t="s">
        <v>110</v>
      </c>
      <c r="D349" s="105" t="s">
        <v>1369</v>
      </c>
      <c r="E349" s="105"/>
      <c r="F349" s="109">
        <v>208.0</v>
      </c>
      <c r="G349" s="110">
        <v>30000.0</v>
      </c>
      <c r="H349" s="113"/>
      <c r="I349" s="110">
        <f t="shared" si="46"/>
        <v>6240000</v>
      </c>
      <c r="J349" s="84">
        <f>I349</f>
        <v>6240000</v>
      </c>
      <c r="K349" s="99" t="s">
        <v>1110</v>
      </c>
      <c r="L349" s="99"/>
    </row>
    <row r="350">
      <c r="A350" s="101"/>
      <c r="B350" s="99"/>
      <c r="C350" s="99"/>
      <c r="D350" s="99"/>
      <c r="E350" s="99"/>
      <c r="F350" s="99"/>
      <c r="G350" s="102"/>
      <c r="H350" s="102"/>
      <c r="I350" s="102"/>
      <c r="J350" s="99"/>
      <c r="K350" s="99"/>
      <c r="L350" s="99"/>
    </row>
    <row r="351">
      <c r="A351" s="101" t="s">
        <v>1322</v>
      </c>
      <c r="B351" s="99"/>
      <c r="C351" s="99" t="s">
        <v>1133</v>
      </c>
      <c r="D351" s="99" t="s">
        <v>1370</v>
      </c>
      <c r="E351" s="99" t="s">
        <v>1176</v>
      </c>
      <c r="F351" s="101">
        <v>2.0</v>
      </c>
      <c r="G351" s="84">
        <v>255000.0</v>
      </c>
      <c r="H351" s="102"/>
      <c r="I351" s="84">
        <f t="shared" ref="I351:I369" si="47">F351*G351</f>
        <v>510000</v>
      </c>
      <c r="J351" s="99"/>
      <c r="K351" s="99" t="s">
        <v>17</v>
      </c>
      <c r="L351" s="99"/>
    </row>
    <row r="352">
      <c r="A352" s="101" t="s">
        <v>1322</v>
      </c>
      <c r="B352" s="99"/>
      <c r="C352" s="99" t="s">
        <v>1133</v>
      </c>
      <c r="D352" s="99" t="s">
        <v>1253</v>
      </c>
      <c r="E352" s="99" t="s">
        <v>1176</v>
      </c>
      <c r="F352" s="101">
        <v>2.0</v>
      </c>
      <c r="G352" s="84">
        <v>1125000.0</v>
      </c>
      <c r="H352" s="102"/>
      <c r="I352" s="84">
        <f t="shared" si="47"/>
        <v>2250000</v>
      </c>
      <c r="J352" s="99"/>
      <c r="K352" s="99" t="s">
        <v>17</v>
      </c>
      <c r="L352" s="99"/>
    </row>
    <row r="353">
      <c r="A353" s="101" t="s">
        <v>1322</v>
      </c>
      <c r="B353" s="99"/>
      <c r="C353" s="99" t="s">
        <v>1133</v>
      </c>
      <c r="D353" s="99" t="s">
        <v>1371</v>
      </c>
      <c r="E353" s="99" t="s">
        <v>1176</v>
      </c>
      <c r="F353" s="101">
        <v>1.0</v>
      </c>
      <c r="G353" s="84">
        <v>1125000.0</v>
      </c>
      <c r="H353" s="102"/>
      <c r="I353" s="84">
        <f t="shared" si="47"/>
        <v>1125000</v>
      </c>
      <c r="J353" s="99"/>
      <c r="K353" s="99" t="s">
        <v>17</v>
      </c>
      <c r="L353" s="99"/>
    </row>
    <row r="354">
      <c r="A354" s="101" t="s">
        <v>1327</v>
      </c>
      <c r="B354" s="99"/>
      <c r="C354" s="99" t="s">
        <v>1133</v>
      </c>
      <c r="D354" s="99" t="s">
        <v>1372</v>
      </c>
      <c r="E354" s="99" t="s">
        <v>1176</v>
      </c>
      <c r="F354" s="101">
        <v>3.0</v>
      </c>
      <c r="G354" s="84">
        <v>1125000.0</v>
      </c>
      <c r="H354" s="102"/>
      <c r="I354" s="84">
        <f t="shared" si="47"/>
        <v>3375000</v>
      </c>
      <c r="J354" s="99"/>
      <c r="K354" s="99" t="s">
        <v>17</v>
      </c>
      <c r="L354" s="99"/>
    </row>
    <row r="355">
      <c r="A355" s="101" t="s">
        <v>1327</v>
      </c>
      <c r="B355" s="99"/>
      <c r="C355" s="99" t="s">
        <v>1133</v>
      </c>
      <c r="D355" s="99" t="s">
        <v>1373</v>
      </c>
      <c r="E355" s="99" t="s">
        <v>1176</v>
      </c>
      <c r="F355" s="101">
        <v>1.0</v>
      </c>
      <c r="G355" s="84">
        <v>1125000.0</v>
      </c>
      <c r="H355" s="102"/>
      <c r="I355" s="84">
        <f t="shared" si="47"/>
        <v>1125000</v>
      </c>
      <c r="J355" s="99"/>
      <c r="K355" s="99" t="s">
        <v>17</v>
      </c>
      <c r="L355" s="99"/>
    </row>
    <row r="356">
      <c r="A356" s="101" t="s">
        <v>1327</v>
      </c>
      <c r="B356" s="99"/>
      <c r="C356" s="99" t="s">
        <v>1133</v>
      </c>
      <c r="D356" s="99" t="s">
        <v>1374</v>
      </c>
      <c r="E356" s="99" t="s">
        <v>1176</v>
      </c>
      <c r="F356" s="101">
        <v>2.0</v>
      </c>
      <c r="G356" s="84">
        <v>1125000.0</v>
      </c>
      <c r="H356" s="102"/>
      <c r="I356" s="84">
        <f t="shared" si="47"/>
        <v>2250000</v>
      </c>
      <c r="J356" s="99"/>
      <c r="K356" s="99" t="s">
        <v>17</v>
      </c>
      <c r="L356" s="99"/>
    </row>
    <row r="357">
      <c r="A357" s="101" t="s">
        <v>1327</v>
      </c>
      <c r="B357" s="99"/>
      <c r="C357" s="99" t="s">
        <v>1133</v>
      </c>
      <c r="D357" s="99" t="s">
        <v>1371</v>
      </c>
      <c r="E357" s="99" t="s">
        <v>1176</v>
      </c>
      <c r="F357" s="101">
        <v>1.0</v>
      </c>
      <c r="G357" s="84">
        <v>1125000.0</v>
      </c>
      <c r="H357" s="102"/>
      <c r="I357" s="84">
        <f t="shared" si="47"/>
        <v>1125000</v>
      </c>
      <c r="J357" s="99"/>
      <c r="K357" s="99" t="s">
        <v>17</v>
      </c>
      <c r="L357" s="99"/>
    </row>
    <row r="358">
      <c r="A358" s="101" t="s">
        <v>1327</v>
      </c>
      <c r="B358" s="99"/>
      <c r="C358" s="99" t="s">
        <v>1133</v>
      </c>
      <c r="D358" s="99" t="s">
        <v>1261</v>
      </c>
      <c r="E358" s="99" t="s">
        <v>1176</v>
      </c>
      <c r="F358" s="101">
        <v>1.0</v>
      </c>
      <c r="G358" s="84">
        <v>255000.0</v>
      </c>
      <c r="H358" s="102"/>
      <c r="I358" s="84">
        <f t="shared" si="47"/>
        <v>255000</v>
      </c>
      <c r="J358" s="99"/>
      <c r="K358" s="99" t="s">
        <v>17</v>
      </c>
      <c r="L358" s="99"/>
    </row>
    <row r="359">
      <c r="A359" s="101" t="s">
        <v>1327</v>
      </c>
      <c r="B359" s="99"/>
      <c r="C359" s="99" t="s">
        <v>1133</v>
      </c>
      <c r="D359" s="99" t="s">
        <v>1253</v>
      </c>
      <c r="E359" s="99" t="s">
        <v>1176</v>
      </c>
      <c r="F359" s="101">
        <v>1.0</v>
      </c>
      <c r="G359" s="84">
        <v>1125000.0</v>
      </c>
      <c r="H359" s="102"/>
      <c r="I359" s="84">
        <f t="shared" si="47"/>
        <v>1125000</v>
      </c>
      <c r="J359" s="99"/>
      <c r="K359" s="99" t="s">
        <v>17</v>
      </c>
      <c r="L359" s="99"/>
    </row>
    <row r="360">
      <c r="A360" s="101" t="s">
        <v>1327</v>
      </c>
      <c r="B360" s="99"/>
      <c r="C360" s="99" t="s">
        <v>1133</v>
      </c>
      <c r="D360" s="99" t="s">
        <v>1256</v>
      </c>
      <c r="E360" s="99" t="s">
        <v>1176</v>
      </c>
      <c r="F360" s="101">
        <v>2.0</v>
      </c>
      <c r="G360" s="84">
        <v>255000.0</v>
      </c>
      <c r="H360" s="102"/>
      <c r="I360" s="84">
        <f t="shared" si="47"/>
        <v>510000</v>
      </c>
      <c r="J360" s="99"/>
      <c r="K360" s="99" t="s">
        <v>17</v>
      </c>
      <c r="L360" s="99"/>
    </row>
    <row r="361">
      <c r="A361" s="101" t="s">
        <v>1327</v>
      </c>
      <c r="B361" s="99"/>
      <c r="C361" s="99" t="s">
        <v>1133</v>
      </c>
      <c r="D361" s="99" t="s">
        <v>1375</v>
      </c>
      <c r="E361" s="99" t="s">
        <v>1176</v>
      </c>
      <c r="F361" s="101">
        <v>2.0</v>
      </c>
      <c r="G361" s="84">
        <v>1125000.0</v>
      </c>
      <c r="H361" s="102"/>
      <c r="I361" s="84">
        <f t="shared" si="47"/>
        <v>2250000</v>
      </c>
      <c r="J361" s="99"/>
      <c r="K361" s="99" t="s">
        <v>17</v>
      </c>
      <c r="L361" s="99"/>
    </row>
    <row r="362">
      <c r="A362" s="101" t="s">
        <v>1337</v>
      </c>
      <c r="B362" s="99"/>
      <c r="C362" s="99" t="s">
        <v>1133</v>
      </c>
      <c r="D362" s="99" t="s">
        <v>1376</v>
      </c>
      <c r="E362" s="99" t="s">
        <v>1176</v>
      </c>
      <c r="F362" s="101">
        <v>2.0</v>
      </c>
      <c r="G362" s="84">
        <v>1125000.0</v>
      </c>
      <c r="H362" s="102"/>
      <c r="I362" s="84">
        <f t="shared" si="47"/>
        <v>2250000</v>
      </c>
      <c r="J362" s="99"/>
      <c r="K362" s="99" t="s">
        <v>17</v>
      </c>
      <c r="L362" s="99"/>
    </row>
    <row r="363">
      <c r="A363" s="101" t="s">
        <v>1337</v>
      </c>
      <c r="B363" s="99"/>
      <c r="C363" s="99" t="s">
        <v>1133</v>
      </c>
      <c r="D363" s="99" t="s">
        <v>1371</v>
      </c>
      <c r="E363" s="99" t="s">
        <v>1176</v>
      </c>
      <c r="F363" s="101">
        <v>1.0</v>
      </c>
      <c r="G363" s="84">
        <v>1125000.0</v>
      </c>
      <c r="H363" s="102"/>
      <c r="I363" s="84">
        <f t="shared" si="47"/>
        <v>1125000</v>
      </c>
      <c r="J363" s="99"/>
      <c r="K363" s="99" t="s">
        <v>17</v>
      </c>
      <c r="L363" s="99"/>
    </row>
    <row r="364">
      <c r="A364" s="101" t="s">
        <v>1337</v>
      </c>
      <c r="B364" s="99"/>
      <c r="C364" s="99" t="s">
        <v>1133</v>
      </c>
      <c r="D364" s="99" t="s">
        <v>1377</v>
      </c>
      <c r="E364" s="99" t="s">
        <v>1176</v>
      </c>
      <c r="F364" s="101">
        <v>1.0</v>
      </c>
      <c r="G364" s="84">
        <v>255000.0</v>
      </c>
      <c r="H364" s="102"/>
      <c r="I364" s="84">
        <f t="shared" si="47"/>
        <v>255000</v>
      </c>
      <c r="J364" s="99"/>
      <c r="K364" s="99" t="s">
        <v>17</v>
      </c>
      <c r="L364" s="99"/>
    </row>
    <row r="365">
      <c r="A365" s="101" t="s">
        <v>1337</v>
      </c>
      <c r="B365" s="99"/>
      <c r="C365" s="99" t="s">
        <v>1133</v>
      </c>
      <c r="D365" s="99" t="s">
        <v>1378</v>
      </c>
      <c r="E365" s="99" t="s">
        <v>1176</v>
      </c>
      <c r="F365" s="101">
        <v>1.0</v>
      </c>
      <c r="G365" s="84">
        <v>1125000.0</v>
      </c>
      <c r="H365" s="102"/>
      <c r="I365" s="84">
        <f t="shared" si="47"/>
        <v>1125000</v>
      </c>
      <c r="J365" s="99"/>
      <c r="K365" s="99" t="s">
        <v>17</v>
      </c>
      <c r="L365" s="99"/>
    </row>
    <row r="366">
      <c r="A366" s="101" t="s">
        <v>1337</v>
      </c>
      <c r="B366" s="99"/>
      <c r="C366" s="99" t="s">
        <v>1133</v>
      </c>
      <c r="D366" s="99" t="s">
        <v>1379</v>
      </c>
      <c r="E366" s="99" t="s">
        <v>1176</v>
      </c>
      <c r="F366" s="101">
        <v>1.0</v>
      </c>
      <c r="G366" s="84">
        <v>255000.0</v>
      </c>
      <c r="H366" s="102"/>
      <c r="I366" s="84">
        <f t="shared" si="47"/>
        <v>255000</v>
      </c>
      <c r="J366" s="99"/>
      <c r="K366" s="99" t="s">
        <v>17</v>
      </c>
      <c r="L366" s="99"/>
    </row>
    <row r="367">
      <c r="A367" s="109" t="s">
        <v>1340</v>
      </c>
      <c r="B367" s="105"/>
      <c r="C367" s="99" t="s">
        <v>1133</v>
      </c>
      <c r="D367" s="105" t="s">
        <v>1380</v>
      </c>
      <c r="E367" s="99" t="s">
        <v>1176</v>
      </c>
      <c r="F367" s="109">
        <v>3.0</v>
      </c>
      <c r="G367" s="110">
        <v>1125000.0</v>
      </c>
      <c r="H367" s="105"/>
      <c r="I367" s="84">
        <f t="shared" si="47"/>
        <v>3375000</v>
      </c>
      <c r="J367" s="99"/>
      <c r="K367" s="99" t="s">
        <v>17</v>
      </c>
      <c r="L367" s="99"/>
    </row>
    <row r="368">
      <c r="A368" s="109" t="s">
        <v>1381</v>
      </c>
      <c r="B368" s="105"/>
      <c r="C368" s="99" t="s">
        <v>1133</v>
      </c>
      <c r="D368" s="105" t="s">
        <v>1378</v>
      </c>
      <c r="E368" s="99" t="s">
        <v>1176</v>
      </c>
      <c r="F368" s="109">
        <v>1.0</v>
      </c>
      <c r="G368" s="110">
        <v>1125000.0</v>
      </c>
      <c r="H368" s="105"/>
      <c r="I368" s="84">
        <f t="shared" si="47"/>
        <v>1125000</v>
      </c>
      <c r="J368" s="99"/>
      <c r="K368" s="99" t="s">
        <v>17</v>
      </c>
      <c r="L368" s="99"/>
    </row>
    <row r="369">
      <c r="A369" s="109" t="s">
        <v>1361</v>
      </c>
      <c r="B369" s="99"/>
      <c r="C369" s="99" t="s">
        <v>1133</v>
      </c>
      <c r="D369" s="99" t="s">
        <v>1382</v>
      </c>
      <c r="E369" s="99" t="s">
        <v>1176</v>
      </c>
      <c r="F369" s="101">
        <v>3.0</v>
      </c>
      <c r="G369" s="84">
        <v>1125000.0</v>
      </c>
      <c r="H369" s="102"/>
      <c r="I369" s="84">
        <f t="shared" si="47"/>
        <v>3375000</v>
      </c>
      <c r="J369" s="84">
        <f>sum(I351:I369)</f>
        <v>28785000</v>
      </c>
      <c r="K369" s="99" t="s">
        <v>1110</v>
      </c>
      <c r="L369" s="99"/>
    </row>
    <row r="370">
      <c r="A370" s="101"/>
      <c r="B370" s="99"/>
      <c r="C370" s="99"/>
      <c r="D370" s="99"/>
      <c r="E370" s="99"/>
      <c r="F370" s="99"/>
      <c r="G370" s="102"/>
      <c r="H370" s="102"/>
      <c r="I370" s="102"/>
      <c r="J370" s="99"/>
      <c r="K370" s="99"/>
      <c r="L370" s="99"/>
    </row>
    <row r="371">
      <c r="A371" s="101" t="s">
        <v>1337</v>
      </c>
      <c r="B371" s="99"/>
      <c r="C371" s="99" t="s">
        <v>1383</v>
      </c>
      <c r="D371" s="99" t="s">
        <v>1384</v>
      </c>
      <c r="E371" s="99" t="s">
        <v>1385</v>
      </c>
      <c r="F371" s="101">
        <v>9.0</v>
      </c>
      <c r="G371" s="84">
        <v>300000.0</v>
      </c>
      <c r="H371" s="102"/>
      <c r="I371" s="84">
        <f>F371*G371</f>
        <v>2700000</v>
      </c>
      <c r="J371" s="84">
        <f>I371</f>
        <v>2700000</v>
      </c>
      <c r="K371" s="99" t="s">
        <v>1110</v>
      </c>
      <c r="L371" s="99"/>
    </row>
    <row r="372">
      <c r="A372" s="101"/>
      <c r="B372" s="99"/>
      <c r="C372" s="99"/>
      <c r="D372" s="99"/>
      <c r="E372" s="99"/>
      <c r="F372" s="99"/>
      <c r="G372" s="102"/>
      <c r="H372" s="102"/>
      <c r="I372" s="102"/>
      <c r="J372" s="99"/>
      <c r="K372" s="99"/>
      <c r="L372" s="99"/>
    </row>
    <row r="373">
      <c r="A373" s="101" t="s">
        <v>1337</v>
      </c>
      <c r="B373" s="99"/>
      <c r="C373" s="99" t="s">
        <v>1347</v>
      </c>
      <c r="D373" s="99" t="s">
        <v>1117</v>
      </c>
      <c r="E373" s="99" t="s">
        <v>109</v>
      </c>
      <c r="F373" s="101">
        <v>70.0</v>
      </c>
      <c r="G373" s="84">
        <v>51000.0</v>
      </c>
      <c r="H373" s="102"/>
      <c r="I373" s="84">
        <f>F373*G373</f>
        <v>3570000</v>
      </c>
      <c r="J373" s="84">
        <f>I373</f>
        <v>3570000</v>
      </c>
      <c r="K373" s="99" t="s">
        <v>1110</v>
      </c>
      <c r="L373" s="99"/>
    </row>
    <row r="374">
      <c r="A374" s="109"/>
      <c r="B374" s="105"/>
      <c r="C374" s="105"/>
      <c r="D374" s="105"/>
      <c r="E374" s="105"/>
      <c r="F374" s="105"/>
      <c r="G374" s="113"/>
      <c r="H374" s="105"/>
      <c r="I374" s="105"/>
      <c r="J374" s="105"/>
      <c r="K374" s="99"/>
      <c r="L374" s="99"/>
    </row>
    <row r="375">
      <c r="A375" s="101" t="s">
        <v>1322</v>
      </c>
      <c r="B375" s="99"/>
      <c r="C375" s="105" t="s">
        <v>1386</v>
      </c>
      <c r="D375" s="105" t="s">
        <v>1387</v>
      </c>
      <c r="E375" s="105" t="s">
        <v>133</v>
      </c>
      <c r="F375" s="109">
        <v>53.0</v>
      </c>
      <c r="G375" s="110">
        <v>12000.0</v>
      </c>
      <c r="H375" s="102"/>
      <c r="I375" s="84">
        <f t="shared" ref="I375:I376" si="48">F375*G375</f>
        <v>636000</v>
      </c>
      <c r="J375" s="99"/>
      <c r="K375" s="99" t="s">
        <v>17</v>
      </c>
      <c r="L375" s="99"/>
    </row>
    <row r="376">
      <c r="A376" s="101"/>
      <c r="B376" s="99"/>
      <c r="C376" s="105"/>
      <c r="D376" s="105" t="s">
        <v>1388</v>
      </c>
      <c r="E376" s="105" t="s">
        <v>133</v>
      </c>
      <c r="F376" s="109">
        <v>130.0</v>
      </c>
      <c r="G376" s="110">
        <v>12000.0</v>
      </c>
      <c r="H376" s="102"/>
      <c r="I376" s="84">
        <f t="shared" si="48"/>
        <v>1560000</v>
      </c>
      <c r="J376" s="84">
        <f>sum(I375:I376)</f>
        <v>2196000</v>
      </c>
      <c r="K376" s="105" t="s">
        <v>1110</v>
      </c>
      <c r="L376" s="99"/>
    </row>
    <row r="377">
      <c r="A377" s="101"/>
      <c r="B377" s="99"/>
      <c r="C377" s="99"/>
      <c r="D377" s="99"/>
      <c r="E377" s="99"/>
      <c r="F377" s="99"/>
      <c r="G377" s="102"/>
      <c r="H377" s="102"/>
      <c r="I377" s="102"/>
      <c r="J377" s="99"/>
      <c r="K377" s="99"/>
      <c r="L377" s="99"/>
    </row>
    <row r="378">
      <c r="A378" s="103">
        <v>46157.0</v>
      </c>
      <c r="B378" s="99"/>
      <c r="C378" s="99" t="s">
        <v>214</v>
      </c>
      <c r="D378" s="99" t="s">
        <v>1389</v>
      </c>
      <c r="E378" s="99" t="s">
        <v>1390</v>
      </c>
      <c r="F378" s="101">
        <v>320.0</v>
      </c>
      <c r="G378" s="84">
        <v>560.0</v>
      </c>
      <c r="H378" s="102"/>
      <c r="I378" s="84">
        <f t="shared" ref="I378:I390" si="49">F378*G378</f>
        <v>179200</v>
      </c>
      <c r="J378" s="99"/>
      <c r="K378" s="99" t="s">
        <v>17</v>
      </c>
      <c r="L378" s="99"/>
    </row>
    <row r="379">
      <c r="A379" s="103">
        <v>46159.0</v>
      </c>
      <c r="B379" s="99"/>
      <c r="C379" s="99" t="s">
        <v>214</v>
      </c>
      <c r="D379" s="99" t="s">
        <v>1246</v>
      </c>
      <c r="E379" s="99" t="s">
        <v>1390</v>
      </c>
      <c r="F379" s="101">
        <v>1590.0</v>
      </c>
      <c r="G379" s="84">
        <v>560.0</v>
      </c>
      <c r="H379" s="102"/>
      <c r="I379" s="84">
        <f t="shared" si="49"/>
        <v>890400</v>
      </c>
      <c r="J379" s="99"/>
      <c r="K379" s="99" t="s">
        <v>17</v>
      </c>
      <c r="L379" s="99"/>
    </row>
    <row r="380">
      <c r="A380" s="101"/>
      <c r="B380" s="99"/>
      <c r="C380" s="99" t="s">
        <v>214</v>
      </c>
      <c r="D380" s="99" t="s">
        <v>1391</v>
      </c>
      <c r="E380" s="99" t="s">
        <v>1390</v>
      </c>
      <c r="F380" s="101">
        <v>2800.0</v>
      </c>
      <c r="G380" s="84">
        <v>480.0</v>
      </c>
      <c r="H380" s="102"/>
      <c r="I380" s="84">
        <f t="shared" si="49"/>
        <v>1344000</v>
      </c>
      <c r="J380" s="99"/>
      <c r="K380" s="99" t="s">
        <v>17</v>
      </c>
      <c r="L380" s="99"/>
    </row>
    <row r="381">
      <c r="A381" s="101"/>
      <c r="B381" s="99"/>
      <c r="C381" s="99" t="s">
        <v>214</v>
      </c>
      <c r="D381" s="99" t="s">
        <v>1392</v>
      </c>
      <c r="E381" s="99" t="s">
        <v>1390</v>
      </c>
      <c r="F381" s="101">
        <v>1300.0</v>
      </c>
      <c r="G381" s="84">
        <v>480.0</v>
      </c>
      <c r="H381" s="102"/>
      <c r="I381" s="84">
        <f t="shared" si="49"/>
        <v>624000</v>
      </c>
      <c r="J381" s="99"/>
      <c r="K381" s="99" t="s">
        <v>17</v>
      </c>
      <c r="L381" s="99"/>
    </row>
    <row r="382">
      <c r="A382" s="101"/>
      <c r="B382" s="99"/>
      <c r="C382" s="99" t="s">
        <v>214</v>
      </c>
      <c r="D382" s="99" t="s">
        <v>1245</v>
      </c>
      <c r="E382" s="99" t="s">
        <v>1390</v>
      </c>
      <c r="F382" s="101">
        <v>2080.0</v>
      </c>
      <c r="G382" s="84">
        <v>570.0</v>
      </c>
      <c r="H382" s="102"/>
      <c r="I382" s="84">
        <f t="shared" si="49"/>
        <v>1185600</v>
      </c>
      <c r="J382" s="99"/>
      <c r="K382" s="99" t="s">
        <v>17</v>
      </c>
      <c r="L382" s="99"/>
    </row>
    <row r="383">
      <c r="A383" s="103">
        <v>46161.0</v>
      </c>
      <c r="B383" s="99"/>
      <c r="C383" s="99" t="s">
        <v>214</v>
      </c>
      <c r="D383" s="99" t="s">
        <v>1393</v>
      </c>
      <c r="E383" s="99" t="s">
        <v>1390</v>
      </c>
      <c r="F383" s="101">
        <v>1225.0</v>
      </c>
      <c r="G383" s="84">
        <v>560.0</v>
      </c>
      <c r="H383" s="102"/>
      <c r="I383" s="84">
        <f t="shared" si="49"/>
        <v>686000</v>
      </c>
      <c r="J383" s="99"/>
      <c r="K383" s="99" t="s">
        <v>17</v>
      </c>
      <c r="L383" s="99"/>
    </row>
    <row r="384">
      <c r="A384" s="101"/>
      <c r="B384" s="99"/>
      <c r="C384" s="99" t="s">
        <v>214</v>
      </c>
      <c r="D384" s="99" t="s">
        <v>1394</v>
      </c>
      <c r="E384" s="99" t="s">
        <v>1390</v>
      </c>
      <c r="F384" s="101">
        <v>2600.0</v>
      </c>
      <c r="G384" s="84">
        <v>480.0</v>
      </c>
      <c r="H384" s="102"/>
      <c r="I384" s="84">
        <f t="shared" si="49"/>
        <v>1248000</v>
      </c>
      <c r="J384" s="99"/>
      <c r="K384" s="99" t="s">
        <v>17</v>
      </c>
      <c r="L384" s="99"/>
    </row>
    <row r="385">
      <c r="A385" s="101"/>
      <c r="B385" s="99"/>
      <c r="C385" s="99" t="s">
        <v>214</v>
      </c>
      <c r="D385" s="99" t="s">
        <v>1395</v>
      </c>
      <c r="E385" s="99" t="s">
        <v>1390</v>
      </c>
      <c r="F385" s="101">
        <v>2080.0</v>
      </c>
      <c r="G385" s="84">
        <v>560.0</v>
      </c>
      <c r="H385" s="102"/>
      <c r="I385" s="84">
        <f t="shared" si="49"/>
        <v>1164800</v>
      </c>
      <c r="J385" s="99"/>
      <c r="K385" s="99" t="s">
        <v>17</v>
      </c>
      <c r="L385" s="99"/>
    </row>
    <row r="386">
      <c r="A386" s="103">
        <v>46162.0</v>
      </c>
      <c r="B386" s="99"/>
      <c r="C386" s="99" t="s">
        <v>214</v>
      </c>
      <c r="D386" s="99" t="s">
        <v>1396</v>
      </c>
      <c r="E386" s="99" t="s">
        <v>1390</v>
      </c>
      <c r="F386" s="101">
        <v>2100.0</v>
      </c>
      <c r="G386" s="84">
        <v>480.0</v>
      </c>
      <c r="H386" s="102"/>
      <c r="I386" s="84">
        <f t="shared" si="49"/>
        <v>1008000</v>
      </c>
      <c r="J386" s="99"/>
      <c r="K386" s="99" t="s">
        <v>17</v>
      </c>
      <c r="L386" s="99"/>
    </row>
    <row r="387">
      <c r="A387" s="101"/>
      <c r="B387" s="99"/>
      <c r="C387" s="99" t="s">
        <v>214</v>
      </c>
      <c r="D387" s="99" t="s">
        <v>1397</v>
      </c>
      <c r="E387" s="99" t="s">
        <v>1390</v>
      </c>
      <c r="F387" s="101">
        <v>2550.0</v>
      </c>
      <c r="G387" s="84">
        <v>560.0</v>
      </c>
      <c r="H387" s="102"/>
      <c r="I387" s="84">
        <f t="shared" si="49"/>
        <v>1428000</v>
      </c>
      <c r="J387" s="99"/>
      <c r="K387" s="99" t="s">
        <v>17</v>
      </c>
      <c r="L387" s="99"/>
    </row>
    <row r="388">
      <c r="A388" s="101"/>
      <c r="B388" s="99"/>
      <c r="C388" s="99" t="s">
        <v>214</v>
      </c>
      <c r="D388" s="99" t="s">
        <v>1398</v>
      </c>
      <c r="E388" s="99" t="s">
        <v>1390</v>
      </c>
      <c r="F388" s="101">
        <v>1300.0</v>
      </c>
      <c r="G388" s="84">
        <v>560.0</v>
      </c>
      <c r="H388" s="102"/>
      <c r="I388" s="84">
        <f t="shared" si="49"/>
        <v>728000</v>
      </c>
      <c r="J388" s="99"/>
      <c r="K388" s="99" t="s">
        <v>17</v>
      </c>
      <c r="L388" s="99"/>
    </row>
    <row r="389">
      <c r="A389" s="103">
        <v>46163.0</v>
      </c>
      <c r="B389" s="99"/>
      <c r="C389" s="99" t="s">
        <v>214</v>
      </c>
      <c r="D389" s="99" t="s">
        <v>1246</v>
      </c>
      <c r="E389" s="99" t="s">
        <v>1390</v>
      </c>
      <c r="F389" s="101">
        <v>1290.0</v>
      </c>
      <c r="G389" s="84">
        <v>560.0</v>
      </c>
      <c r="H389" s="102"/>
      <c r="I389" s="84">
        <f t="shared" si="49"/>
        <v>722400</v>
      </c>
      <c r="J389" s="99"/>
      <c r="K389" s="99" t="s">
        <v>17</v>
      </c>
      <c r="L389" s="99"/>
    </row>
    <row r="390">
      <c r="A390" s="108">
        <v>46164.0</v>
      </c>
      <c r="B390" s="105"/>
      <c r="C390" s="99" t="s">
        <v>214</v>
      </c>
      <c r="D390" s="105" t="s">
        <v>1399</v>
      </c>
      <c r="E390" s="99" t="s">
        <v>1390</v>
      </c>
      <c r="F390" s="109">
        <v>1070.0</v>
      </c>
      <c r="G390" s="110">
        <v>480.0</v>
      </c>
      <c r="H390" s="113"/>
      <c r="I390" s="84">
        <f t="shared" si="49"/>
        <v>513600</v>
      </c>
      <c r="J390" s="110">
        <f>sum(I378:I390)</f>
        <v>11722000</v>
      </c>
      <c r="K390" s="105" t="s">
        <v>1110</v>
      </c>
      <c r="L390" s="105"/>
    </row>
    <row r="391">
      <c r="A391" s="109"/>
      <c r="B391" s="105"/>
      <c r="C391" s="105"/>
      <c r="D391" s="105"/>
      <c r="E391" s="105"/>
      <c r="F391" s="105"/>
      <c r="G391" s="113"/>
      <c r="H391" s="113"/>
      <c r="I391" s="113"/>
      <c r="J391" s="105"/>
      <c r="K391" s="105"/>
      <c r="L391" s="105"/>
    </row>
    <row r="392">
      <c r="A392" s="108"/>
      <c r="B392" s="105"/>
      <c r="C392" s="105"/>
      <c r="D392" s="105"/>
      <c r="E392" s="105"/>
      <c r="F392" s="105"/>
      <c r="G392" s="113"/>
      <c r="H392" s="113"/>
      <c r="I392" s="113"/>
      <c r="J392" s="105"/>
      <c r="K392" s="105"/>
      <c r="L392" s="105"/>
    </row>
    <row r="393">
      <c r="A393" s="109" t="s">
        <v>1340</v>
      </c>
      <c r="B393" s="105"/>
      <c r="C393" s="105" t="s">
        <v>1351</v>
      </c>
      <c r="D393" s="105" t="s">
        <v>1400</v>
      </c>
      <c r="E393" s="105" t="s">
        <v>109</v>
      </c>
      <c r="F393" s="109">
        <v>80.0</v>
      </c>
      <c r="G393" s="110">
        <v>25000.0</v>
      </c>
      <c r="H393" s="113"/>
      <c r="I393" s="110">
        <f t="shared" ref="I393:I395" si="50">F393*G393</f>
        <v>2000000</v>
      </c>
      <c r="J393" s="105"/>
      <c r="K393" s="105" t="s">
        <v>17</v>
      </c>
      <c r="L393" s="105"/>
    </row>
    <row r="394">
      <c r="A394" s="109" t="s">
        <v>1340</v>
      </c>
      <c r="B394" s="105"/>
      <c r="C394" s="105" t="s">
        <v>1351</v>
      </c>
      <c r="D394" s="105" t="s">
        <v>107</v>
      </c>
      <c r="E394" s="105" t="s">
        <v>67</v>
      </c>
      <c r="F394" s="109">
        <v>75.0</v>
      </c>
      <c r="G394" s="110">
        <v>12000.0</v>
      </c>
      <c r="H394" s="113"/>
      <c r="I394" s="110">
        <f t="shared" si="50"/>
        <v>900000</v>
      </c>
      <c r="J394" s="105"/>
      <c r="K394" s="105" t="s">
        <v>17</v>
      </c>
      <c r="L394" s="105"/>
    </row>
    <row r="395">
      <c r="A395" s="109" t="s">
        <v>1340</v>
      </c>
      <c r="B395" s="105"/>
      <c r="C395" s="105" t="s">
        <v>1351</v>
      </c>
      <c r="D395" s="105" t="s">
        <v>1132</v>
      </c>
      <c r="E395" s="105" t="s">
        <v>67</v>
      </c>
      <c r="F395" s="109">
        <v>14.0</v>
      </c>
      <c r="G395" s="110">
        <v>12000.0</v>
      </c>
      <c r="H395" s="113"/>
      <c r="I395" s="110">
        <f t="shared" si="50"/>
        <v>168000</v>
      </c>
      <c r="J395" s="110">
        <f>sum(I393:I395)</f>
        <v>3068000</v>
      </c>
      <c r="K395" s="105" t="s">
        <v>1110</v>
      </c>
      <c r="L395" s="105"/>
    </row>
    <row r="396">
      <c r="A396" s="109"/>
      <c r="B396" s="105"/>
      <c r="C396" s="105"/>
      <c r="D396" s="105"/>
      <c r="E396" s="105"/>
      <c r="F396" s="105"/>
      <c r="G396" s="113"/>
      <c r="H396" s="113"/>
      <c r="I396" s="113"/>
      <c r="J396" s="105"/>
      <c r="K396" s="105"/>
      <c r="L396" s="105"/>
    </row>
    <row r="397">
      <c r="A397" s="109" t="s">
        <v>1337</v>
      </c>
      <c r="B397" s="105"/>
      <c r="C397" s="105" t="s">
        <v>1217</v>
      </c>
      <c r="D397" s="105" t="s">
        <v>1401</v>
      </c>
      <c r="E397" s="105"/>
      <c r="F397" s="109">
        <v>260.0</v>
      </c>
      <c r="G397" s="110">
        <v>12000.0</v>
      </c>
      <c r="H397" s="113"/>
      <c r="I397" s="110">
        <f>F397*G397</f>
        <v>3120000</v>
      </c>
      <c r="J397" s="110">
        <f>I397</f>
        <v>3120000</v>
      </c>
      <c r="K397" s="135" t="s">
        <v>1110</v>
      </c>
      <c r="L397" s="105"/>
    </row>
    <row r="398">
      <c r="A398" s="109"/>
      <c r="B398" s="105"/>
      <c r="C398" s="105"/>
      <c r="D398" s="105"/>
      <c r="E398" s="105"/>
      <c r="F398" s="105"/>
      <c r="G398" s="113"/>
      <c r="H398" s="113"/>
      <c r="I398" s="113"/>
      <c r="J398" s="105"/>
      <c r="K398" s="105"/>
      <c r="L398" s="105"/>
    </row>
    <row r="399">
      <c r="A399" s="109" t="s">
        <v>1402</v>
      </c>
      <c r="B399" s="105"/>
      <c r="C399" s="105" t="s">
        <v>1193</v>
      </c>
      <c r="D399" s="105" t="s">
        <v>1403</v>
      </c>
      <c r="E399" s="105" t="s">
        <v>109</v>
      </c>
      <c r="F399" s="109">
        <v>72.0</v>
      </c>
      <c r="G399" s="110">
        <v>44500.0</v>
      </c>
      <c r="H399" s="113"/>
      <c r="I399" s="110">
        <f t="shared" ref="I399:I400" si="51">F399*G399</f>
        <v>3204000</v>
      </c>
      <c r="J399" s="105"/>
      <c r="K399" s="105" t="s">
        <v>17</v>
      </c>
      <c r="L399" s="105"/>
    </row>
    <row r="400">
      <c r="A400" s="109" t="s">
        <v>1404</v>
      </c>
      <c r="B400" s="105"/>
      <c r="C400" s="105"/>
      <c r="D400" s="105" t="s">
        <v>1405</v>
      </c>
      <c r="E400" s="105" t="s">
        <v>109</v>
      </c>
      <c r="F400" s="109">
        <v>55.0</v>
      </c>
      <c r="G400" s="110">
        <v>46000.0</v>
      </c>
      <c r="H400" s="113"/>
      <c r="I400" s="110">
        <f t="shared" si="51"/>
        <v>2530000</v>
      </c>
      <c r="J400" s="110">
        <f>sum(I399:I400)</f>
        <v>5734000</v>
      </c>
      <c r="K400" s="135" t="s">
        <v>1110</v>
      </c>
      <c r="L400" s="105"/>
    </row>
    <row r="401">
      <c r="A401" s="109"/>
      <c r="B401" s="105"/>
      <c r="C401" s="105"/>
      <c r="D401" s="105"/>
      <c r="E401" s="105"/>
      <c r="F401" s="105"/>
      <c r="G401" s="113"/>
      <c r="H401" s="113"/>
      <c r="I401" s="113"/>
      <c r="J401" s="105"/>
      <c r="K401" s="105"/>
      <c r="L401" s="105"/>
    </row>
    <row r="402">
      <c r="A402" s="109" t="s">
        <v>1322</v>
      </c>
      <c r="B402" s="105"/>
      <c r="C402" s="105" t="s">
        <v>65</v>
      </c>
      <c r="D402" s="105" t="s">
        <v>66</v>
      </c>
      <c r="E402" s="105" t="s">
        <v>67</v>
      </c>
      <c r="F402" s="109">
        <v>46.0</v>
      </c>
      <c r="G402" s="110">
        <v>12000.0</v>
      </c>
      <c r="H402" s="113"/>
      <c r="I402" s="110">
        <f t="shared" ref="I402:I406" si="52">F402*G402</f>
        <v>552000</v>
      </c>
      <c r="J402" s="105"/>
      <c r="K402" s="135" t="s">
        <v>17</v>
      </c>
      <c r="L402" s="105"/>
    </row>
    <row r="403">
      <c r="A403" s="109" t="s">
        <v>1332</v>
      </c>
      <c r="B403" s="105"/>
      <c r="C403" s="105" t="s">
        <v>65</v>
      </c>
      <c r="D403" s="105" t="s">
        <v>66</v>
      </c>
      <c r="E403" s="105" t="s">
        <v>67</v>
      </c>
      <c r="F403" s="109">
        <v>60.0</v>
      </c>
      <c r="G403" s="110">
        <v>12000.0</v>
      </c>
      <c r="H403" s="113"/>
      <c r="I403" s="110">
        <f t="shared" si="52"/>
        <v>720000</v>
      </c>
      <c r="J403" s="105"/>
      <c r="K403" s="135" t="s">
        <v>17</v>
      </c>
      <c r="L403" s="105"/>
    </row>
    <row r="404">
      <c r="A404" s="109" t="s">
        <v>1327</v>
      </c>
      <c r="B404" s="105"/>
      <c r="C404" s="105" t="s">
        <v>65</v>
      </c>
      <c r="D404" s="105" t="s">
        <v>68</v>
      </c>
      <c r="E404" s="105" t="s">
        <v>69</v>
      </c>
      <c r="F404" s="109">
        <v>1424.0</v>
      </c>
      <c r="G404" s="110">
        <v>750.0</v>
      </c>
      <c r="H404" s="113"/>
      <c r="I404" s="110">
        <f t="shared" si="52"/>
        <v>1068000</v>
      </c>
      <c r="J404" s="105"/>
      <c r="K404" s="135" t="s">
        <v>17</v>
      </c>
      <c r="L404" s="105"/>
    </row>
    <row r="405">
      <c r="A405" s="109" t="s">
        <v>1337</v>
      </c>
      <c r="B405" s="105"/>
      <c r="C405" s="105" t="s">
        <v>65</v>
      </c>
      <c r="D405" s="105" t="s">
        <v>70</v>
      </c>
      <c r="E405" s="105" t="s">
        <v>69</v>
      </c>
      <c r="F405" s="109">
        <v>1424.0</v>
      </c>
      <c r="G405" s="110">
        <v>500.0</v>
      </c>
      <c r="H405" s="113"/>
      <c r="I405" s="110">
        <f t="shared" si="52"/>
        <v>712000</v>
      </c>
      <c r="J405" s="105"/>
      <c r="K405" s="135" t="s">
        <v>17</v>
      </c>
      <c r="L405" s="105"/>
    </row>
    <row r="406">
      <c r="A406" s="109" t="s">
        <v>1406</v>
      </c>
      <c r="B406" s="105"/>
      <c r="C406" s="105" t="s">
        <v>65</v>
      </c>
      <c r="D406" s="105" t="s">
        <v>70</v>
      </c>
      <c r="E406" s="105" t="s">
        <v>69</v>
      </c>
      <c r="F406" s="109">
        <v>1424.0</v>
      </c>
      <c r="G406" s="110">
        <v>500.0</v>
      </c>
      <c r="H406" s="113"/>
      <c r="I406" s="110">
        <f t="shared" si="52"/>
        <v>712000</v>
      </c>
      <c r="J406" s="110">
        <f>sum(I402:I406)</f>
        <v>3764000</v>
      </c>
      <c r="K406" s="135" t="s">
        <v>1110</v>
      </c>
      <c r="L406" s="105"/>
    </row>
    <row r="407">
      <c r="A407" s="109"/>
      <c r="B407" s="105"/>
      <c r="C407" s="105"/>
      <c r="D407" s="105"/>
      <c r="E407" s="105"/>
      <c r="F407" s="105"/>
      <c r="G407" s="113"/>
      <c r="H407" s="113"/>
      <c r="I407" s="113"/>
      <c r="J407" s="105"/>
      <c r="K407" s="105"/>
      <c r="L407" s="105"/>
    </row>
    <row r="408">
      <c r="A408" s="136" t="s">
        <v>1340</v>
      </c>
      <c r="B408" s="105"/>
      <c r="C408" s="39" t="s">
        <v>777</v>
      </c>
      <c r="D408" s="39" t="s">
        <v>778</v>
      </c>
      <c r="E408" s="39" t="s">
        <v>779</v>
      </c>
      <c r="F408" s="39">
        <v>1.0</v>
      </c>
      <c r="G408" s="38">
        <v>1125000.0</v>
      </c>
      <c r="H408" s="113"/>
      <c r="I408" s="113">
        <f t="shared" ref="I408:I409" si="53">F408*G408</f>
        <v>1125000</v>
      </c>
      <c r="J408" s="105"/>
      <c r="K408" s="39" t="s">
        <v>167</v>
      </c>
    </row>
    <row r="409">
      <c r="A409" s="136" t="s">
        <v>1042</v>
      </c>
      <c r="B409" s="105"/>
      <c r="C409" s="39" t="s">
        <v>777</v>
      </c>
      <c r="D409" s="39" t="s">
        <v>780</v>
      </c>
      <c r="E409" s="39" t="s">
        <v>779</v>
      </c>
      <c r="F409" s="39">
        <v>2.0</v>
      </c>
      <c r="G409" s="38">
        <v>1125000.0</v>
      </c>
      <c r="H409" s="113"/>
      <c r="I409" s="110">
        <f t="shared" si="53"/>
        <v>2250000</v>
      </c>
      <c r="J409" s="110">
        <f>SUM(I408:I409)</f>
        <v>3375000</v>
      </c>
      <c r="K409" s="39" t="s">
        <v>1110</v>
      </c>
    </row>
    <row r="410">
      <c r="A410" s="137"/>
      <c r="G410" s="40"/>
    </row>
    <row r="411">
      <c r="A411" s="138"/>
      <c r="G411" s="40"/>
      <c r="H411" s="40"/>
      <c r="I411" s="40"/>
    </row>
    <row r="412">
      <c r="A412" s="138" t="s">
        <v>1034</v>
      </c>
      <c r="C412" s="39" t="s">
        <v>189</v>
      </c>
      <c r="D412" s="39" t="s">
        <v>786</v>
      </c>
      <c r="E412" s="39" t="s">
        <v>779</v>
      </c>
      <c r="F412" s="39">
        <v>2.0</v>
      </c>
      <c r="G412" s="38">
        <v>1125000.0</v>
      </c>
      <c r="H412" s="40"/>
      <c r="I412" s="40">
        <f t="shared" ref="I412:I420" si="54">F412*G412</f>
        <v>2250000</v>
      </c>
      <c r="K412" s="39" t="s">
        <v>17</v>
      </c>
    </row>
    <row r="413">
      <c r="A413" s="138" t="s">
        <v>1034</v>
      </c>
      <c r="C413" s="39" t="s">
        <v>189</v>
      </c>
      <c r="D413" s="39" t="s">
        <v>778</v>
      </c>
      <c r="E413" s="39" t="s">
        <v>779</v>
      </c>
      <c r="F413" s="39">
        <v>1.0</v>
      </c>
      <c r="G413" s="38">
        <v>1125000.0</v>
      </c>
      <c r="I413" s="40">
        <f t="shared" si="54"/>
        <v>1125000</v>
      </c>
      <c r="K413" s="39" t="s">
        <v>17</v>
      </c>
    </row>
    <row r="414">
      <c r="A414" s="138" t="s">
        <v>1034</v>
      </c>
      <c r="C414" s="39" t="s">
        <v>189</v>
      </c>
      <c r="D414" s="39" t="s">
        <v>787</v>
      </c>
      <c r="E414" s="39" t="s">
        <v>779</v>
      </c>
      <c r="F414" s="39">
        <v>1.0</v>
      </c>
      <c r="G414" s="38">
        <v>1125000.0</v>
      </c>
      <c r="H414" s="40"/>
      <c r="I414" s="40">
        <f t="shared" si="54"/>
        <v>1125000</v>
      </c>
      <c r="J414" s="40"/>
      <c r="K414" s="39" t="s">
        <v>17</v>
      </c>
    </row>
    <row r="415">
      <c r="A415" s="138" t="s">
        <v>1407</v>
      </c>
      <c r="C415" s="39" t="s">
        <v>189</v>
      </c>
      <c r="D415" s="39" t="s">
        <v>786</v>
      </c>
      <c r="E415" s="39" t="s">
        <v>779</v>
      </c>
      <c r="F415" s="39">
        <v>1.0</v>
      </c>
      <c r="G415" s="38">
        <v>1125000.0</v>
      </c>
      <c r="H415" s="40"/>
      <c r="I415" s="40">
        <f t="shared" si="54"/>
        <v>1125000</v>
      </c>
      <c r="J415" s="40"/>
      <c r="K415" s="39" t="s">
        <v>17</v>
      </c>
    </row>
    <row r="416">
      <c r="A416" s="138" t="s">
        <v>1407</v>
      </c>
      <c r="C416" s="39" t="s">
        <v>189</v>
      </c>
      <c r="D416" s="39" t="s">
        <v>787</v>
      </c>
      <c r="E416" s="39" t="s">
        <v>779</v>
      </c>
      <c r="F416" s="39">
        <v>2.0</v>
      </c>
      <c r="G416" s="38">
        <v>1125000.0</v>
      </c>
      <c r="H416" s="40"/>
      <c r="I416" s="40">
        <f t="shared" si="54"/>
        <v>2250000</v>
      </c>
      <c r="J416" s="40"/>
      <c r="K416" s="39" t="s">
        <v>17</v>
      </c>
    </row>
    <row r="417">
      <c r="A417" s="138" t="s">
        <v>1407</v>
      </c>
      <c r="C417" s="39" t="s">
        <v>189</v>
      </c>
      <c r="D417" s="39" t="s">
        <v>788</v>
      </c>
      <c r="E417" s="39" t="s">
        <v>779</v>
      </c>
      <c r="F417" s="39">
        <v>2.0</v>
      </c>
      <c r="G417" s="38">
        <v>1125000.0</v>
      </c>
      <c r="H417" s="40"/>
      <c r="I417" s="40">
        <f t="shared" si="54"/>
        <v>2250000</v>
      </c>
      <c r="J417" s="40"/>
      <c r="K417" s="39" t="s">
        <v>17</v>
      </c>
    </row>
    <row r="418">
      <c r="A418" s="138" t="s">
        <v>1407</v>
      </c>
      <c r="C418" s="39" t="s">
        <v>189</v>
      </c>
      <c r="D418" s="39" t="s">
        <v>789</v>
      </c>
      <c r="E418" s="39" t="s">
        <v>779</v>
      </c>
      <c r="F418" s="39">
        <v>2.0</v>
      </c>
      <c r="G418" s="38">
        <v>255000.0</v>
      </c>
      <c r="I418" s="40">
        <f t="shared" si="54"/>
        <v>510000</v>
      </c>
      <c r="K418" s="39" t="s">
        <v>17</v>
      </c>
    </row>
    <row r="419">
      <c r="A419" s="138" t="s">
        <v>1407</v>
      </c>
      <c r="C419" s="39" t="s">
        <v>189</v>
      </c>
      <c r="D419" s="39" t="s">
        <v>778</v>
      </c>
      <c r="E419" s="39" t="s">
        <v>779</v>
      </c>
      <c r="F419" s="39">
        <v>1.0</v>
      </c>
      <c r="G419" s="38">
        <v>1125000.0</v>
      </c>
      <c r="I419" s="40">
        <f t="shared" si="54"/>
        <v>1125000</v>
      </c>
      <c r="K419" s="39" t="s">
        <v>17</v>
      </c>
    </row>
    <row r="420">
      <c r="A420" s="138" t="s">
        <v>1408</v>
      </c>
      <c r="C420" s="39" t="s">
        <v>189</v>
      </c>
      <c r="D420" s="39" t="s">
        <v>780</v>
      </c>
      <c r="E420" s="39" t="s">
        <v>779</v>
      </c>
      <c r="F420" s="39">
        <v>2.0</v>
      </c>
      <c r="G420" s="38">
        <v>1125000.0</v>
      </c>
      <c r="H420" s="40"/>
      <c r="I420" s="40">
        <f t="shared" si="54"/>
        <v>2250000</v>
      </c>
      <c r="J420" s="40">
        <f>sum(I412:I420)</f>
        <v>14010000</v>
      </c>
      <c r="K420" s="39" t="s">
        <v>1110</v>
      </c>
    </row>
    <row r="421">
      <c r="A421" s="138"/>
      <c r="C421" s="39"/>
      <c r="D421" s="39"/>
      <c r="E421" s="39"/>
      <c r="F421" s="39"/>
      <c r="G421" s="38"/>
      <c r="I421" s="40"/>
    </row>
    <row r="422">
      <c r="A422" s="138" t="s">
        <v>1409</v>
      </c>
      <c r="C422" s="39" t="s">
        <v>189</v>
      </c>
      <c r="D422" s="39" t="s">
        <v>190</v>
      </c>
      <c r="E422" s="39" t="s">
        <v>16</v>
      </c>
      <c r="F422" s="39">
        <v>183.0</v>
      </c>
      <c r="G422" s="38">
        <v>28500.0</v>
      </c>
      <c r="I422" s="40">
        <f t="shared" ref="I422:I426" si="55">F422*G422</f>
        <v>5215500</v>
      </c>
      <c r="K422" s="39" t="s">
        <v>17</v>
      </c>
    </row>
    <row r="423">
      <c r="A423" s="138" t="s">
        <v>1409</v>
      </c>
      <c r="C423" s="39" t="s">
        <v>189</v>
      </c>
      <c r="D423" s="39" t="s">
        <v>191</v>
      </c>
      <c r="E423" s="39" t="s">
        <v>50</v>
      </c>
      <c r="F423" s="39">
        <v>2158.0</v>
      </c>
      <c r="G423" s="38">
        <v>1650.0</v>
      </c>
      <c r="I423" s="40">
        <f t="shared" si="55"/>
        <v>3560700</v>
      </c>
      <c r="K423" s="39" t="s">
        <v>17</v>
      </c>
    </row>
    <row r="424">
      <c r="A424" s="138" t="s">
        <v>1410</v>
      </c>
      <c r="C424" s="39" t="s">
        <v>189</v>
      </c>
      <c r="D424" s="39" t="s">
        <v>192</v>
      </c>
      <c r="E424" s="39" t="s">
        <v>16</v>
      </c>
      <c r="F424" s="39">
        <v>164.0</v>
      </c>
      <c r="G424" s="38">
        <v>15500.0</v>
      </c>
      <c r="I424" s="40">
        <f t="shared" si="55"/>
        <v>2542000</v>
      </c>
      <c r="K424" s="39" t="s">
        <v>17</v>
      </c>
    </row>
    <row r="425">
      <c r="A425" s="138" t="s">
        <v>1410</v>
      </c>
      <c r="C425" s="39" t="s">
        <v>189</v>
      </c>
      <c r="D425" s="39" t="s">
        <v>193</v>
      </c>
      <c r="E425" s="39" t="s">
        <v>16</v>
      </c>
      <c r="F425" s="39">
        <v>133.9</v>
      </c>
      <c r="G425" s="38">
        <v>12000.0</v>
      </c>
      <c r="I425" s="40">
        <f t="shared" si="55"/>
        <v>1606800</v>
      </c>
      <c r="K425" s="39" t="s">
        <v>17</v>
      </c>
    </row>
    <row r="426">
      <c r="A426" s="138" t="s">
        <v>1410</v>
      </c>
      <c r="C426" s="39" t="s">
        <v>189</v>
      </c>
      <c r="D426" s="39" t="s">
        <v>191</v>
      </c>
      <c r="E426" s="39" t="s">
        <v>50</v>
      </c>
      <c r="F426" s="39">
        <v>400.0</v>
      </c>
      <c r="G426" s="38">
        <v>1650.0</v>
      </c>
      <c r="I426" s="40">
        <f t="shared" si="55"/>
        <v>660000</v>
      </c>
      <c r="J426" s="40">
        <f>SUM(I422:I426)</f>
        <v>13585000</v>
      </c>
      <c r="K426" s="39" t="s">
        <v>1110</v>
      </c>
    </row>
    <row r="427">
      <c r="A427" s="138"/>
      <c r="C427" s="39"/>
      <c r="D427" s="39"/>
      <c r="E427" s="39"/>
      <c r="F427" s="39"/>
      <c r="G427" s="38"/>
      <c r="K427" s="39"/>
    </row>
    <row r="428">
      <c r="A428" s="138" t="s">
        <v>1034</v>
      </c>
      <c r="C428" s="39" t="s">
        <v>113</v>
      </c>
      <c r="D428" s="39" t="s">
        <v>1411</v>
      </c>
      <c r="E428" s="39" t="s">
        <v>16</v>
      </c>
      <c r="F428" s="39">
        <v>5.25</v>
      </c>
      <c r="G428" s="38">
        <v>22000.0</v>
      </c>
      <c r="I428" s="40">
        <f t="shared" ref="I428:I432" si="56">F428*G428</f>
        <v>115500</v>
      </c>
      <c r="K428" s="39" t="s">
        <v>17</v>
      </c>
    </row>
    <row r="429">
      <c r="A429" s="138" t="s">
        <v>1408</v>
      </c>
      <c r="C429" s="39" t="s">
        <v>113</v>
      </c>
      <c r="D429" s="39" t="s">
        <v>1412</v>
      </c>
      <c r="E429" s="39" t="s">
        <v>16</v>
      </c>
      <c r="F429" s="39">
        <v>308.0</v>
      </c>
      <c r="G429" s="38">
        <v>35000.0</v>
      </c>
      <c r="I429" s="40">
        <f t="shared" si="56"/>
        <v>10780000</v>
      </c>
      <c r="K429" s="139" t="s">
        <v>17</v>
      </c>
    </row>
    <row r="430">
      <c r="A430" s="137"/>
      <c r="D430" s="39" t="s">
        <v>1413</v>
      </c>
      <c r="E430" s="39" t="s">
        <v>16</v>
      </c>
      <c r="F430" s="39">
        <v>80.0</v>
      </c>
      <c r="G430" s="38">
        <v>46500.0</v>
      </c>
      <c r="I430" s="40">
        <f t="shared" si="56"/>
        <v>3720000</v>
      </c>
      <c r="K430" s="39" t="s">
        <v>17</v>
      </c>
    </row>
    <row r="431">
      <c r="A431" s="137"/>
      <c r="D431" s="39" t="s">
        <v>1414</v>
      </c>
      <c r="E431" s="39" t="s">
        <v>16</v>
      </c>
      <c r="F431" s="39">
        <v>12.0</v>
      </c>
      <c r="G431" s="38">
        <v>22000.0</v>
      </c>
      <c r="I431" s="40">
        <f t="shared" si="56"/>
        <v>264000</v>
      </c>
      <c r="J431" s="140"/>
      <c r="K431" s="39" t="s">
        <v>17</v>
      </c>
    </row>
    <row r="432">
      <c r="A432" s="137"/>
      <c r="D432" s="39" t="s">
        <v>1415</v>
      </c>
      <c r="E432" s="39" t="s">
        <v>16</v>
      </c>
      <c r="F432" s="39">
        <v>90.0</v>
      </c>
      <c r="G432" s="38">
        <v>46500.0</v>
      </c>
      <c r="I432" s="40">
        <f t="shared" si="56"/>
        <v>4185000</v>
      </c>
      <c r="J432" s="85">
        <f>sum(I428:I432)</f>
        <v>19064500</v>
      </c>
      <c r="K432" s="39" t="s">
        <v>1110</v>
      </c>
    </row>
    <row r="433">
      <c r="A433" s="137"/>
      <c r="G433" s="40"/>
    </row>
    <row r="434">
      <c r="A434" s="138" t="s">
        <v>1408</v>
      </c>
      <c r="C434" s="39" t="s">
        <v>122</v>
      </c>
      <c r="D434" s="39" t="s">
        <v>195</v>
      </c>
      <c r="E434" s="39" t="s">
        <v>16</v>
      </c>
      <c r="F434" s="39">
        <v>5550.0</v>
      </c>
      <c r="G434" s="38">
        <v>1800.0</v>
      </c>
      <c r="I434" s="40">
        <f t="shared" ref="I434:I440" si="57">F434*G434</f>
        <v>9990000</v>
      </c>
      <c r="K434" s="39" t="s">
        <v>1416</v>
      </c>
    </row>
    <row r="435">
      <c r="A435" s="137"/>
      <c r="C435" s="39" t="s">
        <v>122</v>
      </c>
      <c r="D435" s="39" t="s">
        <v>198</v>
      </c>
      <c r="E435" s="39" t="s">
        <v>186</v>
      </c>
      <c r="F435" s="39">
        <v>21.0</v>
      </c>
      <c r="G435" s="38">
        <v>590000.0</v>
      </c>
      <c r="I435" s="40">
        <f t="shared" si="57"/>
        <v>12390000</v>
      </c>
      <c r="K435" s="39" t="s">
        <v>17</v>
      </c>
    </row>
    <row r="436">
      <c r="A436" s="137"/>
      <c r="C436" s="39" t="s">
        <v>122</v>
      </c>
      <c r="D436" s="39" t="s">
        <v>199</v>
      </c>
      <c r="E436" s="39" t="s">
        <v>186</v>
      </c>
      <c r="F436" s="39">
        <v>18.0</v>
      </c>
      <c r="G436" s="38">
        <v>355000.0</v>
      </c>
      <c r="I436" s="40">
        <f t="shared" si="57"/>
        <v>6390000</v>
      </c>
      <c r="K436" s="39" t="s">
        <v>17</v>
      </c>
    </row>
    <row r="437">
      <c r="A437" s="137"/>
      <c r="C437" s="39" t="s">
        <v>122</v>
      </c>
      <c r="D437" s="39" t="s">
        <v>200</v>
      </c>
      <c r="E437" s="39" t="s">
        <v>201</v>
      </c>
      <c r="F437" s="39">
        <v>29.0</v>
      </c>
      <c r="G437" s="38">
        <v>255000.0</v>
      </c>
      <c r="I437" s="40">
        <f t="shared" si="57"/>
        <v>7395000</v>
      </c>
      <c r="K437" s="39" t="s">
        <v>17</v>
      </c>
    </row>
    <row r="438">
      <c r="A438" s="137"/>
      <c r="C438" s="39" t="s">
        <v>122</v>
      </c>
      <c r="D438" s="39" t="s">
        <v>202</v>
      </c>
      <c r="E438" s="39" t="s">
        <v>186</v>
      </c>
      <c r="F438" s="39">
        <v>6.0</v>
      </c>
      <c r="G438" s="38">
        <v>590000.0</v>
      </c>
      <c r="I438" s="40">
        <f t="shared" si="57"/>
        <v>3540000</v>
      </c>
      <c r="J438" s="40">
        <f>sum(I434:I438)</f>
        <v>39705000</v>
      </c>
      <c r="K438" s="39" t="s">
        <v>1110</v>
      </c>
    </row>
    <row r="439">
      <c r="A439" s="138" t="s">
        <v>1045</v>
      </c>
      <c r="C439" s="39" t="s">
        <v>122</v>
      </c>
      <c r="D439" s="39" t="s">
        <v>225</v>
      </c>
      <c r="E439" s="39" t="s">
        <v>16</v>
      </c>
      <c r="F439" s="39">
        <v>125.0</v>
      </c>
      <c r="G439" s="38">
        <v>25000.0</v>
      </c>
      <c r="I439" s="40">
        <f t="shared" si="57"/>
        <v>3125000</v>
      </c>
      <c r="K439" s="39" t="s">
        <v>17</v>
      </c>
    </row>
    <row r="440">
      <c r="A440" s="137"/>
      <c r="C440" s="39" t="s">
        <v>122</v>
      </c>
      <c r="D440" s="39" t="s">
        <v>226</v>
      </c>
      <c r="E440" s="39" t="s">
        <v>16</v>
      </c>
      <c r="F440" s="39">
        <v>60.0</v>
      </c>
      <c r="G440" s="38">
        <v>25000.0</v>
      </c>
      <c r="I440" s="40">
        <f t="shared" si="57"/>
        <v>1500000</v>
      </c>
      <c r="J440" s="85">
        <f>SUM(I439:I440)</f>
        <v>4625000</v>
      </c>
      <c r="K440" s="39" t="s">
        <v>1110</v>
      </c>
    </row>
    <row r="441">
      <c r="A441" s="137"/>
      <c r="G441" s="40"/>
    </row>
    <row r="442">
      <c r="A442" s="138" t="s">
        <v>1408</v>
      </c>
      <c r="C442" s="39" t="s">
        <v>106</v>
      </c>
      <c r="D442" s="39" t="s">
        <v>187</v>
      </c>
      <c r="E442" s="39" t="s">
        <v>133</v>
      </c>
      <c r="F442" s="39">
        <v>75.0</v>
      </c>
      <c r="G442" s="38">
        <v>12000.0</v>
      </c>
      <c r="I442" s="40">
        <f t="shared" ref="I442:I443" si="58">F442*G442</f>
        <v>900000</v>
      </c>
      <c r="K442" s="39" t="s">
        <v>17</v>
      </c>
    </row>
    <row r="443">
      <c r="A443" s="137"/>
      <c r="D443" s="39" t="s">
        <v>188</v>
      </c>
      <c r="E443" s="39" t="s">
        <v>133</v>
      </c>
      <c r="F443" s="39">
        <v>56.0</v>
      </c>
      <c r="G443" s="38">
        <v>12000.0</v>
      </c>
      <c r="I443" s="40">
        <f t="shared" si="58"/>
        <v>672000</v>
      </c>
      <c r="J443" s="85">
        <f>SUM(I442:I443)</f>
        <v>1572000</v>
      </c>
      <c r="K443" s="39" t="s">
        <v>1110</v>
      </c>
    </row>
    <row r="444">
      <c r="A444" s="137"/>
      <c r="G444" s="40"/>
    </row>
    <row r="445">
      <c r="A445" s="138" t="s">
        <v>1408</v>
      </c>
      <c r="C445" s="39" t="s">
        <v>203</v>
      </c>
      <c r="D445" s="39" t="s">
        <v>1417</v>
      </c>
      <c r="E445" s="39" t="s">
        <v>16</v>
      </c>
      <c r="F445" s="39">
        <v>138.0</v>
      </c>
      <c r="G445" s="38">
        <v>34500.0</v>
      </c>
      <c r="I445" s="40">
        <f>F445*G445</f>
        <v>4761000</v>
      </c>
      <c r="J445" s="40">
        <f>I445</f>
        <v>4761000</v>
      </c>
      <c r="K445" s="39" t="s">
        <v>1110</v>
      </c>
    </row>
    <row r="446">
      <c r="A446" s="137"/>
      <c r="G446" s="40"/>
    </row>
    <row r="447">
      <c r="A447" s="138" t="s">
        <v>1408</v>
      </c>
      <c r="C447" s="39" t="s">
        <v>237</v>
      </c>
      <c r="D447" s="39" t="s">
        <v>128</v>
      </c>
      <c r="E447" s="39" t="s">
        <v>16</v>
      </c>
      <c r="F447" s="39">
        <v>20.0</v>
      </c>
      <c r="G447" s="38">
        <v>20000.0</v>
      </c>
      <c r="I447" s="40">
        <f t="shared" ref="I447:I449" si="59">F447*G447</f>
        <v>400000</v>
      </c>
      <c r="K447" s="39" t="s">
        <v>167</v>
      </c>
    </row>
    <row r="448">
      <c r="A448" s="137"/>
      <c r="D448" s="39" t="s">
        <v>238</v>
      </c>
      <c r="E448" s="39" t="s">
        <v>50</v>
      </c>
      <c r="F448" s="39">
        <v>83.0</v>
      </c>
      <c r="G448" s="38">
        <v>29000.0</v>
      </c>
      <c r="I448" s="40">
        <f t="shared" si="59"/>
        <v>2407000</v>
      </c>
      <c r="K448" s="39" t="s">
        <v>167</v>
      </c>
    </row>
    <row r="449">
      <c r="A449" s="137"/>
      <c r="D449" s="39" t="s">
        <v>239</v>
      </c>
      <c r="E449" s="39" t="s">
        <v>50</v>
      </c>
      <c r="F449" s="39">
        <v>400.0</v>
      </c>
      <c r="G449" s="38">
        <v>4000.0</v>
      </c>
      <c r="I449" s="40">
        <f t="shared" si="59"/>
        <v>1600000</v>
      </c>
      <c r="J449" s="85">
        <f>SUM(I447:I449)</f>
        <v>4407000</v>
      </c>
      <c r="K449" s="39" t="s">
        <v>1110</v>
      </c>
    </row>
    <row r="450">
      <c r="A450" s="137"/>
      <c r="G450" s="40"/>
    </row>
    <row r="451">
      <c r="A451" s="138" t="s">
        <v>1045</v>
      </c>
      <c r="C451" s="39" t="s">
        <v>106</v>
      </c>
      <c r="D451" s="39" t="s">
        <v>1317</v>
      </c>
      <c r="E451" s="39" t="s">
        <v>133</v>
      </c>
      <c r="F451" s="39">
        <v>18.0</v>
      </c>
      <c r="G451" s="38">
        <v>12000.0</v>
      </c>
      <c r="I451" s="40">
        <f t="shared" ref="I451:I452" si="60">F451*G451</f>
        <v>216000</v>
      </c>
      <c r="K451" s="39" t="s">
        <v>17</v>
      </c>
    </row>
    <row r="452">
      <c r="A452" s="137"/>
      <c r="D452" s="39" t="s">
        <v>1418</v>
      </c>
      <c r="E452" s="39" t="s">
        <v>16</v>
      </c>
      <c r="F452" s="39">
        <v>116.0</v>
      </c>
      <c r="G452" s="38">
        <v>34000.0</v>
      </c>
      <c r="I452" s="40">
        <f t="shared" si="60"/>
        <v>3944000</v>
      </c>
      <c r="J452" s="85">
        <f>SUM(I451:I452)</f>
        <v>4160000</v>
      </c>
      <c r="K452" s="39" t="s">
        <v>1110</v>
      </c>
    </row>
    <row r="453">
      <c r="A453" s="137"/>
      <c r="G453" s="40"/>
    </row>
    <row r="454">
      <c r="A454" s="138" t="s">
        <v>1045</v>
      </c>
      <c r="C454" s="39" t="s">
        <v>189</v>
      </c>
      <c r="D454" s="39" t="s">
        <v>778</v>
      </c>
      <c r="E454" s="39" t="s">
        <v>779</v>
      </c>
      <c r="F454" s="39">
        <v>1.0</v>
      </c>
      <c r="G454" s="38">
        <v>1125000.0</v>
      </c>
      <c r="I454" s="40">
        <f t="shared" ref="I454:I457" si="61">F454*G454</f>
        <v>1125000</v>
      </c>
      <c r="K454" s="39" t="s">
        <v>17</v>
      </c>
    </row>
    <row r="455">
      <c r="A455" s="138" t="s">
        <v>1045</v>
      </c>
      <c r="C455" s="39" t="s">
        <v>189</v>
      </c>
      <c r="D455" s="39" t="s">
        <v>786</v>
      </c>
      <c r="E455" s="39" t="s">
        <v>779</v>
      </c>
      <c r="F455" s="39">
        <v>2.0</v>
      </c>
      <c r="G455" s="38">
        <v>1125000.0</v>
      </c>
      <c r="I455" s="40">
        <f t="shared" si="61"/>
        <v>2250000</v>
      </c>
      <c r="K455" s="39" t="s">
        <v>17</v>
      </c>
    </row>
    <row r="456">
      <c r="A456" s="138" t="s">
        <v>1419</v>
      </c>
      <c r="C456" s="39" t="s">
        <v>189</v>
      </c>
      <c r="D456" s="39" t="s">
        <v>1420</v>
      </c>
      <c r="E456" s="39" t="s">
        <v>779</v>
      </c>
      <c r="F456" s="39">
        <v>3.0</v>
      </c>
      <c r="G456" s="38">
        <v>1125000.0</v>
      </c>
      <c r="I456" s="40">
        <f t="shared" si="61"/>
        <v>3375000</v>
      </c>
      <c r="K456" s="39" t="s">
        <v>17</v>
      </c>
    </row>
    <row r="457">
      <c r="A457" s="138" t="s">
        <v>1419</v>
      </c>
      <c r="C457" s="39" t="s">
        <v>189</v>
      </c>
      <c r="D457" s="39" t="s">
        <v>787</v>
      </c>
      <c r="E457" s="39" t="s">
        <v>779</v>
      </c>
      <c r="F457" s="39">
        <v>2.0</v>
      </c>
      <c r="G457" s="38">
        <v>1125000.0</v>
      </c>
      <c r="I457" s="40">
        <f t="shared" si="61"/>
        <v>2250000</v>
      </c>
      <c r="J457" s="85">
        <f>SUM(I454:I457)</f>
        <v>9000000</v>
      </c>
      <c r="K457" s="39" t="s">
        <v>1110</v>
      </c>
    </row>
    <row r="458">
      <c r="A458" s="137"/>
      <c r="G458" s="40"/>
    </row>
    <row r="459">
      <c r="A459" s="138" t="s">
        <v>1408</v>
      </c>
      <c r="C459" s="39" t="s">
        <v>189</v>
      </c>
      <c r="D459" s="39" t="s">
        <v>1421</v>
      </c>
      <c r="E459" s="39" t="s">
        <v>16</v>
      </c>
      <c r="F459" s="39">
        <v>94.1</v>
      </c>
      <c r="G459" s="38">
        <v>65000.0</v>
      </c>
      <c r="I459" s="40">
        <f t="shared" ref="I459:I463" si="62">F459*G459</f>
        <v>6116500</v>
      </c>
      <c r="K459" s="39" t="s">
        <v>17</v>
      </c>
    </row>
    <row r="460">
      <c r="A460" s="138" t="s">
        <v>1408</v>
      </c>
      <c r="C460" s="39" t="s">
        <v>189</v>
      </c>
      <c r="D460" s="39" t="s">
        <v>1422</v>
      </c>
      <c r="E460" s="39" t="s">
        <v>16</v>
      </c>
      <c r="F460" s="39">
        <v>36.0</v>
      </c>
      <c r="G460" s="38">
        <v>70000.0</v>
      </c>
      <c r="I460" s="40">
        <f t="shared" si="62"/>
        <v>2520000</v>
      </c>
      <c r="K460" s="39" t="s">
        <v>17</v>
      </c>
    </row>
    <row r="461">
      <c r="A461" s="137"/>
      <c r="D461" s="39" t="s">
        <v>1423</v>
      </c>
      <c r="E461" s="39" t="s">
        <v>16</v>
      </c>
      <c r="F461" s="39">
        <v>120.0</v>
      </c>
      <c r="G461" s="38">
        <v>37000.0</v>
      </c>
      <c r="I461" s="40">
        <f t="shared" si="62"/>
        <v>4440000</v>
      </c>
      <c r="K461" s="39" t="s">
        <v>17</v>
      </c>
    </row>
    <row r="462">
      <c r="A462" s="137"/>
      <c r="D462" s="39" t="s">
        <v>1424</v>
      </c>
      <c r="E462" s="39" t="s">
        <v>16</v>
      </c>
      <c r="F462" s="39">
        <v>535.0</v>
      </c>
      <c r="G462" s="38">
        <v>1650.0</v>
      </c>
      <c r="I462" s="40">
        <f t="shared" si="62"/>
        <v>882750</v>
      </c>
      <c r="K462" s="39" t="s">
        <v>17</v>
      </c>
    </row>
    <row r="463">
      <c r="A463" s="138" t="s">
        <v>1045</v>
      </c>
      <c r="C463" s="39" t="s">
        <v>189</v>
      </c>
      <c r="D463" s="39" t="s">
        <v>1425</v>
      </c>
      <c r="E463" s="39" t="s">
        <v>16</v>
      </c>
      <c r="F463" s="39">
        <v>88.0</v>
      </c>
      <c r="G463" s="38">
        <v>70000.0</v>
      </c>
      <c r="I463" s="40">
        <f t="shared" si="62"/>
        <v>6160000</v>
      </c>
      <c r="J463" s="40">
        <f>SUM(I459:I463)</f>
        <v>20119250</v>
      </c>
      <c r="K463" s="39" t="s">
        <v>1110</v>
      </c>
    </row>
    <row r="464">
      <c r="A464" s="137"/>
      <c r="G464" s="40"/>
    </row>
    <row r="465">
      <c r="A465" s="138" t="s">
        <v>1426</v>
      </c>
      <c r="C465" s="39" t="s">
        <v>214</v>
      </c>
      <c r="D465" s="39" t="s">
        <v>1427</v>
      </c>
      <c r="E465" s="39" t="s">
        <v>50</v>
      </c>
      <c r="F465" s="39">
        <v>2080.0</v>
      </c>
      <c r="G465" s="38">
        <v>480.0</v>
      </c>
      <c r="I465" s="40">
        <f t="shared" ref="I465:I469" si="63">F465*G465</f>
        <v>998400</v>
      </c>
    </row>
    <row r="466">
      <c r="A466" s="137"/>
      <c r="D466" s="39" t="s">
        <v>1428</v>
      </c>
      <c r="E466" s="39" t="s">
        <v>50</v>
      </c>
      <c r="F466" s="39">
        <v>2225.0</v>
      </c>
      <c r="G466" s="38">
        <v>560.0</v>
      </c>
      <c r="I466" s="40">
        <f t="shared" si="63"/>
        <v>1246000</v>
      </c>
    </row>
    <row r="467">
      <c r="A467" s="137"/>
      <c r="D467" s="39" t="s">
        <v>1429</v>
      </c>
      <c r="E467" s="39" t="s">
        <v>50</v>
      </c>
      <c r="F467" s="39">
        <v>2600.0</v>
      </c>
      <c r="G467" s="38">
        <v>480.0</v>
      </c>
      <c r="I467" s="40">
        <f t="shared" si="63"/>
        <v>1248000</v>
      </c>
    </row>
    <row r="468">
      <c r="A468" s="138" t="s">
        <v>1408</v>
      </c>
      <c r="C468" s="39" t="s">
        <v>214</v>
      </c>
      <c r="D468" s="39" t="s">
        <v>1428</v>
      </c>
      <c r="E468" s="39" t="s">
        <v>50</v>
      </c>
      <c r="F468" s="39">
        <v>4265.0</v>
      </c>
      <c r="G468" s="38">
        <v>560.0</v>
      </c>
      <c r="I468" s="40">
        <f t="shared" si="63"/>
        <v>2388400</v>
      </c>
    </row>
    <row r="469">
      <c r="A469" s="137"/>
      <c r="D469" s="39" t="s">
        <v>1430</v>
      </c>
      <c r="E469" s="39" t="s">
        <v>50</v>
      </c>
      <c r="F469" s="39">
        <v>1990.0</v>
      </c>
      <c r="G469" s="38">
        <v>480.0</v>
      </c>
      <c r="I469" s="40">
        <f t="shared" si="63"/>
        <v>955200</v>
      </c>
      <c r="J469" s="85">
        <f>SUM(I465:I469)</f>
        <v>6836000</v>
      </c>
      <c r="K469" s="39" t="s">
        <v>1110</v>
      </c>
    </row>
    <row r="470">
      <c r="A470" s="137"/>
      <c r="G470" s="40"/>
    </row>
    <row r="471">
      <c r="A471" s="138" t="s">
        <v>1045</v>
      </c>
      <c r="C471" s="39" t="s">
        <v>110</v>
      </c>
      <c r="D471" s="39" t="s">
        <v>1431</v>
      </c>
      <c r="E471" s="39" t="s">
        <v>50</v>
      </c>
      <c r="F471" s="39">
        <v>430.0</v>
      </c>
      <c r="G471" s="38">
        <v>3500.0</v>
      </c>
      <c r="I471" s="40">
        <f>F471*G471</f>
        <v>1505000</v>
      </c>
      <c r="J471" s="85">
        <f>I471</f>
        <v>1505000</v>
      </c>
      <c r="K471" s="39" t="s">
        <v>1110</v>
      </c>
    </row>
    <row r="472">
      <c r="A472" s="137"/>
      <c r="G472" s="40"/>
    </row>
    <row r="473">
      <c r="A473" s="138" t="s">
        <v>1045</v>
      </c>
      <c r="C473" s="39" t="s">
        <v>210</v>
      </c>
      <c r="D473" s="39" t="s">
        <v>211</v>
      </c>
      <c r="E473" s="39" t="s">
        <v>50</v>
      </c>
      <c r="F473" s="39">
        <v>115.0</v>
      </c>
      <c r="G473" s="38">
        <v>10500.0</v>
      </c>
      <c r="I473" s="40">
        <f t="shared" ref="I473:I475" si="64">F473*G473</f>
        <v>1207500</v>
      </c>
      <c r="K473" s="39" t="s">
        <v>17</v>
      </c>
    </row>
    <row r="474">
      <c r="A474" s="137"/>
      <c r="D474" s="39" t="s">
        <v>212</v>
      </c>
      <c r="E474" s="39" t="s">
        <v>50</v>
      </c>
      <c r="F474" s="39">
        <v>2550.0</v>
      </c>
      <c r="G474" s="38">
        <v>2000.0</v>
      </c>
      <c r="I474" s="40">
        <f t="shared" si="64"/>
        <v>5100000</v>
      </c>
      <c r="K474" s="39" t="s">
        <v>17</v>
      </c>
    </row>
    <row r="475">
      <c r="A475" s="137"/>
      <c r="D475" s="39" t="s">
        <v>213</v>
      </c>
      <c r="E475" s="39" t="s">
        <v>186</v>
      </c>
      <c r="F475" s="39">
        <v>4.0</v>
      </c>
      <c r="G475" s="38">
        <v>300000.0</v>
      </c>
      <c r="I475" s="40">
        <f t="shared" si="64"/>
        <v>1200000</v>
      </c>
      <c r="J475" s="85">
        <f>SUM(I473:I475)</f>
        <v>7507500</v>
      </c>
      <c r="K475" s="39" t="s">
        <v>1110</v>
      </c>
    </row>
    <row r="476">
      <c r="A476" s="137"/>
      <c r="G476" s="40"/>
    </row>
    <row r="477">
      <c r="A477" s="137"/>
      <c r="G477" s="40"/>
    </row>
    <row r="478">
      <c r="A478" s="138" t="s">
        <v>1408</v>
      </c>
      <c r="C478" s="39" t="s">
        <v>205</v>
      </c>
      <c r="D478" s="39" t="s">
        <v>1432</v>
      </c>
      <c r="E478" s="39" t="s">
        <v>50</v>
      </c>
      <c r="F478" s="39">
        <v>1270.0</v>
      </c>
      <c r="G478" s="38">
        <v>500.0</v>
      </c>
      <c r="I478" s="40">
        <f t="shared" ref="I478:I480" si="65">F478*G478</f>
        <v>635000</v>
      </c>
      <c r="K478" s="139">
        <v>1400.0</v>
      </c>
    </row>
    <row r="479">
      <c r="A479" s="138" t="s">
        <v>1034</v>
      </c>
      <c r="D479" s="39" t="s">
        <v>1433</v>
      </c>
      <c r="E479" s="39" t="s">
        <v>133</v>
      </c>
      <c r="F479" s="39">
        <v>51.0</v>
      </c>
      <c r="G479" s="38">
        <v>12000.0</v>
      </c>
      <c r="I479" s="40">
        <f t="shared" si="65"/>
        <v>612000</v>
      </c>
      <c r="K479" s="39" t="s">
        <v>17</v>
      </c>
    </row>
    <row r="480">
      <c r="A480" s="138" t="s">
        <v>1409</v>
      </c>
      <c r="D480" s="39" t="s">
        <v>1432</v>
      </c>
      <c r="E480" s="39" t="s">
        <v>50</v>
      </c>
      <c r="F480" s="39">
        <v>2028.0</v>
      </c>
      <c r="G480" s="38">
        <v>500.0</v>
      </c>
      <c r="I480" s="40">
        <f t="shared" si="65"/>
        <v>1014000</v>
      </c>
      <c r="J480" s="40">
        <f>SUM(I478:I480)</f>
        <v>2261000</v>
      </c>
      <c r="K480" s="39" t="s">
        <v>1110</v>
      </c>
    </row>
    <row r="481">
      <c r="A481" s="137"/>
      <c r="G481" s="40"/>
    </row>
    <row r="482">
      <c r="A482" s="138" t="s">
        <v>1434</v>
      </c>
      <c r="C482" s="39" t="s">
        <v>203</v>
      </c>
      <c r="D482" s="39" t="s">
        <v>279</v>
      </c>
      <c r="E482" s="39" t="s">
        <v>16</v>
      </c>
      <c r="F482" s="39">
        <v>99.0</v>
      </c>
      <c r="G482" s="38">
        <v>48000.0</v>
      </c>
      <c r="I482" s="40">
        <f>F482*G482</f>
        <v>4752000</v>
      </c>
      <c r="J482" s="40">
        <f>I482</f>
        <v>4752000</v>
      </c>
      <c r="K482" s="39" t="s">
        <v>1110</v>
      </c>
    </row>
    <row r="483">
      <c r="A483" s="137"/>
      <c r="G483" s="40"/>
    </row>
    <row r="484">
      <c r="A484" s="138" t="s">
        <v>1434</v>
      </c>
      <c r="C484" s="39" t="s">
        <v>122</v>
      </c>
      <c r="D484" s="39" t="s">
        <v>303</v>
      </c>
      <c r="E484" s="39" t="s">
        <v>50</v>
      </c>
      <c r="F484" s="39">
        <v>2600.0</v>
      </c>
      <c r="G484" s="38">
        <v>1800.0</v>
      </c>
      <c r="I484" s="40">
        <f t="shared" ref="I484:I488" si="66">F484*G484</f>
        <v>4680000</v>
      </c>
      <c r="K484" s="39" t="s">
        <v>17</v>
      </c>
    </row>
    <row r="485">
      <c r="A485" s="137"/>
      <c r="C485" s="39" t="s">
        <v>122</v>
      </c>
      <c r="D485" s="39" t="s">
        <v>304</v>
      </c>
      <c r="E485" s="39" t="s">
        <v>50</v>
      </c>
      <c r="F485" s="39">
        <v>2010.0</v>
      </c>
      <c r="G485" s="38">
        <v>1800.0</v>
      </c>
      <c r="I485" s="40">
        <f t="shared" si="66"/>
        <v>3618000</v>
      </c>
      <c r="K485" s="39" t="s">
        <v>17</v>
      </c>
    </row>
    <row r="486">
      <c r="A486" s="137"/>
      <c r="C486" s="39" t="s">
        <v>122</v>
      </c>
      <c r="D486" s="39" t="s">
        <v>305</v>
      </c>
      <c r="E486" s="39" t="s">
        <v>16</v>
      </c>
      <c r="F486" s="39">
        <v>176.4</v>
      </c>
      <c r="G486" s="38">
        <v>18500.0</v>
      </c>
      <c r="I486" s="40">
        <f t="shared" si="66"/>
        <v>3263400</v>
      </c>
      <c r="K486" s="39" t="s">
        <v>1435</v>
      </c>
    </row>
    <row r="487">
      <c r="A487" s="137"/>
      <c r="C487" s="39" t="s">
        <v>122</v>
      </c>
      <c r="D487" s="39" t="s">
        <v>306</v>
      </c>
      <c r="E487" s="39" t="s">
        <v>186</v>
      </c>
      <c r="F487" s="39">
        <v>30.0</v>
      </c>
      <c r="G487" s="38">
        <v>240000.0</v>
      </c>
      <c r="I487" s="40">
        <f t="shared" si="66"/>
        <v>7200000</v>
      </c>
      <c r="K487" s="39" t="s">
        <v>17</v>
      </c>
    </row>
    <row r="488">
      <c r="A488" s="137"/>
      <c r="C488" s="39" t="s">
        <v>122</v>
      </c>
      <c r="D488" s="39" t="s">
        <v>225</v>
      </c>
      <c r="E488" s="39" t="s">
        <v>16</v>
      </c>
      <c r="F488" s="39">
        <v>237.0</v>
      </c>
      <c r="G488" s="38">
        <v>25000.0</v>
      </c>
      <c r="I488" s="40">
        <f t="shared" si="66"/>
        <v>5925000</v>
      </c>
      <c r="J488" s="40">
        <f>SUM(I484:I488)</f>
        <v>24686400</v>
      </c>
      <c r="K488" s="139" t="s">
        <v>1110</v>
      </c>
    </row>
    <row r="489">
      <c r="A489" s="138"/>
      <c r="C489" s="39"/>
      <c r="D489" s="39"/>
      <c r="E489" s="39"/>
      <c r="F489" s="39"/>
      <c r="G489" s="38"/>
      <c r="K489" s="139"/>
    </row>
    <row r="490">
      <c r="A490" s="138" t="s">
        <v>1436</v>
      </c>
      <c r="C490" s="39" t="s">
        <v>122</v>
      </c>
      <c r="D490" s="39" t="s">
        <v>356</v>
      </c>
      <c r="E490" s="39" t="s">
        <v>16</v>
      </c>
      <c r="F490" s="39">
        <v>226.0</v>
      </c>
      <c r="G490" s="38">
        <v>18000.0</v>
      </c>
      <c r="I490" s="40">
        <f t="shared" ref="I490:I496" si="67">F490*G490</f>
        <v>4068000</v>
      </c>
      <c r="K490" s="139" t="s">
        <v>17</v>
      </c>
    </row>
    <row r="491">
      <c r="A491" s="137"/>
      <c r="C491" s="39" t="s">
        <v>122</v>
      </c>
      <c r="D491" s="39" t="s">
        <v>357</v>
      </c>
      <c r="E491" s="39" t="s">
        <v>16</v>
      </c>
      <c r="F491" s="39">
        <v>21.5</v>
      </c>
      <c r="G491" s="38">
        <v>37500.0</v>
      </c>
      <c r="I491" s="40">
        <f t="shared" si="67"/>
        <v>806250</v>
      </c>
      <c r="K491" s="139" t="s">
        <v>17</v>
      </c>
    </row>
    <row r="492">
      <c r="A492" s="137"/>
      <c r="C492" s="39" t="s">
        <v>122</v>
      </c>
      <c r="D492" s="39" t="s">
        <v>358</v>
      </c>
      <c r="E492" s="39" t="s">
        <v>16</v>
      </c>
      <c r="F492" s="39">
        <v>12.5</v>
      </c>
      <c r="G492" s="38">
        <v>23000.0</v>
      </c>
      <c r="I492" s="40">
        <f t="shared" si="67"/>
        <v>287500</v>
      </c>
      <c r="K492" s="139" t="s">
        <v>17</v>
      </c>
    </row>
    <row r="493">
      <c r="A493" s="137"/>
      <c r="C493" s="39" t="s">
        <v>122</v>
      </c>
      <c r="D493" s="39" t="s">
        <v>359</v>
      </c>
      <c r="E493" s="39" t="s">
        <v>201</v>
      </c>
      <c r="F493" s="39">
        <v>11.0</v>
      </c>
      <c r="G493" s="38">
        <v>260000.0</v>
      </c>
      <c r="I493" s="40">
        <f t="shared" si="67"/>
        <v>2860000</v>
      </c>
      <c r="K493" s="139" t="s">
        <v>17</v>
      </c>
    </row>
    <row r="494">
      <c r="A494" s="137"/>
      <c r="C494" s="39" t="s">
        <v>122</v>
      </c>
      <c r="D494" s="39" t="s">
        <v>1437</v>
      </c>
      <c r="E494" s="39" t="s">
        <v>16</v>
      </c>
      <c r="F494" s="39">
        <v>253.85</v>
      </c>
      <c r="G494" s="38">
        <v>18500.0</v>
      </c>
      <c r="I494" s="40">
        <f t="shared" si="67"/>
        <v>4696225</v>
      </c>
      <c r="K494" s="139">
        <v>253.85</v>
      </c>
    </row>
    <row r="495">
      <c r="A495" s="137"/>
      <c r="C495" s="39" t="s">
        <v>122</v>
      </c>
      <c r="D495" s="39" t="s">
        <v>1438</v>
      </c>
      <c r="E495" s="39" t="s">
        <v>16</v>
      </c>
      <c r="F495" s="39">
        <v>256.0</v>
      </c>
      <c r="G495" s="38">
        <v>19500.0</v>
      </c>
      <c r="I495" s="40">
        <f t="shared" si="67"/>
        <v>4992000</v>
      </c>
      <c r="K495" s="139" t="s">
        <v>17</v>
      </c>
    </row>
    <row r="496">
      <c r="A496" s="137"/>
      <c r="C496" s="39" t="s">
        <v>122</v>
      </c>
      <c r="D496" s="39" t="s">
        <v>1439</v>
      </c>
      <c r="E496" s="39" t="s">
        <v>50</v>
      </c>
      <c r="F496" s="39">
        <v>1803.0</v>
      </c>
      <c r="G496" s="38">
        <v>1800.0</v>
      </c>
      <c r="I496" s="40">
        <f t="shared" si="67"/>
        <v>3245400</v>
      </c>
      <c r="J496" s="40">
        <f>SUM(I490:I496)</f>
        <v>20955375</v>
      </c>
      <c r="K496" s="139" t="s">
        <v>1110</v>
      </c>
    </row>
    <row r="497">
      <c r="A497" s="138"/>
      <c r="C497" s="39"/>
      <c r="D497" s="39"/>
      <c r="E497" s="39"/>
      <c r="F497" s="39"/>
      <c r="G497" s="38"/>
      <c r="K497" s="139"/>
    </row>
    <row r="498">
      <c r="A498" s="138" t="s">
        <v>1440</v>
      </c>
      <c r="C498" s="39" t="s">
        <v>122</v>
      </c>
      <c r="D498" s="39" t="s">
        <v>365</v>
      </c>
      <c r="E498" s="39" t="s">
        <v>16</v>
      </c>
      <c r="F498" s="39">
        <v>233.1</v>
      </c>
      <c r="G498" s="38">
        <v>18500.0</v>
      </c>
      <c r="I498" s="40">
        <f t="shared" ref="I498:I503" si="68">F498*G498</f>
        <v>4312350</v>
      </c>
      <c r="K498" s="139" t="s">
        <v>1441</v>
      </c>
    </row>
    <row r="499">
      <c r="A499" s="137"/>
      <c r="C499" s="39" t="s">
        <v>122</v>
      </c>
      <c r="D499" s="39" t="s">
        <v>366</v>
      </c>
      <c r="E499" s="39" t="s">
        <v>50</v>
      </c>
      <c r="F499" s="39">
        <v>1120.0</v>
      </c>
      <c r="G499" s="38">
        <v>1800.0</v>
      </c>
      <c r="I499" s="40">
        <f t="shared" si="68"/>
        <v>2016000</v>
      </c>
      <c r="K499" s="139" t="s">
        <v>1442</v>
      </c>
    </row>
    <row r="500">
      <c r="A500" s="137"/>
      <c r="C500" s="39" t="s">
        <v>122</v>
      </c>
      <c r="D500" s="39" t="s">
        <v>367</v>
      </c>
      <c r="E500" s="39" t="s">
        <v>201</v>
      </c>
      <c r="F500" s="39">
        <v>43.0</v>
      </c>
      <c r="G500" s="38">
        <v>260000.0</v>
      </c>
      <c r="I500" s="40">
        <f t="shared" si="68"/>
        <v>11180000</v>
      </c>
      <c r="K500" s="139" t="s">
        <v>17</v>
      </c>
    </row>
    <row r="501">
      <c r="A501" s="137"/>
      <c r="C501" s="39" t="s">
        <v>122</v>
      </c>
      <c r="D501" s="39" t="s">
        <v>368</v>
      </c>
      <c r="E501" s="39" t="s">
        <v>50</v>
      </c>
      <c r="F501" s="39">
        <v>2080.0</v>
      </c>
      <c r="G501" s="38">
        <v>1800.0</v>
      </c>
      <c r="I501" s="40">
        <f t="shared" si="68"/>
        <v>3744000</v>
      </c>
      <c r="K501" s="39" t="s">
        <v>17</v>
      </c>
    </row>
    <row r="502">
      <c r="A502" s="137"/>
      <c r="C502" s="39" t="s">
        <v>122</v>
      </c>
      <c r="D502" s="39" t="s">
        <v>369</v>
      </c>
      <c r="E502" s="39" t="s">
        <v>186</v>
      </c>
      <c r="F502" s="39">
        <v>9.0</v>
      </c>
      <c r="G502" s="38">
        <v>335000.0</v>
      </c>
      <c r="I502" s="40">
        <f t="shared" si="68"/>
        <v>3015000</v>
      </c>
      <c r="K502" s="39" t="s">
        <v>17</v>
      </c>
    </row>
    <row r="503">
      <c r="A503" s="137"/>
      <c r="C503" s="39" t="s">
        <v>122</v>
      </c>
      <c r="D503" s="39" t="s">
        <v>370</v>
      </c>
      <c r="E503" s="39" t="s">
        <v>186</v>
      </c>
      <c r="F503" s="39">
        <v>7.0</v>
      </c>
      <c r="G503" s="38">
        <v>590000.0</v>
      </c>
      <c r="I503" s="40">
        <f t="shared" si="68"/>
        <v>4130000</v>
      </c>
      <c r="J503" s="40">
        <f>SUM(I498:I503)</f>
        <v>28397350</v>
      </c>
      <c r="K503" s="139" t="s">
        <v>1110</v>
      </c>
    </row>
    <row r="504">
      <c r="A504" s="137"/>
      <c r="D504" s="39"/>
      <c r="G504" s="40"/>
    </row>
    <row r="505">
      <c r="A505" s="138" t="s">
        <v>1443</v>
      </c>
      <c r="C505" s="39" t="s">
        <v>106</v>
      </c>
      <c r="D505" s="39" t="s">
        <v>349</v>
      </c>
      <c r="E505" s="39" t="s">
        <v>133</v>
      </c>
      <c r="F505" s="39">
        <v>50.0</v>
      </c>
      <c r="G505" s="38">
        <v>12000.0</v>
      </c>
      <c r="I505" s="40">
        <f>F505*G505</f>
        <v>600000</v>
      </c>
      <c r="J505" s="40">
        <f>I505</f>
        <v>600000</v>
      </c>
      <c r="K505" s="139" t="s">
        <v>1110</v>
      </c>
    </row>
    <row r="506">
      <c r="A506" s="138"/>
      <c r="C506" s="39"/>
      <c r="D506" s="39"/>
      <c r="E506" s="39"/>
      <c r="F506" s="39"/>
      <c r="G506" s="38"/>
      <c r="K506" s="39"/>
    </row>
    <row r="507">
      <c r="A507" s="138" t="s">
        <v>1444</v>
      </c>
      <c r="C507" s="39" t="s">
        <v>106</v>
      </c>
      <c r="D507" s="39" t="s">
        <v>383</v>
      </c>
      <c r="E507" s="39" t="s">
        <v>133</v>
      </c>
      <c r="F507" s="39">
        <v>85.0</v>
      </c>
      <c r="G507" s="38">
        <v>12000.0</v>
      </c>
      <c r="I507" s="40">
        <f t="shared" ref="I507:I508" si="69">F507*G507</f>
        <v>1020000</v>
      </c>
      <c r="K507" s="39" t="s">
        <v>17</v>
      </c>
    </row>
    <row r="508">
      <c r="A508" s="137"/>
      <c r="D508" s="39" t="s">
        <v>384</v>
      </c>
      <c r="E508" s="39" t="s">
        <v>16</v>
      </c>
      <c r="F508" s="39">
        <v>100.0</v>
      </c>
      <c r="G508" s="38">
        <v>22000.0</v>
      </c>
      <c r="I508" s="40">
        <f t="shared" si="69"/>
        <v>2200000</v>
      </c>
      <c r="J508" s="141">
        <f>SUM(I507:I508)</f>
        <v>3220000</v>
      </c>
      <c r="K508" s="39" t="s">
        <v>1110</v>
      </c>
    </row>
    <row r="509">
      <c r="A509" s="137"/>
      <c r="G509" s="40"/>
    </row>
    <row r="510">
      <c r="A510" s="138" t="s">
        <v>1445</v>
      </c>
      <c r="C510" s="39" t="s">
        <v>106</v>
      </c>
      <c r="D510" s="39" t="s">
        <v>290</v>
      </c>
      <c r="E510" s="39" t="s">
        <v>133</v>
      </c>
      <c r="F510" s="39">
        <v>93.0</v>
      </c>
      <c r="G510" s="38">
        <v>12000.0</v>
      </c>
      <c r="I510" s="40">
        <f t="shared" ref="I510:I512" si="70">F510*G510</f>
        <v>1116000</v>
      </c>
      <c r="K510" s="39" t="s">
        <v>17</v>
      </c>
    </row>
    <row r="511">
      <c r="A511" s="137"/>
      <c r="D511" s="39" t="s">
        <v>291</v>
      </c>
      <c r="E511" s="39" t="s">
        <v>133</v>
      </c>
      <c r="F511" s="39">
        <v>83.0</v>
      </c>
      <c r="G511" s="38">
        <v>12000.0</v>
      </c>
      <c r="I511" s="40">
        <f t="shared" si="70"/>
        <v>996000</v>
      </c>
      <c r="J511" s="40">
        <f>sum(I510:I511)</f>
        <v>2112000</v>
      </c>
      <c r="K511" s="39" t="s">
        <v>1110</v>
      </c>
    </row>
    <row r="512">
      <c r="A512" s="138" t="s">
        <v>1446</v>
      </c>
      <c r="D512" s="39" t="s">
        <v>292</v>
      </c>
      <c r="E512" s="39" t="s">
        <v>16</v>
      </c>
      <c r="F512" s="39">
        <v>100.0</v>
      </c>
      <c r="G512" s="38">
        <v>34000.0</v>
      </c>
      <c r="I512" s="40">
        <f t="shared" si="70"/>
        <v>3400000</v>
      </c>
      <c r="J512" s="40">
        <f>I512</f>
        <v>3400000</v>
      </c>
      <c r="K512" s="39" t="s">
        <v>1110</v>
      </c>
    </row>
    <row r="513">
      <c r="A513" s="138"/>
      <c r="D513" s="39"/>
      <c r="E513" s="39"/>
      <c r="F513" s="39"/>
      <c r="G513" s="38"/>
    </row>
    <row r="514">
      <c r="A514" s="138" t="s">
        <v>1446</v>
      </c>
      <c r="C514" s="39" t="s">
        <v>106</v>
      </c>
      <c r="D514" s="39" t="s">
        <v>321</v>
      </c>
      <c r="E514" s="39" t="s">
        <v>133</v>
      </c>
      <c r="F514" s="39">
        <v>109.0</v>
      </c>
      <c r="G514" s="38">
        <v>12000.0</v>
      </c>
      <c r="I514" s="40">
        <f t="shared" ref="I514:I516" si="71">F514*G514</f>
        <v>1308000</v>
      </c>
      <c r="K514" s="39" t="s">
        <v>17</v>
      </c>
    </row>
    <row r="515">
      <c r="A515" s="137"/>
      <c r="D515" s="39" t="s">
        <v>322</v>
      </c>
      <c r="E515" s="39" t="s">
        <v>133</v>
      </c>
      <c r="F515" s="39">
        <v>95.0</v>
      </c>
      <c r="G515" s="38">
        <v>12000.0</v>
      </c>
      <c r="I515" s="40">
        <f t="shared" si="71"/>
        <v>1140000</v>
      </c>
      <c r="K515" s="39" t="s">
        <v>17</v>
      </c>
    </row>
    <row r="516">
      <c r="A516" s="137"/>
      <c r="D516" s="39" t="s">
        <v>1317</v>
      </c>
      <c r="E516" s="39" t="s">
        <v>133</v>
      </c>
      <c r="F516" s="39">
        <v>80.0</v>
      </c>
      <c r="G516" s="38">
        <v>12000.0</v>
      </c>
      <c r="I516" s="40">
        <f t="shared" si="71"/>
        <v>960000</v>
      </c>
      <c r="J516" s="40">
        <f>sum(I514:I516)</f>
        <v>3408000</v>
      </c>
      <c r="K516" s="39" t="s">
        <v>1110</v>
      </c>
    </row>
    <row r="517">
      <c r="A517" s="137"/>
      <c r="G517" s="40"/>
    </row>
    <row r="518">
      <c r="A518" s="138" t="s">
        <v>1446</v>
      </c>
      <c r="C518" s="39" t="s">
        <v>110</v>
      </c>
      <c r="D518" s="39" t="s">
        <v>300</v>
      </c>
      <c r="E518" s="39" t="s">
        <v>301</v>
      </c>
      <c r="F518" s="39">
        <v>2080.0</v>
      </c>
      <c r="G518" s="38">
        <v>3500.0</v>
      </c>
      <c r="I518" s="40">
        <f>F518*G518</f>
        <v>7280000</v>
      </c>
      <c r="J518" s="40">
        <f>I518</f>
        <v>7280000</v>
      </c>
      <c r="K518" s="39" t="s">
        <v>1110</v>
      </c>
    </row>
    <row r="519">
      <c r="A519" s="137"/>
      <c r="G519" s="40"/>
    </row>
    <row r="520">
      <c r="A520" s="138" t="s">
        <v>1443</v>
      </c>
      <c r="C520" s="39" t="s">
        <v>315</v>
      </c>
      <c r="D520" s="39" t="s">
        <v>1447</v>
      </c>
      <c r="E520" s="39" t="s">
        <v>50</v>
      </c>
      <c r="F520" s="39">
        <v>2040.0</v>
      </c>
      <c r="G520" s="38">
        <v>1500.0</v>
      </c>
      <c r="I520" s="40">
        <f>F520*G520</f>
        <v>3060000</v>
      </c>
      <c r="J520" s="40">
        <f>I520</f>
        <v>3060000</v>
      </c>
      <c r="K520" s="39" t="s">
        <v>1110</v>
      </c>
    </row>
    <row r="521">
      <c r="A521" s="137"/>
      <c r="G521" s="40"/>
    </row>
    <row r="522">
      <c r="A522" s="138" t="s">
        <v>1448</v>
      </c>
      <c r="C522" s="39" t="s">
        <v>110</v>
      </c>
      <c r="D522" s="39" t="s">
        <v>403</v>
      </c>
      <c r="E522" s="39" t="s">
        <v>301</v>
      </c>
      <c r="F522" s="39">
        <v>2100.0</v>
      </c>
      <c r="G522" s="38">
        <v>3500.0</v>
      </c>
      <c r="I522" s="40">
        <f t="shared" ref="I522:I523" si="72">F522*G522</f>
        <v>7350000</v>
      </c>
      <c r="K522" s="139" t="s">
        <v>167</v>
      </c>
    </row>
    <row r="523">
      <c r="A523" s="137"/>
      <c r="D523" s="39" t="s">
        <v>1449</v>
      </c>
      <c r="E523" s="39" t="s">
        <v>301</v>
      </c>
      <c r="F523" s="39">
        <v>2015.0</v>
      </c>
      <c r="G523" s="38">
        <v>3500.0</v>
      </c>
      <c r="I523" s="40">
        <f t="shared" si="72"/>
        <v>7052500</v>
      </c>
      <c r="J523" s="141">
        <f>SUM(I522:I523)</f>
        <v>14402500</v>
      </c>
      <c r="K523" s="139" t="s">
        <v>1110</v>
      </c>
    </row>
    <row r="524">
      <c r="A524" s="137"/>
      <c r="G524" s="40"/>
    </row>
    <row r="525">
      <c r="A525" s="138" t="s">
        <v>1446</v>
      </c>
      <c r="C525" s="39" t="s">
        <v>180</v>
      </c>
      <c r="D525" s="39" t="s">
        <v>1450</v>
      </c>
      <c r="E525" s="39" t="s">
        <v>16</v>
      </c>
      <c r="F525" s="39">
        <v>110.0</v>
      </c>
      <c r="G525" s="38">
        <v>50500.0</v>
      </c>
      <c r="I525" s="40">
        <f t="shared" ref="I525:I526" si="73">F525*G525</f>
        <v>5555000</v>
      </c>
    </row>
    <row r="526">
      <c r="A526" s="138" t="s">
        <v>1443</v>
      </c>
      <c r="D526" s="39" t="s">
        <v>1450</v>
      </c>
      <c r="E526" s="39" t="s">
        <v>16</v>
      </c>
      <c r="F526" s="39">
        <v>110.0</v>
      </c>
      <c r="G526" s="38">
        <v>50500.0</v>
      </c>
      <c r="I526" s="40">
        <f t="shared" si="73"/>
        <v>5555000</v>
      </c>
      <c r="J526" s="40">
        <f>SUM(I525:I526)</f>
        <v>11110000</v>
      </c>
      <c r="K526" s="39" t="s">
        <v>1110</v>
      </c>
    </row>
    <row r="527">
      <c r="A527" s="137"/>
      <c r="G527" s="40"/>
    </row>
    <row r="528">
      <c r="A528" s="138" t="s">
        <v>1445</v>
      </c>
      <c r="C528" s="39" t="s">
        <v>189</v>
      </c>
      <c r="D528" s="39" t="s">
        <v>343</v>
      </c>
      <c r="E528" s="39" t="s">
        <v>16</v>
      </c>
      <c r="F528" s="39">
        <v>106.0</v>
      </c>
      <c r="G528" s="38">
        <v>34500.0</v>
      </c>
      <c r="I528" s="40">
        <f t="shared" ref="I528:I531" si="74">F528*G528</f>
        <v>3657000</v>
      </c>
      <c r="K528" s="39" t="s">
        <v>17</v>
      </c>
    </row>
    <row r="529">
      <c r="A529" s="138" t="s">
        <v>1446</v>
      </c>
      <c r="C529" s="39" t="s">
        <v>189</v>
      </c>
      <c r="D529" s="39" t="s">
        <v>344</v>
      </c>
      <c r="E529" s="39" t="s">
        <v>50</v>
      </c>
      <c r="F529" s="39">
        <v>80.0</v>
      </c>
      <c r="G529" s="38">
        <v>1650.0</v>
      </c>
      <c r="I529" s="40">
        <f t="shared" si="74"/>
        <v>132000</v>
      </c>
      <c r="K529" s="39" t="s">
        <v>17</v>
      </c>
    </row>
    <row r="530">
      <c r="A530" s="138" t="s">
        <v>1446</v>
      </c>
      <c r="C530" s="39" t="s">
        <v>189</v>
      </c>
      <c r="D530" s="39" t="s">
        <v>346</v>
      </c>
      <c r="E530" s="39" t="s">
        <v>16</v>
      </c>
      <c r="F530" s="39">
        <v>55.0</v>
      </c>
      <c r="G530" s="38">
        <v>70000.0</v>
      </c>
      <c r="I530" s="40">
        <f t="shared" si="74"/>
        <v>3850000</v>
      </c>
      <c r="K530" s="39" t="s">
        <v>17</v>
      </c>
    </row>
    <row r="531">
      <c r="A531" s="138" t="s">
        <v>1446</v>
      </c>
      <c r="C531" s="39" t="s">
        <v>189</v>
      </c>
      <c r="D531" s="39" t="s">
        <v>347</v>
      </c>
      <c r="E531" s="39" t="s">
        <v>16</v>
      </c>
      <c r="F531" s="39">
        <v>111.3</v>
      </c>
      <c r="G531" s="38">
        <v>12000.0</v>
      </c>
      <c r="I531" s="40">
        <f t="shared" si="74"/>
        <v>1335600</v>
      </c>
      <c r="J531" s="40">
        <f>SUM(I528:I531)</f>
        <v>8974600</v>
      </c>
      <c r="K531" s="139" t="s">
        <v>1110</v>
      </c>
    </row>
    <row r="532">
      <c r="A532" s="137"/>
      <c r="G532" s="40"/>
    </row>
    <row r="533">
      <c r="A533" s="137"/>
      <c r="G533" s="40"/>
    </row>
    <row r="534">
      <c r="A534" s="138" t="s">
        <v>1451</v>
      </c>
      <c r="C534" s="39" t="s">
        <v>237</v>
      </c>
      <c r="D534" s="39" t="s">
        <v>128</v>
      </c>
      <c r="E534" s="39" t="s">
        <v>16</v>
      </c>
      <c r="F534" s="39">
        <v>49.0</v>
      </c>
      <c r="G534" s="38">
        <v>22000.0</v>
      </c>
      <c r="I534" s="40">
        <f t="shared" ref="I534:I537" si="75">F534*G534</f>
        <v>1078000</v>
      </c>
      <c r="K534" s="39" t="s">
        <v>1452</v>
      </c>
    </row>
    <row r="535">
      <c r="A535" s="137"/>
      <c r="C535" s="39" t="s">
        <v>237</v>
      </c>
      <c r="D535" s="39" t="s">
        <v>351</v>
      </c>
      <c r="E535" s="39" t="s">
        <v>50</v>
      </c>
      <c r="F535" s="39">
        <v>20.0</v>
      </c>
      <c r="G535" s="38">
        <v>13000.0</v>
      </c>
      <c r="I535" s="40">
        <f t="shared" si="75"/>
        <v>260000</v>
      </c>
      <c r="K535" s="39" t="s">
        <v>17</v>
      </c>
    </row>
    <row r="536">
      <c r="A536" s="137"/>
      <c r="C536" s="39" t="s">
        <v>237</v>
      </c>
      <c r="D536" s="39" t="s">
        <v>352</v>
      </c>
      <c r="E536" s="39" t="s">
        <v>50</v>
      </c>
      <c r="F536" s="39">
        <v>130.0</v>
      </c>
      <c r="G536" s="38">
        <v>30000.0</v>
      </c>
      <c r="I536" s="40">
        <f t="shared" si="75"/>
        <v>3900000</v>
      </c>
      <c r="K536" s="39" t="s">
        <v>17</v>
      </c>
    </row>
    <row r="537">
      <c r="A537" s="137"/>
      <c r="C537" s="39" t="s">
        <v>237</v>
      </c>
      <c r="D537" s="39" t="s">
        <v>353</v>
      </c>
      <c r="E537" s="39" t="s">
        <v>90</v>
      </c>
      <c r="F537" s="39">
        <v>196.0</v>
      </c>
      <c r="G537" s="38">
        <v>28000.0</v>
      </c>
      <c r="I537" s="40">
        <f t="shared" si="75"/>
        <v>5488000</v>
      </c>
      <c r="J537" s="40">
        <f>SUM(I534:I537)</f>
        <v>10726000</v>
      </c>
      <c r="K537" s="39" t="s">
        <v>1453</v>
      </c>
      <c r="L537" s="139" t="s">
        <v>1110</v>
      </c>
    </row>
    <row r="538">
      <c r="A538" s="137"/>
      <c r="G538" s="40"/>
    </row>
    <row r="539">
      <c r="A539" s="138" t="s">
        <v>1445</v>
      </c>
      <c r="C539" s="39" t="s">
        <v>113</v>
      </c>
      <c r="D539" s="39" t="s">
        <v>331</v>
      </c>
      <c r="E539" s="39" t="s">
        <v>16</v>
      </c>
      <c r="F539" s="39">
        <v>215.0</v>
      </c>
      <c r="G539" s="38">
        <v>33000.0</v>
      </c>
      <c r="I539" s="40">
        <f t="shared" ref="I539:I541" si="76">F539*G539</f>
        <v>7095000</v>
      </c>
      <c r="K539" s="39" t="s">
        <v>17</v>
      </c>
    </row>
    <row r="540">
      <c r="A540" s="137"/>
      <c r="C540" s="39" t="s">
        <v>113</v>
      </c>
      <c r="D540" s="39" t="s">
        <v>332</v>
      </c>
      <c r="E540" s="39" t="s">
        <v>16</v>
      </c>
      <c r="F540" s="39">
        <v>163.0</v>
      </c>
      <c r="G540" s="38">
        <v>33000.0</v>
      </c>
      <c r="I540" s="40">
        <f t="shared" si="76"/>
        <v>5379000</v>
      </c>
      <c r="K540" s="39" t="s">
        <v>17</v>
      </c>
    </row>
    <row r="541">
      <c r="A541" s="137"/>
      <c r="C541" s="39" t="s">
        <v>113</v>
      </c>
      <c r="D541" s="39" t="s">
        <v>1454</v>
      </c>
      <c r="E541" s="39" t="s">
        <v>16</v>
      </c>
      <c r="F541" s="39">
        <v>110.0</v>
      </c>
      <c r="G541" s="38">
        <v>46000.0</v>
      </c>
      <c r="I541" s="40">
        <f t="shared" si="76"/>
        <v>5060000</v>
      </c>
      <c r="J541" s="40">
        <f>SUM(I539:I541)</f>
        <v>17534000</v>
      </c>
      <c r="K541" s="39" t="s">
        <v>1110</v>
      </c>
    </row>
    <row r="542">
      <c r="A542" s="138"/>
      <c r="C542" s="39"/>
      <c r="D542" s="39"/>
      <c r="E542" s="39"/>
      <c r="F542" s="39"/>
      <c r="G542" s="38"/>
    </row>
    <row r="543">
      <c r="A543" s="138" t="s">
        <v>1455</v>
      </c>
      <c r="C543" s="39" t="s">
        <v>189</v>
      </c>
      <c r="D543" s="39" t="s">
        <v>851</v>
      </c>
      <c r="E543" s="39" t="s">
        <v>779</v>
      </c>
      <c r="F543" s="39">
        <v>2.0</v>
      </c>
      <c r="G543" s="38">
        <v>1125000.0</v>
      </c>
      <c r="I543" s="40">
        <f t="shared" ref="I543:I551" si="77">F543*G543</f>
        <v>2250000</v>
      </c>
      <c r="K543" s="39" t="s">
        <v>17</v>
      </c>
    </row>
    <row r="544">
      <c r="A544" s="138" t="s">
        <v>1446</v>
      </c>
      <c r="C544" s="39" t="s">
        <v>189</v>
      </c>
      <c r="D544" s="39" t="s">
        <v>852</v>
      </c>
      <c r="E544" s="39" t="s">
        <v>779</v>
      </c>
      <c r="F544" s="39">
        <v>1.0</v>
      </c>
      <c r="G544" s="38">
        <v>1125000.0</v>
      </c>
      <c r="I544" s="40">
        <f t="shared" si="77"/>
        <v>1125000</v>
      </c>
      <c r="K544" s="39" t="s">
        <v>17</v>
      </c>
    </row>
    <row r="545">
      <c r="A545" s="138" t="s">
        <v>1446</v>
      </c>
      <c r="C545" s="39" t="s">
        <v>189</v>
      </c>
      <c r="D545" s="39" t="s">
        <v>853</v>
      </c>
      <c r="E545" s="39" t="s">
        <v>779</v>
      </c>
      <c r="F545" s="39">
        <v>1.0</v>
      </c>
      <c r="G545" s="38">
        <v>1125000.0</v>
      </c>
      <c r="I545" s="40">
        <f t="shared" si="77"/>
        <v>1125000</v>
      </c>
      <c r="K545" s="39" t="s">
        <v>17</v>
      </c>
    </row>
    <row r="546">
      <c r="A546" s="138" t="s">
        <v>1443</v>
      </c>
      <c r="C546" s="39" t="s">
        <v>189</v>
      </c>
      <c r="D546" s="39" t="s">
        <v>854</v>
      </c>
      <c r="E546" s="39" t="s">
        <v>779</v>
      </c>
      <c r="F546" s="39">
        <v>1.0</v>
      </c>
      <c r="G546" s="38">
        <v>1125000.0</v>
      </c>
      <c r="I546" s="40">
        <f t="shared" si="77"/>
        <v>1125000</v>
      </c>
      <c r="K546" s="39" t="s">
        <v>17</v>
      </c>
    </row>
    <row r="547">
      <c r="A547" s="137"/>
      <c r="C547" s="39" t="s">
        <v>189</v>
      </c>
      <c r="D547" s="39" t="s">
        <v>855</v>
      </c>
      <c r="E547" s="39" t="s">
        <v>779</v>
      </c>
      <c r="F547" s="39">
        <v>2.0</v>
      </c>
      <c r="G547" s="38">
        <v>255000.0</v>
      </c>
      <c r="I547" s="40">
        <f t="shared" si="77"/>
        <v>510000</v>
      </c>
      <c r="K547" s="39" t="s">
        <v>17</v>
      </c>
    </row>
    <row r="548">
      <c r="A548" s="137"/>
      <c r="C548" s="39" t="s">
        <v>189</v>
      </c>
      <c r="D548" s="39" t="s">
        <v>856</v>
      </c>
      <c r="E548" s="39" t="s">
        <v>779</v>
      </c>
      <c r="F548" s="39">
        <v>1.0</v>
      </c>
      <c r="G548" s="38">
        <v>1125000.0</v>
      </c>
      <c r="I548" s="40">
        <f t="shared" si="77"/>
        <v>1125000</v>
      </c>
      <c r="K548" s="39" t="s">
        <v>17</v>
      </c>
    </row>
    <row r="549">
      <c r="A549" s="137"/>
      <c r="C549" s="39" t="s">
        <v>189</v>
      </c>
      <c r="D549" s="39" t="s">
        <v>857</v>
      </c>
      <c r="E549" s="39" t="s">
        <v>779</v>
      </c>
      <c r="F549" s="39">
        <v>2.0</v>
      </c>
      <c r="G549" s="38">
        <v>255000.0</v>
      </c>
      <c r="I549" s="40">
        <f t="shared" si="77"/>
        <v>510000</v>
      </c>
      <c r="K549" s="39" t="s">
        <v>17</v>
      </c>
    </row>
    <row r="550">
      <c r="A550" s="137"/>
      <c r="C550" s="39" t="s">
        <v>189</v>
      </c>
      <c r="D550" s="39" t="s">
        <v>858</v>
      </c>
      <c r="E550" s="39" t="s">
        <v>779</v>
      </c>
      <c r="F550" s="39">
        <v>1.0</v>
      </c>
      <c r="G550" s="38">
        <v>1125000.0</v>
      </c>
      <c r="I550" s="40">
        <f t="shared" si="77"/>
        <v>1125000</v>
      </c>
      <c r="K550" s="39" t="s">
        <v>17</v>
      </c>
    </row>
    <row r="551">
      <c r="A551" s="137"/>
      <c r="C551" s="39" t="s">
        <v>189</v>
      </c>
      <c r="D551" s="39" t="s">
        <v>859</v>
      </c>
      <c r="E551" s="39" t="s">
        <v>779</v>
      </c>
      <c r="F551" s="39">
        <v>1.0</v>
      </c>
      <c r="G551" s="38">
        <v>255000.0</v>
      </c>
      <c r="I551" s="40">
        <f t="shared" si="77"/>
        <v>255000</v>
      </c>
      <c r="J551" s="40">
        <f>SUM(I543:I551)</f>
        <v>9150000</v>
      </c>
      <c r="K551" s="139" t="s">
        <v>1110</v>
      </c>
    </row>
    <row r="552">
      <c r="A552" s="137"/>
      <c r="G552" s="40"/>
    </row>
    <row r="553">
      <c r="A553" s="137"/>
      <c r="G553" s="40"/>
    </row>
    <row r="554">
      <c r="A554" s="138" t="s">
        <v>1444</v>
      </c>
      <c r="C554" s="39" t="s">
        <v>189</v>
      </c>
      <c r="D554" s="39" t="s">
        <v>883</v>
      </c>
      <c r="E554" s="39" t="s">
        <v>779</v>
      </c>
      <c r="F554" s="39">
        <v>2.0</v>
      </c>
      <c r="G554" s="38">
        <v>1125000.0</v>
      </c>
      <c r="I554" s="40">
        <f t="shared" ref="I554:I558" si="78">F554*G554</f>
        <v>2250000</v>
      </c>
      <c r="K554" s="39" t="s">
        <v>167</v>
      </c>
    </row>
    <row r="555">
      <c r="A555" s="138" t="s">
        <v>1444</v>
      </c>
      <c r="C555" s="39" t="s">
        <v>189</v>
      </c>
      <c r="D555" s="39" t="s">
        <v>884</v>
      </c>
      <c r="E555" s="39" t="s">
        <v>779</v>
      </c>
      <c r="F555" s="39">
        <v>3.0</v>
      </c>
      <c r="G555" s="38">
        <v>1125000.0</v>
      </c>
      <c r="I555" s="40">
        <f t="shared" si="78"/>
        <v>3375000</v>
      </c>
      <c r="J555" s="142"/>
      <c r="K555" s="39" t="s">
        <v>167</v>
      </c>
    </row>
    <row r="556">
      <c r="A556" s="138" t="s">
        <v>1444</v>
      </c>
      <c r="C556" s="39" t="s">
        <v>189</v>
      </c>
      <c r="D556" s="39" t="s">
        <v>885</v>
      </c>
      <c r="E556" s="39" t="s">
        <v>779</v>
      </c>
      <c r="F556" s="39">
        <v>2.0</v>
      </c>
      <c r="G556" s="38">
        <v>1125000.0</v>
      </c>
      <c r="I556" s="40">
        <f t="shared" si="78"/>
        <v>2250000</v>
      </c>
      <c r="K556" s="39" t="s">
        <v>17</v>
      </c>
    </row>
    <row r="557">
      <c r="A557" s="138" t="s">
        <v>1456</v>
      </c>
      <c r="C557" s="39" t="s">
        <v>189</v>
      </c>
      <c r="D557" s="39" t="s">
        <v>886</v>
      </c>
      <c r="E557" s="39" t="s">
        <v>779</v>
      </c>
      <c r="F557" s="39">
        <v>1.0</v>
      </c>
      <c r="G557" s="38">
        <v>255000.0</v>
      </c>
      <c r="I557" s="40">
        <f t="shared" si="78"/>
        <v>255000</v>
      </c>
      <c r="K557" s="39" t="s">
        <v>17</v>
      </c>
    </row>
    <row r="558">
      <c r="A558" s="138" t="s">
        <v>1444</v>
      </c>
      <c r="C558" s="39" t="s">
        <v>189</v>
      </c>
      <c r="D558" s="39" t="s">
        <v>887</v>
      </c>
      <c r="E558" s="39" t="s">
        <v>779</v>
      </c>
      <c r="F558" s="39">
        <v>1.0</v>
      </c>
      <c r="G558" s="38">
        <v>1125000.0</v>
      </c>
      <c r="I558" s="40">
        <f t="shared" si="78"/>
        <v>1125000</v>
      </c>
      <c r="J558" s="141">
        <f>sum(I554:I558)</f>
        <v>9255000</v>
      </c>
      <c r="K558" s="39" t="s">
        <v>1110</v>
      </c>
    </row>
    <row r="559">
      <c r="J559" s="142"/>
    </row>
    <row r="560">
      <c r="A560" s="138" t="s">
        <v>1457</v>
      </c>
      <c r="C560" s="39" t="s">
        <v>1458</v>
      </c>
      <c r="D560" s="39" t="s">
        <v>1459</v>
      </c>
      <c r="E560" s="39" t="s">
        <v>261</v>
      </c>
      <c r="F560" s="39">
        <v>250.0</v>
      </c>
      <c r="G560" s="38">
        <v>116000.0</v>
      </c>
      <c r="I560" s="40">
        <f>G560*F560</f>
        <v>29000000</v>
      </c>
      <c r="J560" s="141">
        <f>I560</f>
        <v>29000000</v>
      </c>
      <c r="K560" s="139" t="s">
        <v>1110</v>
      </c>
    </row>
    <row r="561">
      <c r="A561" s="137"/>
      <c r="G561" s="40"/>
    </row>
    <row r="562">
      <c r="A562" s="138" t="s">
        <v>1444</v>
      </c>
      <c r="C562" s="39" t="s">
        <v>122</v>
      </c>
      <c r="D562" s="39" t="s">
        <v>1460</v>
      </c>
      <c r="E562" s="39" t="s">
        <v>50</v>
      </c>
      <c r="F562" s="39">
        <v>2550.0</v>
      </c>
      <c r="G562" s="38">
        <v>1800.0</v>
      </c>
      <c r="I562" s="40">
        <f t="shared" ref="I562:I566" si="79">F562*G562</f>
        <v>4590000</v>
      </c>
      <c r="K562" s="39" t="s">
        <v>17</v>
      </c>
    </row>
    <row r="563">
      <c r="A563" s="137"/>
      <c r="D563" s="39" t="s">
        <v>372</v>
      </c>
      <c r="E563" s="39" t="s">
        <v>201</v>
      </c>
      <c r="F563" s="39">
        <v>35.0</v>
      </c>
      <c r="G563" s="38">
        <v>355000.0</v>
      </c>
      <c r="I563" s="40">
        <f t="shared" si="79"/>
        <v>12425000</v>
      </c>
      <c r="K563" s="139">
        <v>15.0</v>
      </c>
    </row>
    <row r="564">
      <c r="A564" s="137"/>
      <c r="D564" s="39" t="s">
        <v>373</v>
      </c>
      <c r="E564" s="39" t="s">
        <v>16</v>
      </c>
      <c r="F564" s="39">
        <v>154.0</v>
      </c>
      <c r="G564" s="38">
        <v>18500.0</v>
      </c>
      <c r="I564" s="40">
        <f t="shared" si="79"/>
        <v>2849000</v>
      </c>
      <c r="K564" s="39" t="s">
        <v>17</v>
      </c>
    </row>
    <row r="565">
      <c r="A565" s="137"/>
      <c r="D565" s="39" t="s">
        <v>374</v>
      </c>
      <c r="E565" s="39" t="s">
        <v>50</v>
      </c>
      <c r="F565" s="39">
        <v>2050.0</v>
      </c>
      <c r="G565" s="38">
        <v>1800.0</v>
      </c>
      <c r="I565" s="40">
        <f t="shared" si="79"/>
        <v>3690000</v>
      </c>
      <c r="K565" s="39" t="s">
        <v>17</v>
      </c>
    </row>
    <row r="566">
      <c r="A566" s="137"/>
      <c r="D566" s="39" t="s">
        <v>375</v>
      </c>
      <c r="E566" s="39" t="s">
        <v>50</v>
      </c>
      <c r="F566" s="39">
        <v>3225.0</v>
      </c>
      <c r="G566" s="38">
        <v>1800.0</v>
      </c>
      <c r="I566" s="40">
        <f t="shared" si="79"/>
        <v>5805000</v>
      </c>
      <c r="J566" s="40">
        <f>SUM(I562:I566)</f>
        <v>29359000</v>
      </c>
      <c r="K566" s="39" t="s">
        <v>1110</v>
      </c>
    </row>
    <row r="567">
      <c r="A567" s="137"/>
      <c r="G567" s="40"/>
    </row>
    <row r="568">
      <c r="A568" s="138" t="s">
        <v>1461</v>
      </c>
      <c r="C568" s="39" t="s">
        <v>122</v>
      </c>
      <c r="D568" s="39" t="s">
        <v>1097</v>
      </c>
      <c r="E568" s="39" t="s">
        <v>16</v>
      </c>
      <c r="F568" s="39">
        <v>130.0</v>
      </c>
      <c r="G568" s="38">
        <v>25000.0</v>
      </c>
      <c r="I568" s="40">
        <f t="shared" ref="I568:I569" si="80">F568*G568</f>
        <v>3250000</v>
      </c>
      <c r="K568" s="39" t="s">
        <v>167</v>
      </c>
    </row>
    <row r="569">
      <c r="A569" s="137"/>
      <c r="D569" s="39" t="s">
        <v>1097</v>
      </c>
      <c r="E569" s="39" t="s">
        <v>16</v>
      </c>
      <c r="F569" s="39">
        <v>56.8</v>
      </c>
      <c r="G569" s="38">
        <v>25000.0</v>
      </c>
      <c r="I569" s="40">
        <f t="shared" si="80"/>
        <v>1420000</v>
      </c>
      <c r="J569" s="40">
        <f>SUM(I568:I569)</f>
        <v>4670000</v>
      </c>
      <c r="K569" s="39" t="s">
        <v>1110</v>
      </c>
    </row>
    <row r="570">
      <c r="A570" s="137"/>
      <c r="G570" s="40"/>
    </row>
    <row r="571">
      <c r="A571" s="138" t="s">
        <v>1445</v>
      </c>
      <c r="C571" s="39" t="s">
        <v>214</v>
      </c>
      <c r="D571" s="39" t="s">
        <v>390</v>
      </c>
      <c r="E571" s="39" t="s">
        <v>50</v>
      </c>
      <c r="F571" s="39">
        <v>2600.0</v>
      </c>
      <c r="G571" s="38">
        <v>560.0</v>
      </c>
      <c r="I571" s="40">
        <f t="shared" ref="I571:I575" si="81">F571*G571</f>
        <v>1456000</v>
      </c>
      <c r="K571" s="39" t="s">
        <v>167</v>
      </c>
    </row>
    <row r="572">
      <c r="A572" s="137"/>
      <c r="C572" s="39" t="s">
        <v>214</v>
      </c>
      <c r="D572" s="39" t="s">
        <v>391</v>
      </c>
      <c r="E572" s="39" t="s">
        <v>50</v>
      </c>
      <c r="F572" s="39">
        <v>1570.0</v>
      </c>
      <c r="G572" s="38">
        <v>560.0</v>
      </c>
      <c r="I572" s="40">
        <f t="shared" si="81"/>
        <v>879200</v>
      </c>
      <c r="K572" s="39" t="s">
        <v>167</v>
      </c>
    </row>
    <row r="573">
      <c r="A573" s="138" t="s">
        <v>1443</v>
      </c>
      <c r="C573" s="39" t="s">
        <v>214</v>
      </c>
      <c r="D573" s="39" t="s">
        <v>392</v>
      </c>
      <c r="E573" s="39" t="s">
        <v>50</v>
      </c>
      <c r="F573" s="39">
        <v>2600.0</v>
      </c>
      <c r="G573" s="38">
        <v>550.0</v>
      </c>
      <c r="I573" s="40">
        <f t="shared" si="81"/>
        <v>1430000</v>
      </c>
      <c r="K573" s="39" t="s">
        <v>167</v>
      </c>
    </row>
    <row r="574">
      <c r="A574" s="137"/>
      <c r="C574" s="39" t="s">
        <v>214</v>
      </c>
      <c r="D574" s="39" t="s">
        <v>393</v>
      </c>
      <c r="E574" s="39" t="s">
        <v>50</v>
      </c>
      <c r="F574" s="39">
        <v>2100.0</v>
      </c>
      <c r="G574" s="38">
        <v>560.0</v>
      </c>
      <c r="I574" s="40">
        <f t="shared" si="81"/>
        <v>1176000</v>
      </c>
      <c r="K574" s="139">
        <v>2100.0</v>
      </c>
    </row>
    <row r="575">
      <c r="A575" s="138" t="s">
        <v>1444</v>
      </c>
      <c r="C575" s="39" t="s">
        <v>214</v>
      </c>
      <c r="D575" s="39" t="s">
        <v>1462</v>
      </c>
      <c r="E575" s="39" t="s">
        <v>50</v>
      </c>
      <c r="F575" s="39">
        <v>1920.0</v>
      </c>
      <c r="G575" s="38">
        <v>480.0</v>
      </c>
      <c r="I575" s="40">
        <f t="shared" si="81"/>
        <v>921600</v>
      </c>
      <c r="J575" s="40">
        <f>SUM(I571:I575)</f>
        <v>5862800</v>
      </c>
      <c r="K575" s="39" t="s">
        <v>1110</v>
      </c>
    </row>
    <row r="576">
      <c r="A576" s="137"/>
      <c r="G576" s="40"/>
    </row>
    <row r="577">
      <c r="A577" s="138" t="s">
        <v>1443</v>
      </c>
      <c r="C577" s="39" t="s">
        <v>189</v>
      </c>
      <c r="D577" s="39" t="s">
        <v>377</v>
      </c>
      <c r="E577" s="39" t="s">
        <v>16</v>
      </c>
      <c r="F577" s="39">
        <v>63.2</v>
      </c>
      <c r="G577" s="38">
        <v>37000.0</v>
      </c>
      <c r="I577" s="40">
        <f t="shared" ref="I577:I582" si="82">F577*G577</f>
        <v>2338400</v>
      </c>
      <c r="K577" s="39" t="s">
        <v>17</v>
      </c>
    </row>
    <row r="578">
      <c r="A578" s="137"/>
      <c r="D578" s="39" t="s">
        <v>378</v>
      </c>
      <c r="E578" s="39" t="s">
        <v>16</v>
      </c>
      <c r="F578" s="39">
        <v>128.0</v>
      </c>
      <c r="G578" s="38">
        <v>29500.0</v>
      </c>
      <c r="I578" s="40">
        <f t="shared" si="82"/>
        <v>3776000</v>
      </c>
      <c r="K578" s="39" t="s">
        <v>17</v>
      </c>
    </row>
    <row r="579">
      <c r="A579" s="137"/>
      <c r="D579" s="39" t="s">
        <v>379</v>
      </c>
      <c r="E579" s="39" t="s">
        <v>16</v>
      </c>
      <c r="F579" s="39">
        <v>170.0</v>
      </c>
      <c r="G579" s="38">
        <v>15500.0</v>
      </c>
      <c r="I579" s="40">
        <f t="shared" si="82"/>
        <v>2635000</v>
      </c>
      <c r="K579" s="39" t="s">
        <v>17</v>
      </c>
    </row>
    <row r="580">
      <c r="A580" s="137"/>
      <c r="D580" s="39" t="s">
        <v>380</v>
      </c>
      <c r="E580" s="39" t="s">
        <v>50</v>
      </c>
      <c r="F580" s="39">
        <v>1980.0</v>
      </c>
      <c r="G580" s="38">
        <v>1650.0</v>
      </c>
      <c r="I580" s="40">
        <f t="shared" si="82"/>
        <v>3267000</v>
      </c>
      <c r="K580" s="39" t="s">
        <v>17</v>
      </c>
    </row>
    <row r="581">
      <c r="A581" s="137"/>
      <c r="D581" s="39" t="s">
        <v>381</v>
      </c>
      <c r="E581" s="39" t="s">
        <v>16</v>
      </c>
      <c r="F581" s="39">
        <v>11.0</v>
      </c>
      <c r="G581" s="38">
        <v>65000.0</v>
      </c>
      <c r="I581" s="40">
        <f t="shared" si="82"/>
        <v>715000</v>
      </c>
      <c r="K581" s="39" t="s">
        <v>17</v>
      </c>
    </row>
    <row r="582">
      <c r="A582" s="137"/>
      <c r="D582" s="39" t="s">
        <v>382</v>
      </c>
      <c r="E582" s="39" t="s">
        <v>16</v>
      </c>
      <c r="F582" s="39">
        <v>153.0</v>
      </c>
      <c r="G582" s="38">
        <v>37000.0</v>
      </c>
      <c r="I582" s="40">
        <f t="shared" si="82"/>
        <v>5661000</v>
      </c>
      <c r="J582" s="40">
        <f>SUM(I577:I582)</f>
        <v>18392400</v>
      </c>
      <c r="K582" s="39" t="s">
        <v>1110</v>
      </c>
    </row>
    <row r="583">
      <c r="A583" s="138"/>
      <c r="C583" s="39"/>
      <c r="D583" s="39"/>
      <c r="E583" s="39"/>
      <c r="F583" s="39"/>
      <c r="G583" s="38"/>
      <c r="J583" s="142"/>
    </row>
    <row r="584">
      <c r="A584" s="138" t="s">
        <v>1444</v>
      </c>
      <c r="C584" s="39" t="s">
        <v>189</v>
      </c>
      <c r="D584" s="39" t="s">
        <v>888</v>
      </c>
      <c r="E584" s="39" t="s">
        <v>779</v>
      </c>
      <c r="F584" s="39">
        <v>2.0</v>
      </c>
      <c r="G584" s="38">
        <v>1125000.0</v>
      </c>
      <c r="I584" s="40">
        <f t="shared" ref="I584:I587" si="83">F584*G584</f>
        <v>2250000</v>
      </c>
      <c r="J584" s="142"/>
      <c r="K584" s="39" t="s">
        <v>17</v>
      </c>
    </row>
    <row r="585">
      <c r="A585" s="138" t="s">
        <v>1463</v>
      </c>
      <c r="C585" s="39" t="s">
        <v>189</v>
      </c>
      <c r="D585" s="39" t="s">
        <v>889</v>
      </c>
      <c r="E585" s="39" t="s">
        <v>779</v>
      </c>
      <c r="F585" s="39">
        <v>1.0</v>
      </c>
      <c r="G585" s="38">
        <v>1125000.0</v>
      </c>
      <c r="I585" s="40">
        <f t="shared" si="83"/>
        <v>1125000</v>
      </c>
      <c r="K585" s="39" t="s">
        <v>17</v>
      </c>
    </row>
    <row r="586">
      <c r="A586" s="137"/>
      <c r="C586" s="39" t="s">
        <v>189</v>
      </c>
      <c r="D586" s="39" t="s">
        <v>890</v>
      </c>
      <c r="E586" s="39" t="s">
        <v>779</v>
      </c>
      <c r="F586" s="39">
        <v>3.0</v>
      </c>
      <c r="G586" s="38">
        <v>1125000.0</v>
      </c>
      <c r="I586" s="40">
        <f t="shared" si="83"/>
        <v>3375000</v>
      </c>
      <c r="K586" s="39" t="s">
        <v>17</v>
      </c>
    </row>
    <row r="587">
      <c r="A587" s="137"/>
      <c r="C587" s="39" t="s">
        <v>189</v>
      </c>
      <c r="D587" s="39" t="s">
        <v>891</v>
      </c>
      <c r="E587" s="39" t="s">
        <v>779</v>
      </c>
      <c r="F587" s="39">
        <v>1.0</v>
      </c>
      <c r="G587" s="38">
        <v>1125000.0</v>
      </c>
      <c r="I587" s="40">
        <f t="shared" si="83"/>
        <v>1125000</v>
      </c>
      <c r="J587" s="40">
        <f>sum(I584:I587)</f>
        <v>7875000</v>
      </c>
      <c r="K587" s="39" t="s">
        <v>1110</v>
      </c>
    </row>
    <row r="588">
      <c r="A588" s="137"/>
    </row>
    <row r="589">
      <c r="A589" s="138" t="s">
        <v>1463</v>
      </c>
      <c r="C589" s="39" t="s">
        <v>189</v>
      </c>
      <c r="D589" s="39" t="s">
        <v>425</v>
      </c>
      <c r="E589" s="39" t="s">
        <v>16</v>
      </c>
      <c r="F589" s="39">
        <v>125.0</v>
      </c>
      <c r="G589" s="38">
        <v>70000.0</v>
      </c>
      <c r="I589" s="40">
        <f>F589*G589</f>
        <v>8750000</v>
      </c>
      <c r="J589" s="40">
        <f>I589</f>
        <v>8750000</v>
      </c>
      <c r="K589" s="39" t="s">
        <v>1110</v>
      </c>
    </row>
    <row r="590">
      <c r="A590" s="137"/>
    </row>
    <row r="591">
      <c r="A591" s="138" t="s">
        <v>1463</v>
      </c>
      <c r="C591" s="39" t="s">
        <v>113</v>
      </c>
      <c r="D591" s="39" t="s">
        <v>413</v>
      </c>
      <c r="E591" s="39" t="s">
        <v>16</v>
      </c>
      <c r="F591" s="39">
        <v>223.6</v>
      </c>
      <c r="G591" s="38">
        <v>29000.0</v>
      </c>
      <c r="I591" s="40">
        <f>F591*G591</f>
        <v>6484400</v>
      </c>
      <c r="J591" s="40">
        <f t="shared" ref="J591:J592" si="84">I591</f>
        <v>6484400</v>
      </c>
      <c r="K591" s="39" t="s">
        <v>1110</v>
      </c>
    </row>
    <row r="592">
      <c r="A592" s="137"/>
      <c r="G592" s="40"/>
      <c r="J592" s="44" t="str">
        <f t="shared" si="84"/>
        <v/>
      </c>
    </row>
    <row r="593">
      <c r="A593" s="138" t="s">
        <v>1445</v>
      </c>
      <c r="C593" s="39" t="s">
        <v>420</v>
      </c>
      <c r="D593" s="39" t="s">
        <v>421</v>
      </c>
      <c r="E593" s="39" t="s">
        <v>50</v>
      </c>
      <c r="F593" s="39">
        <v>1980.0</v>
      </c>
      <c r="G593" s="38">
        <v>500.0</v>
      </c>
      <c r="I593" s="40">
        <f t="shared" ref="I593:I596" si="85">F593*G593</f>
        <v>990000</v>
      </c>
      <c r="K593" s="39" t="s">
        <v>167</v>
      </c>
    </row>
    <row r="594">
      <c r="A594" s="138" t="s">
        <v>1446</v>
      </c>
      <c r="D594" s="39" t="s">
        <v>422</v>
      </c>
      <c r="E594" s="39" t="s">
        <v>133</v>
      </c>
      <c r="F594" s="39">
        <v>56.0</v>
      </c>
      <c r="G594" s="38">
        <v>12000.0</v>
      </c>
      <c r="I594" s="40">
        <f t="shared" si="85"/>
        <v>672000</v>
      </c>
      <c r="K594" s="39" t="s">
        <v>167</v>
      </c>
    </row>
    <row r="595">
      <c r="A595" s="138" t="s">
        <v>1443</v>
      </c>
      <c r="D595" s="39" t="s">
        <v>423</v>
      </c>
      <c r="E595" s="39" t="s">
        <v>50</v>
      </c>
      <c r="F595" s="39">
        <v>1980.0</v>
      </c>
      <c r="G595" s="38">
        <v>500.0</v>
      </c>
      <c r="I595" s="40">
        <f t="shared" si="85"/>
        <v>990000</v>
      </c>
      <c r="K595" s="39" t="s">
        <v>167</v>
      </c>
    </row>
    <row r="596">
      <c r="A596" s="138" t="s">
        <v>1444</v>
      </c>
      <c r="D596" s="39" t="s">
        <v>424</v>
      </c>
      <c r="E596" s="39" t="s">
        <v>133</v>
      </c>
      <c r="F596" s="39">
        <v>56.0</v>
      </c>
      <c r="G596" s="38">
        <v>12000.0</v>
      </c>
      <c r="I596" s="40">
        <f t="shared" si="85"/>
        <v>672000</v>
      </c>
      <c r="J596" s="40">
        <f>SUM(I593:I596)</f>
        <v>3324000</v>
      </c>
      <c r="K596" s="39" t="s">
        <v>1110</v>
      </c>
    </row>
    <row r="597">
      <c r="A597" s="137"/>
      <c r="G597" s="40"/>
    </row>
    <row r="598">
      <c r="A598" s="137"/>
      <c r="G598" s="40"/>
    </row>
    <row r="599">
      <c r="A599" s="138" t="s">
        <v>1464</v>
      </c>
      <c r="C599" s="39" t="s">
        <v>189</v>
      </c>
      <c r="D599" s="39" t="s">
        <v>452</v>
      </c>
      <c r="E599" s="39" t="s">
        <v>50</v>
      </c>
      <c r="F599" s="39">
        <v>1693.0</v>
      </c>
      <c r="G599" s="38">
        <v>1650.0</v>
      </c>
      <c r="I599" s="40">
        <f>F599*G599</f>
        <v>2793450</v>
      </c>
      <c r="J599" s="40">
        <f>I599</f>
        <v>2793450</v>
      </c>
      <c r="K599" s="39" t="s">
        <v>1110</v>
      </c>
    </row>
    <row r="600">
      <c r="A600" s="137"/>
      <c r="G600" s="40"/>
    </row>
    <row r="601">
      <c r="A601" s="138" t="s">
        <v>1464</v>
      </c>
      <c r="C601" s="39" t="s">
        <v>189</v>
      </c>
      <c r="D601" s="39" t="s">
        <v>893</v>
      </c>
      <c r="E601" s="39" t="s">
        <v>779</v>
      </c>
      <c r="F601" s="39">
        <v>2.0</v>
      </c>
      <c r="G601" s="38">
        <v>1125000.0</v>
      </c>
      <c r="I601" s="40">
        <f t="shared" ref="I601:I603" si="86">F601*G601</f>
        <v>2250000</v>
      </c>
      <c r="K601" s="39" t="s">
        <v>167</v>
      </c>
    </row>
    <row r="602">
      <c r="A602" s="138" t="s">
        <v>1061</v>
      </c>
      <c r="C602" s="39" t="s">
        <v>189</v>
      </c>
      <c r="D602" s="39" t="s">
        <v>894</v>
      </c>
      <c r="E602" s="39" t="s">
        <v>779</v>
      </c>
      <c r="F602" s="39">
        <v>2.0</v>
      </c>
      <c r="G602" s="38">
        <v>1125000.0</v>
      </c>
      <c r="I602" s="40">
        <f t="shared" si="86"/>
        <v>2250000</v>
      </c>
      <c r="K602" s="39" t="s">
        <v>167</v>
      </c>
    </row>
    <row r="603">
      <c r="A603" s="137"/>
      <c r="C603" s="39" t="s">
        <v>189</v>
      </c>
      <c r="D603" s="39" t="s">
        <v>895</v>
      </c>
      <c r="E603" s="39" t="s">
        <v>779</v>
      </c>
      <c r="F603" s="39">
        <v>1.0</v>
      </c>
      <c r="G603" s="38">
        <v>1125000.0</v>
      </c>
      <c r="I603" s="40">
        <f t="shared" si="86"/>
        <v>1125000</v>
      </c>
      <c r="J603" s="40">
        <f>SUM(I601:I603)</f>
        <v>5625000</v>
      </c>
      <c r="K603" s="39" t="s">
        <v>1110</v>
      </c>
    </row>
    <row r="604">
      <c r="A604" s="137"/>
      <c r="G604" s="40"/>
    </row>
    <row r="605">
      <c r="A605" s="138" t="s">
        <v>1061</v>
      </c>
      <c r="C605" s="39" t="s">
        <v>122</v>
      </c>
      <c r="D605" s="39" t="s">
        <v>491</v>
      </c>
      <c r="E605" s="39" t="s">
        <v>186</v>
      </c>
      <c r="F605" s="39">
        <v>13.0</v>
      </c>
      <c r="G605" s="38">
        <v>580000.0</v>
      </c>
      <c r="I605" s="40">
        <f t="shared" ref="I605:I607" si="87">F605*G605</f>
        <v>7540000</v>
      </c>
      <c r="K605" s="39" t="s">
        <v>17</v>
      </c>
    </row>
    <row r="606">
      <c r="A606" s="138"/>
      <c r="C606" s="39"/>
      <c r="D606" s="39" t="s">
        <v>491</v>
      </c>
      <c r="E606" s="39" t="s">
        <v>16</v>
      </c>
      <c r="F606" s="39">
        <v>14.0</v>
      </c>
      <c r="G606" s="38">
        <v>35000.0</v>
      </c>
      <c r="I606" s="40">
        <f t="shared" si="87"/>
        <v>490000</v>
      </c>
      <c r="K606" s="39" t="s">
        <v>17</v>
      </c>
    </row>
    <row r="607">
      <c r="A607" s="137"/>
      <c r="D607" s="39" t="s">
        <v>195</v>
      </c>
      <c r="E607" s="39" t="s">
        <v>50</v>
      </c>
      <c r="F607" s="39">
        <v>2550.0</v>
      </c>
      <c r="G607" s="38">
        <v>1800.0</v>
      </c>
      <c r="I607" s="40">
        <f t="shared" si="87"/>
        <v>4590000</v>
      </c>
      <c r="J607" s="40"/>
      <c r="K607" s="39" t="s">
        <v>17</v>
      </c>
    </row>
    <row r="608">
      <c r="A608" s="137"/>
      <c r="D608" s="39" t="s">
        <v>1465</v>
      </c>
      <c r="G608" s="40"/>
      <c r="I608" s="38">
        <v>-40000.0</v>
      </c>
      <c r="J608" s="40">
        <f>sum(I605:I608)</f>
        <v>12580000</v>
      </c>
      <c r="K608" s="39" t="s">
        <v>1110</v>
      </c>
    </row>
    <row r="609">
      <c r="A609" s="137"/>
      <c r="G609" s="40"/>
    </row>
    <row r="610">
      <c r="A610" s="138" t="s">
        <v>1063</v>
      </c>
      <c r="C610" s="39" t="s">
        <v>122</v>
      </c>
      <c r="D610" s="39" t="s">
        <v>512</v>
      </c>
      <c r="E610" s="39" t="s">
        <v>16</v>
      </c>
      <c r="F610" s="39">
        <v>144.0</v>
      </c>
      <c r="G610" s="38">
        <v>19000.0</v>
      </c>
      <c r="I610" s="40">
        <f t="shared" ref="I610:I613" si="88">F610*G610</f>
        <v>2736000</v>
      </c>
      <c r="K610" s="39" t="s">
        <v>17</v>
      </c>
    </row>
    <row r="611">
      <c r="A611" s="137"/>
      <c r="D611" s="39" t="s">
        <v>513</v>
      </c>
      <c r="E611" s="39" t="s">
        <v>16</v>
      </c>
      <c r="F611" s="39">
        <v>265.0</v>
      </c>
      <c r="G611" s="38">
        <v>19500.0</v>
      </c>
      <c r="I611" s="40">
        <f t="shared" si="88"/>
        <v>5167500</v>
      </c>
      <c r="K611" s="39" t="s">
        <v>17</v>
      </c>
    </row>
    <row r="612">
      <c r="A612" s="137"/>
      <c r="D612" s="39" t="s">
        <v>514</v>
      </c>
      <c r="E612" s="39" t="s">
        <v>16</v>
      </c>
      <c r="F612" s="39">
        <v>207.0</v>
      </c>
      <c r="G612" s="38">
        <v>18000.0</v>
      </c>
      <c r="I612" s="40">
        <f t="shared" si="88"/>
        <v>3726000</v>
      </c>
      <c r="K612" s="39" t="s">
        <v>17</v>
      </c>
    </row>
    <row r="613">
      <c r="A613" s="137"/>
      <c r="D613" s="39" t="s">
        <v>515</v>
      </c>
      <c r="E613" s="39" t="s">
        <v>16</v>
      </c>
      <c r="F613" s="39">
        <v>245.0</v>
      </c>
      <c r="G613" s="38">
        <v>19500.0</v>
      </c>
      <c r="I613" s="40">
        <f t="shared" si="88"/>
        <v>4777500</v>
      </c>
      <c r="J613" s="40">
        <f>SUM(I610:I613)</f>
        <v>16407000</v>
      </c>
      <c r="K613" s="39" t="s">
        <v>1110</v>
      </c>
    </row>
    <row r="614">
      <c r="A614" s="137"/>
      <c r="G614" s="40"/>
    </row>
    <row r="615">
      <c r="A615" s="138" t="s">
        <v>1076</v>
      </c>
      <c r="C615" s="39" t="s">
        <v>237</v>
      </c>
      <c r="D615" s="39" t="s">
        <v>1466</v>
      </c>
      <c r="E615" s="39" t="s">
        <v>50</v>
      </c>
      <c r="F615" s="39">
        <v>35.0</v>
      </c>
      <c r="G615" s="38">
        <v>28000.0</v>
      </c>
      <c r="I615" s="40">
        <f t="shared" ref="I615:I618" si="89">F615*G615</f>
        <v>980000</v>
      </c>
      <c r="K615" s="39" t="s">
        <v>17</v>
      </c>
    </row>
    <row r="616">
      <c r="A616" s="137"/>
      <c r="D616" s="39" t="s">
        <v>128</v>
      </c>
      <c r="E616" s="39" t="s">
        <v>16</v>
      </c>
      <c r="F616" s="39">
        <v>25.0</v>
      </c>
      <c r="G616" s="38">
        <v>22000.0</v>
      </c>
      <c r="I616" s="40">
        <f t="shared" si="89"/>
        <v>550000</v>
      </c>
      <c r="K616" s="39" t="s">
        <v>17</v>
      </c>
    </row>
    <row r="617">
      <c r="A617" s="137"/>
      <c r="D617" s="39" t="s">
        <v>585</v>
      </c>
      <c r="E617" s="39" t="s">
        <v>16</v>
      </c>
      <c r="F617" s="39">
        <v>90.0</v>
      </c>
      <c r="G617" s="38">
        <v>28000.0</v>
      </c>
      <c r="I617" s="40">
        <f t="shared" si="89"/>
        <v>2520000</v>
      </c>
      <c r="K617" s="39" t="s">
        <v>1467</v>
      </c>
    </row>
    <row r="618">
      <c r="A618" s="137"/>
      <c r="D618" s="39" t="s">
        <v>586</v>
      </c>
      <c r="E618" s="39" t="s">
        <v>50</v>
      </c>
      <c r="F618" s="39">
        <v>255.0</v>
      </c>
      <c r="G618" s="38">
        <v>29000.0</v>
      </c>
      <c r="I618" s="40">
        <f t="shared" si="89"/>
        <v>7395000</v>
      </c>
      <c r="J618" s="141">
        <f>SUM(I615:I618)</f>
        <v>11445000</v>
      </c>
      <c r="K618" s="39" t="s">
        <v>17</v>
      </c>
    </row>
    <row r="619">
      <c r="A619" s="137"/>
      <c r="G619" s="40"/>
      <c r="J619" s="143"/>
    </row>
    <row r="620">
      <c r="A620" s="138" t="s">
        <v>1076</v>
      </c>
      <c r="C620" s="39" t="s">
        <v>189</v>
      </c>
      <c r="D620" s="39" t="s">
        <v>933</v>
      </c>
      <c r="E620" s="39" t="s">
        <v>779</v>
      </c>
      <c r="F620" s="39">
        <v>1.0</v>
      </c>
      <c r="G620" s="38">
        <v>1125000.0</v>
      </c>
      <c r="H620" s="39" t="s">
        <v>17</v>
      </c>
      <c r="I620" s="40">
        <f t="shared" ref="I620:I624" si="90">F620*G620</f>
        <v>1125000</v>
      </c>
      <c r="J620" s="143"/>
      <c r="K620" s="39" t="s">
        <v>17</v>
      </c>
    </row>
    <row r="621">
      <c r="A621" s="137"/>
      <c r="D621" s="39" t="s">
        <v>934</v>
      </c>
      <c r="E621" s="39" t="s">
        <v>779</v>
      </c>
      <c r="F621" s="39">
        <v>3.0</v>
      </c>
      <c r="G621" s="38">
        <v>1125000.0</v>
      </c>
      <c r="H621" s="39" t="s">
        <v>17</v>
      </c>
      <c r="I621" s="40">
        <f t="shared" si="90"/>
        <v>3375000</v>
      </c>
      <c r="J621" s="143"/>
      <c r="K621" s="39" t="s">
        <v>17</v>
      </c>
    </row>
    <row r="622">
      <c r="A622" s="137"/>
      <c r="D622" s="39" t="s">
        <v>935</v>
      </c>
      <c r="E622" s="39" t="s">
        <v>779</v>
      </c>
      <c r="F622" s="39">
        <v>2.0</v>
      </c>
      <c r="G622" s="38">
        <v>1125000.0</v>
      </c>
      <c r="H622" s="39" t="s">
        <v>17</v>
      </c>
      <c r="I622" s="40">
        <f t="shared" si="90"/>
        <v>2250000</v>
      </c>
      <c r="J622" s="143"/>
      <c r="K622" s="39" t="s">
        <v>17</v>
      </c>
    </row>
    <row r="623">
      <c r="A623" s="138"/>
      <c r="C623" s="39"/>
      <c r="D623" s="39" t="s">
        <v>936</v>
      </c>
      <c r="E623" s="39" t="s">
        <v>779</v>
      </c>
      <c r="F623" s="39">
        <v>2.0</v>
      </c>
      <c r="G623" s="38">
        <v>255000.0</v>
      </c>
      <c r="H623" s="39" t="s">
        <v>17</v>
      </c>
      <c r="I623" s="40">
        <f t="shared" si="90"/>
        <v>510000</v>
      </c>
      <c r="J623" s="143"/>
      <c r="K623" s="39" t="s">
        <v>17</v>
      </c>
    </row>
    <row r="624">
      <c r="A624" s="138"/>
      <c r="C624" s="39"/>
      <c r="D624" s="39" t="s">
        <v>937</v>
      </c>
      <c r="E624" s="39" t="s">
        <v>779</v>
      </c>
      <c r="F624" s="39">
        <v>1.0</v>
      </c>
      <c r="G624" s="38">
        <v>1125000.0</v>
      </c>
      <c r="H624" s="39" t="s">
        <v>17</v>
      </c>
      <c r="I624" s="40">
        <f t="shared" si="90"/>
        <v>1125000</v>
      </c>
      <c r="J624" s="141">
        <f>SUM(I620:I624)</f>
        <v>8385000</v>
      </c>
      <c r="K624" s="39" t="s">
        <v>1110</v>
      </c>
    </row>
    <row r="625">
      <c r="A625" s="138"/>
      <c r="C625" s="39"/>
      <c r="D625" s="39"/>
      <c r="E625" s="39"/>
      <c r="F625" s="39"/>
      <c r="G625" s="38"/>
      <c r="J625" s="143"/>
    </row>
    <row r="626">
      <c r="A626" s="138" t="s">
        <v>1063</v>
      </c>
      <c r="C626" s="39" t="s">
        <v>189</v>
      </c>
      <c r="D626" s="39" t="s">
        <v>562</v>
      </c>
      <c r="E626" s="39" t="s">
        <v>16</v>
      </c>
      <c r="F626" s="39">
        <v>149.0</v>
      </c>
      <c r="G626" s="38">
        <v>15500.0</v>
      </c>
      <c r="I626" s="40">
        <f t="shared" ref="I626:I627" si="91">F626*G626</f>
        <v>2309500</v>
      </c>
      <c r="J626" s="143"/>
      <c r="K626" s="39" t="s">
        <v>17</v>
      </c>
    </row>
    <row r="627">
      <c r="A627" s="137"/>
      <c r="D627" s="39" t="s">
        <v>190</v>
      </c>
      <c r="E627" s="39" t="s">
        <v>16</v>
      </c>
      <c r="F627" s="39">
        <v>224.0</v>
      </c>
      <c r="G627" s="38">
        <v>26500.0</v>
      </c>
      <c r="I627" s="40">
        <f t="shared" si="91"/>
        <v>5936000</v>
      </c>
      <c r="J627" s="141">
        <f>SUM(I626:I627)</f>
        <v>8245500</v>
      </c>
      <c r="K627" s="39" t="s">
        <v>1110</v>
      </c>
    </row>
    <row r="628">
      <c r="A628" s="138"/>
      <c r="C628" s="39"/>
      <c r="D628" s="39"/>
      <c r="E628" s="39"/>
      <c r="F628" s="39"/>
      <c r="G628" s="38"/>
      <c r="J628" s="143"/>
    </row>
    <row r="629">
      <c r="A629" s="138" t="s">
        <v>1464</v>
      </c>
      <c r="C629" s="39" t="s">
        <v>113</v>
      </c>
      <c r="D629" s="39" t="s">
        <v>524</v>
      </c>
      <c r="E629" s="39" t="s">
        <v>16</v>
      </c>
      <c r="F629" s="39">
        <v>214.0</v>
      </c>
      <c r="G629" s="38">
        <v>28500.0</v>
      </c>
      <c r="I629" s="40">
        <f t="shared" ref="I629:I631" si="92">F629*G629</f>
        <v>6099000</v>
      </c>
      <c r="J629" s="143"/>
      <c r="K629" s="39" t="s">
        <v>167</v>
      </c>
    </row>
    <row r="630">
      <c r="A630" s="137"/>
      <c r="D630" s="39" t="s">
        <v>525</v>
      </c>
      <c r="E630" s="39" t="s">
        <v>16</v>
      </c>
      <c r="F630" s="39">
        <v>180.0</v>
      </c>
      <c r="G630" s="38">
        <v>28500.0</v>
      </c>
      <c r="I630" s="40">
        <f t="shared" si="92"/>
        <v>5130000</v>
      </c>
      <c r="J630" s="143"/>
      <c r="K630" s="139">
        <v>182.0</v>
      </c>
    </row>
    <row r="631">
      <c r="A631" s="138" t="s">
        <v>1063</v>
      </c>
      <c r="D631" s="39" t="s">
        <v>526</v>
      </c>
      <c r="E631" s="39" t="s">
        <v>16</v>
      </c>
      <c r="F631" s="39">
        <v>158.0</v>
      </c>
      <c r="G631" s="38">
        <v>28000.0</v>
      </c>
      <c r="I631" s="40">
        <f t="shared" si="92"/>
        <v>4424000</v>
      </c>
      <c r="J631" s="141">
        <f>SUM(I629:I631)</f>
        <v>15653000</v>
      </c>
      <c r="K631" s="39" t="s">
        <v>1110</v>
      </c>
    </row>
    <row r="632">
      <c r="A632" s="137"/>
      <c r="G632" s="40"/>
      <c r="J632" s="143"/>
    </row>
    <row r="633">
      <c r="A633" s="138" t="s">
        <v>1464</v>
      </c>
      <c r="C633" s="39" t="s">
        <v>552</v>
      </c>
      <c r="D633" s="39" t="s">
        <v>553</v>
      </c>
      <c r="E633" s="39" t="s">
        <v>50</v>
      </c>
      <c r="F633" s="39">
        <v>2070.0</v>
      </c>
      <c r="G633" s="38">
        <v>560.0</v>
      </c>
      <c r="I633" s="40">
        <f t="shared" ref="I633:I640" si="93">F633*G633</f>
        <v>1159200</v>
      </c>
      <c r="J633" s="143"/>
      <c r="K633" s="139" t="s">
        <v>167</v>
      </c>
    </row>
    <row r="634">
      <c r="A634" s="138" t="s">
        <v>1063</v>
      </c>
      <c r="D634" s="39" t="s">
        <v>554</v>
      </c>
      <c r="E634" s="39" t="s">
        <v>50</v>
      </c>
      <c r="F634" s="39">
        <v>1835.0</v>
      </c>
      <c r="G634" s="38">
        <v>480.0</v>
      </c>
      <c r="I634" s="40">
        <f t="shared" si="93"/>
        <v>880800</v>
      </c>
      <c r="J634" s="143"/>
      <c r="K634" s="139" t="s">
        <v>167</v>
      </c>
    </row>
    <row r="635">
      <c r="A635" s="137"/>
      <c r="D635" s="39" t="s">
        <v>555</v>
      </c>
      <c r="E635" s="39" t="s">
        <v>50</v>
      </c>
      <c r="F635" s="39">
        <v>2600.0</v>
      </c>
      <c r="G635" s="38">
        <v>480.0</v>
      </c>
      <c r="I635" s="40">
        <f t="shared" si="93"/>
        <v>1248000</v>
      </c>
      <c r="J635" s="143"/>
      <c r="K635" s="139" t="s">
        <v>167</v>
      </c>
    </row>
    <row r="636">
      <c r="A636" s="137"/>
      <c r="D636" s="39" t="s">
        <v>1430</v>
      </c>
      <c r="E636" s="39" t="s">
        <v>50</v>
      </c>
      <c r="F636" s="39">
        <v>1150.0</v>
      </c>
      <c r="G636" s="38">
        <v>480.0</v>
      </c>
      <c r="I636" s="40">
        <f t="shared" si="93"/>
        <v>552000</v>
      </c>
      <c r="J636" s="143"/>
      <c r="K636" s="139">
        <v>1210.0</v>
      </c>
    </row>
    <row r="637">
      <c r="A637" s="137"/>
      <c r="D637" s="39" t="s">
        <v>1468</v>
      </c>
      <c r="E637" s="39" t="s">
        <v>50</v>
      </c>
      <c r="F637" s="39">
        <v>2350.0</v>
      </c>
      <c r="G637" s="38">
        <v>480.0</v>
      </c>
      <c r="I637" s="40">
        <f t="shared" si="93"/>
        <v>1128000</v>
      </c>
      <c r="J637" s="143"/>
      <c r="K637" s="139" t="s">
        <v>1469</v>
      </c>
    </row>
    <row r="638">
      <c r="A638" s="138" t="s">
        <v>1076</v>
      </c>
      <c r="D638" s="39" t="s">
        <v>1428</v>
      </c>
      <c r="E638" s="39" t="s">
        <v>50</v>
      </c>
      <c r="F638" s="39">
        <v>2070.0</v>
      </c>
      <c r="G638" s="38">
        <v>560.0</v>
      </c>
      <c r="I638" s="40">
        <f t="shared" si="93"/>
        <v>1159200</v>
      </c>
      <c r="J638" s="143"/>
      <c r="K638" s="139" t="s">
        <v>167</v>
      </c>
    </row>
    <row r="639">
      <c r="A639" s="138" t="s">
        <v>1084</v>
      </c>
      <c r="D639" s="39" t="s">
        <v>1462</v>
      </c>
      <c r="E639" s="39" t="s">
        <v>50</v>
      </c>
      <c r="F639" s="39">
        <v>1839.0</v>
      </c>
      <c r="G639" s="38">
        <v>480.0</v>
      </c>
      <c r="I639" s="40">
        <f t="shared" si="93"/>
        <v>882720</v>
      </c>
      <c r="J639" s="143"/>
      <c r="K639" s="139" t="s">
        <v>17</v>
      </c>
    </row>
    <row r="640">
      <c r="A640" s="137"/>
      <c r="D640" s="39" t="s">
        <v>1427</v>
      </c>
      <c r="E640" s="39" t="s">
        <v>50</v>
      </c>
      <c r="F640" s="39">
        <v>1700.0</v>
      </c>
      <c r="G640" s="38">
        <v>480.0</v>
      </c>
      <c r="I640" s="40">
        <f t="shared" si="93"/>
        <v>816000</v>
      </c>
      <c r="J640" s="141">
        <f>SUM(I633:I640)</f>
        <v>7825920</v>
      </c>
      <c r="K640" s="39" t="s">
        <v>1110</v>
      </c>
    </row>
    <row r="641">
      <c r="A641" s="137"/>
      <c r="G641" s="40"/>
      <c r="J641" s="143"/>
    </row>
    <row r="642">
      <c r="A642" s="138" t="s">
        <v>1076</v>
      </c>
      <c r="C642" s="39" t="s">
        <v>122</v>
      </c>
      <c r="D642" s="39" t="s">
        <v>1470</v>
      </c>
      <c r="E642" s="39" t="s">
        <v>16</v>
      </c>
      <c r="F642" s="39">
        <v>270.0</v>
      </c>
      <c r="G642" s="38">
        <v>25000.0</v>
      </c>
      <c r="I642" s="40">
        <f t="shared" ref="I642:I645" si="94">F642*G642</f>
        <v>6750000</v>
      </c>
      <c r="J642" s="143"/>
      <c r="K642" s="39" t="s">
        <v>17</v>
      </c>
    </row>
    <row r="643">
      <c r="A643" s="137"/>
      <c r="D643" s="39" t="s">
        <v>195</v>
      </c>
      <c r="E643" s="39" t="s">
        <v>50</v>
      </c>
      <c r="F643" s="39">
        <v>1290.0</v>
      </c>
      <c r="G643" s="38">
        <v>1800.0</v>
      </c>
      <c r="I643" s="40">
        <f t="shared" si="94"/>
        <v>2322000</v>
      </c>
      <c r="J643" s="143"/>
      <c r="K643" s="39" t="s">
        <v>17</v>
      </c>
    </row>
    <row r="644">
      <c r="A644" s="137"/>
      <c r="D644" s="39" t="s">
        <v>195</v>
      </c>
      <c r="E644" s="39" t="s">
        <v>50</v>
      </c>
      <c r="F644" s="39">
        <v>1750.0</v>
      </c>
      <c r="G644" s="38">
        <v>1800.0</v>
      </c>
      <c r="I644" s="40">
        <f t="shared" si="94"/>
        <v>3150000</v>
      </c>
      <c r="J644" s="143"/>
      <c r="K644" s="39" t="s">
        <v>17</v>
      </c>
    </row>
    <row r="645">
      <c r="A645" s="137"/>
      <c r="D645" s="39" t="s">
        <v>195</v>
      </c>
      <c r="E645" s="39" t="s">
        <v>50</v>
      </c>
      <c r="F645" s="39">
        <v>2065.0</v>
      </c>
      <c r="G645" s="38">
        <v>1800.0</v>
      </c>
      <c r="I645" s="40">
        <f t="shared" si="94"/>
        <v>3717000</v>
      </c>
      <c r="J645" s="141">
        <f>SUM(I642:I645)</f>
        <v>15939000</v>
      </c>
      <c r="K645" s="39" t="s">
        <v>1110</v>
      </c>
    </row>
    <row r="646">
      <c r="A646" s="138"/>
      <c r="C646" s="39"/>
      <c r="D646" s="39"/>
      <c r="E646" s="39"/>
      <c r="F646" s="39"/>
      <c r="G646" s="38"/>
      <c r="J646" s="143"/>
    </row>
    <row r="647">
      <c r="A647" s="138" t="s">
        <v>1084</v>
      </c>
      <c r="C647" s="39" t="s">
        <v>122</v>
      </c>
      <c r="D647" s="39" t="s">
        <v>564</v>
      </c>
      <c r="E647" s="39" t="s">
        <v>16</v>
      </c>
      <c r="F647" s="144">
        <v>184.0</v>
      </c>
      <c r="G647" s="38">
        <v>25000.0</v>
      </c>
      <c r="I647" s="40">
        <f t="shared" ref="I647:I653" si="95">F647*G647</f>
        <v>4600000</v>
      </c>
      <c r="J647" s="143"/>
      <c r="K647" s="139">
        <v>186.0</v>
      </c>
    </row>
    <row r="648">
      <c r="A648" s="137"/>
      <c r="D648" s="39" t="s">
        <v>565</v>
      </c>
      <c r="E648" s="39" t="s">
        <v>16</v>
      </c>
      <c r="F648" s="144">
        <v>1260.0</v>
      </c>
      <c r="G648" s="38">
        <v>1800.0</v>
      </c>
      <c r="I648" s="40">
        <f t="shared" si="95"/>
        <v>2268000</v>
      </c>
      <c r="J648" s="143"/>
      <c r="K648" s="39" t="s">
        <v>17</v>
      </c>
    </row>
    <row r="649">
      <c r="A649" s="137"/>
      <c r="D649" s="39" t="s">
        <v>566</v>
      </c>
      <c r="E649" s="39" t="s">
        <v>16</v>
      </c>
      <c r="F649" s="144">
        <v>200.0</v>
      </c>
      <c r="G649" s="38">
        <v>19000.0</v>
      </c>
      <c r="I649" s="40">
        <f t="shared" si="95"/>
        <v>3800000</v>
      </c>
      <c r="J649" s="143"/>
      <c r="K649" s="39" t="s">
        <v>17</v>
      </c>
    </row>
    <row r="650">
      <c r="A650" s="137"/>
      <c r="D650" s="39" t="s">
        <v>567</v>
      </c>
      <c r="E650" s="39" t="s">
        <v>201</v>
      </c>
      <c r="F650" s="144">
        <v>14.0</v>
      </c>
      <c r="G650" s="38">
        <v>650000.0</v>
      </c>
      <c r="I650" s="40">
        <f t="shared" si="95"/>
        <v>9100000</v>
      </c>
      <c r="J650" s="143"/>
      <c r="K650" s="39" t="s">
        <v>17</v>
      </c>
    </row>
    <row r="651">
      <c r="A651" s="137"/>
      <c r="D651" s="39" t="s">
        <v>568</v>
      </c>
      <c r="E651" s="39" t="s">
        <v>16</v>
      </c>
      <c r="F651" s="144">
        <v>270.0</v>
      </c>
      <c r="G651" s="38">
        <v>19000.0</v>
      </c>
      <c r="I651" s="40">
        <f t="shared" si="95"/>
        <v>5130000</v>
      </c>
      <c r="J651" s="143"/>
      <c r="K651" s="39" t="s">
        <v>17</v>
      </c>
    </row>
    <row r="652">
      <c r="A652" s="137"/>
      <c r="D652" s="39" t="s">
        <v>569</v>
      </c>
      <c r="E652" s="39" t="s">
        <v>16</v>
      </c>
      <c r="F652" s="144">
        <v>151.0</v>
      </c>
      <c r="G652" s="38">
        <v>18000.0</v>
      </c>
      <c r="I652" s="40">
        <f t="shared" si="95"/>
        <v>2718000</v>
      </c>
      <c r="J652" s="143"/>
      <c r="K652" s="139">
        <v>152.0</v>
      </c>
    </row>
    <row r="653">
      <c r="A653" s="137"/>
      <c r="D653" s="39" t="s">
        <v>570</v>
      </c>
      <c r="E653" s="39" t="s">
        <v>16</v>
      </c>
      <c r="F653" s="39">
        <v>3213.0</v>
      </c>
      <c r="G653" s="38">
        <v>1800.0</v>
      </c>
      <c r="I653" s="40">
        <f t="shared" si="95"/>
        <v>5783400</v>
      </c>
      <c r="J653" s="141">
        <f>SUM(I647:I653)</f>
        <v>33399400</v>
      </c>
      <c r="K653" s="39" t="s">
        <v>1110</v>
      </c>
    </row>
    <row r="654">
      <c r="A654" s="137"/>
      <c r="G654" s="40"/>
      <c r="J654" s="143"/>
    </row>
    <row r="655">
      <c r="A655" s="138" t="s">
        <v>1471</v>
      </c>
      <c r="C655" s="39" t="s">
        <v>106</v>
      </c>
      <c r="D655" s="39" t="s">
        <v>537</v>
      </c>
      <c r="E655" s="39" t="s">
        <v>16</v>
      </c>
      <c r="F655" s="39">
        <v>87.0</v>
      </c>
      <c r="G655" s="38">
        <v>36000.0</v>
      </c>
      <c r="I655" s="40">
        <f t="shared" ref="I655:I657" si="96">F655*G655</f>
        <v>3132000</v>
      </c>
      <c r="J655" s="143"/>
      <c r="K655" s="139" t="s">
        <v>17</v>
      </c>
    </row>
    <row r="656">
      <c r="A656" s="137"/>
      <c r="D656" s="39" t="s">
        <v>538</v>
      </c>
      <c r="E656" s="39" t="s">
        <v>16</v>
      </c>
      <c r="F656" s="39">
        <v>45.0</v>
      </c>
      <c r="G656" s="38">
        <v>36000.0</v>
      </c>
      <c r="I656" s="40">
        <f t="shared" si="96"/>
        <v>1620000</v>
      </c>
      <c r="J656" s="143"/>
      <c r="K656" s="39" t="s">
        <v>17</v>
      </c>
    </row>
    <row r="657">
      <c r="A657" s="137"/>
      <c r="D657" s="39" t="s">
        <v>539</v>
      </c>
      <c r="E657" s="39" t="s">
        <v>16</v>
      </c>
      <c r="F657" s="39">
        <v>8.0</v>
      </c>
      <c r="G657" s="38">
        <v>60000.0</v>
      </c>
      <c r="I657" s="40">
        <f t="shared" si="96"/>
        <v>480000</v>
      </c>
      <c r="J657" s="141">
        <f>sum(I655:I657)</f>
        <v>5232000</v>
      </c>
      <c r="K657" s="39" t="s">
        <v>1110</v>
      </c>
    </row>
    <row r="658">
      <c r="A658" s="137"/>
      <c r="D658" s="39"/>
      <c r="E658" s="39"/>
      <c r="F658" s="39"/>
      <c r="G658" s="38"/>
      <c r="J658" s="143"/>
    </row>
    <row r="659">
      <c r="A659" s="138" t="s">
        <v>1084</v>
      </c>
      <c r="C659" s="39" t="s">
        <v>106</v>
      </c>
      <c r="D659" s="39" t="s">
        <v>561</v>
      </c>
      <c r="E659" s="39" t="s">
        <v>133</v>
      </c>
      <c r="F659" s="39">
        <v>75.0</v>
      </c>
      <c r="G659" s="38">
        <v>12000.0</v>
      </c>
      <c r="I659" s="40">
        <f>F659*G659</f>
        <v>900000</v>
      </c>
      <c r="J659" s="141">
        <f>I659</f>
        <v>900000</v>
      </c>
      <c r="K659" s="39" t="s">
        <v>1110</v>
      </c>
    </row>
    <row r="660">
      <c r="A660" s="137"/>
      <c r="D660" s="39"/>
      <c r="E660" s="39"/>
      <c r="F660" s="39"/>
      <c r="G660" s="38"/>
      <c r="J660" s="143"/>
    </row>
    <row r="661">
      <c r="A661" s="137"/>
      <c r="G661" s="40"/>
      <c r="J661" s="143"/>
    </row>
    <row r="662">
      <c r="A662" s="138" t="s">
        <v>1084</v>
      </c>
      <c r="C662" s="39" t="s">
        <v>203</v>
      </c>
      <c r="D662" s="39" t="s">
        <v>535</v>
      </c>
      <c r="E662" s="39" t="s">
        <v>16</v>
      </c>
      <c r="F662" s="39">
        <v>85.0</v>
      </c>
      <c r="G662" s="38">
        <v>47000.0</v>
      </c>
      <c r="I662" s="40">
        <f>F662*G662</f>
        <v>3995000</v>
      </c>
      <c r="J662" s="141">
        <f>I662</f>
        <v>3995000</v>
      </c>
      <c r="K662" s="39" t="s">
        <v>1110</v>
      </c>
    </row>
    <row r="663">
      <c r="A663" s="137"/>
      <c r="G663" s="40"/>
      <c r="J663" s="143"/>
    </row>
    <row r="664">
      <c r="A664" s="137"/>
      <c r="C664" s="39" t="s">
        <v>550</v>
      </c>
      <c r="D664" s="39" t="s">
        <v>551</v>
      </c>
      <c r="E664" s="39" t="s">
        <v>133</v>
      </c>
      <c r="F664" s="39">
        <v>83.0</v>
      </c>
      <c r="G664" s="38">
        <v>9600.0</v>
      </c>
      <c r="I664" s="40">
        <f>F664*G664</f>
        <v>796800</v>
      </c>
      <c r="J664" s="141">
        <f>I664</f>
        <v>796800</v>
      </c>
      <c r="K664" s="39" t="s">
        <v>1110</v>
      </c>
    </row>
    <row r="665">
      <c r="A665" s="137"/>
      <c r="G665" s="40"/>
      <c r="J665" s="143"/>
    </row>
    <row r="666">
      <c r="A666" s="138" t="s">
        <v>1084</v>
      </c>
      <c r="C666" s="39" t="s">
        <v>113</v>
      </c>
      <c r="D666" s="39" t="s">
        <v>547</v>
      </c>
      <c r="E666" s="39" t="s">
        <v>16</v>
      </c>
      <c r="F666" s="39">
        <v>75.0</v>
      </c>
      <c r="G666" s="38">
        <v>43000.0</v>
      </c>
      <c r="I666" s="40">
        <f t="shared" ref="I666:I668" si="97">F666*G666</f>
        <v>3225000</v>
      </c>
      <c r="J666" s="143"/>
      <c r="K666" s="39" t="s">
        <v>167</v>
      </c>
    </row>
    <row r="667">
      <c r="A667" s="137"/>
      <c r="D667" s="39" t="s">
        <v>548</v>
      </c>
      <c r="E667" s="39" t="s">
        <v>16</v>
      </c>
      <c r="F667" s="39">
        <v>110.0</v>
      </c>
      <c r="G667" s="38">
        <v>43000.0</v>
      </c>
      <c r="I667" s="40">
        <f t="shared" si="97"/>
        <v>4730000</v>
      </c>
      <c r="J667" s="143"/>
      <c r="K667" s="139">
        <v>110.9</v>
      </c>
    </row>
    <row r="668">
      <c r="A668" s="137"/>
      <c r="D668" s="39" t="s">
        <v>1472</v>
      </c>
      <c r="E668" s="39" t="s">
        <v>16</v>
      </c>
      <c r="F668" s="39">
        <v>94.0</v>
      </c>
      <c r="G668" s="38">
        <v>43000.0</v>
      </c>
      <c r="I668" s="40">
        <f t="shared" si="97"/>
        <v>4042000</v>
      </c>
      <c r="J668" s="141">
        <f>sum(I666:I668)</f>
        <v>11997000</v>
      </c>
      <c r="K668" s="39" t="s">
        <v>1110</v>
      </c>
    </row>
    <row r="669">
      <c r="A669" s="137"/>
      <c r="G669" s="40"/>
      <c r="J669" s="143"/>
    </row>
    <row r="670">
      <c r="A670" s="138" t="s">
        <v>1084</v>
      </c>
      <c r="C670" s="39" t="s">
        <v>544</v>
      </c>
      <c r="D670" s="39" t="s">
        <v>545</v>
      </c>
      <c r="E670" s="39" t="s">
        <v>90</v>
      </c>
      <c r="F670" s="39">
        <v>1250.0</v>
      </c>
      <c r="G670" s="38">
        <v>2000.0</v>
      </c>
      <c r="I670" s="40">
        <f t="shared" ref="I670:I671" si="98">F670*G670</f>
        <v>2500000</v>
      </c>
      <c r="J670" s="143"/>
      <c r="K670" s="139">
        <v>1270.0</v>
      </c>
    </row>
    <row r="671">
      <c r="A671" s="137"/>
      <c r="D671" s="39" t="s">
        <v>546</v>
      </c>
      <c r="E671" s="39" t="s">
        <v>50</v>
      </c>
      <c r="F671" s="39">
        <v>2550.0</v>
      </c>
      <c r="G671" s="38">
        <v>2000.0</v>
      </c>
      <c r="I671" s="40">
        <f t="shared" si="98"/>
        <v>5100000</v>
      </c>
      <c r="J671" s="141">
        <f>SUM(I670:I671)</f>
        <v>7600000</v>
      </c>
      <c r="K671" s="39" t="s">
        <v>1110</v>
      </c>
    </row>
    <row r="672">
      <c r="A672" s="137"/>
      <c r="G672" s="40"/>
      <c r="J672" s="143"/>
    </row>
    <row r="673">
      <c r="A673" s="138" t="s">
        <v>1084</v>
      </c>
      <c r="C673" s="39" t="s">
        <v>189</v>
      </c>
      <c r="D673" s="39" t="s">
        <v>961</v>
      </c>
      <c r="E673" s="39" t="s">
        <v>779</v>
      </c>
      <c r="F673" s="39">
        <v>1.0</v>
      </c>
      <c r="G673" s="38">
        <v>1125000.0</v>
      </c>
      <c r="I673" s="40">
        <f t="shared" ref="I673:I676" si="99">F673*G673</f>
        <v>1125000</v>
      </c>
      <c r="J673" s="143"/>
      <c r="K673" s="39" t="s">
        <v>17</v>
      </c>
    </row>
    <row r="674">
      <c r="A674" s="137"/>
      <c r="D674" s="39" t="s">
        <v>962</v>
      </c>
      <c r="E674" s="39" t="s">
        <v>779</v>
      </c>
      <c r="F674" s="39">
        <v>3.0</v>
      </c>
      <c r="G674" s="38">
        <v>1125000.0</v>
      </c>
      <c r="I674" s="40">
        <f t="shared" si="99"/>
        <v>3375000</v>
      </c>
      <c r="J674" s="143"/>
      <c r="K674" s="39" t="s">
        <v>17</v>
      </c>
    </row>
    <row r="675">
      <c r="A675" s="137"/>
      <c r="D675" s="39" t="s">
        <v>963</v>
      </c>
      <c r="E675" s="39" t="s">
        <v>779</v>
      </c>
      <c r="F675" s="39">
        <v>1.0</v>
      </c>
      <c r="G675" s="38">
        <v>1125000.0</v>
      </c>
      <c r="I675" s="40">
        <f t="shared" si="99"/>
        <v>1125000</v>
      </c>
      <c r="J675" s="143"/>
      <c r="K675" s="39" t="s">
        <v>17</v>
      </c>
    </row>
    <row r="676">
      <c r="A676" s="137"/>
      <c r="D676" s="39" t="s">
        <v>964</v>
      </c>
      <c r="E676" s="39" t="s">
        <v>779</v>
      </c>
      <c r="F676" s="39">
        <v>1.0</v>
      </c>
      <c r="G676" s="38">
        <v>1125000.0</v>
      </c>
      <c r="I676" s="40">
        <f t="shared" si="99"/>
        <v>1125000</v>
      </c>
      <c r="J676" s="141">
        <f>SUM(I673:I676)</f>
        <v>6750000</v>
      </c>
      <c r="K676" s="39" t="s">
        <v>1110</v>
      </c>
    </row>
    <row r="677">
      <c r="A677" s="137"/>
      <c r="G677" s="40"/>
      <c r="J677" s="143"/>
    </row>
    <row r="678">
      <c r="A678" s="138" t="s">
        <v>1076</v>
      </c>
      <c r="C678" s="39" t="s">
        <v>189</v>
      </c>
      <c r="D678" s="39" t="s">
        <v>577</v>
      </c>
      <c r="E678" s="39" t="s">
        <v>16</v>
      </c>
      <c r="F678" s="39">
        <v>37.7</v>
      </c>
      <c r="G678" s="38">
        <v>70000.0</v>
      </c>
      <c r="I678" s="40">
        <f t="shared" ref="I678:I679" si="100">F678*G678</f>
        <v>2639000</v>
      </c>
      <c r="J678" s="143"/>
      <c r="K678" s="39" t="s">
        <v>17</v>
      </c>
    </row>
    <row r="679">
      <c r="A679" s="138" t="s">
        <v>1473</v>
      </c>
      <c r="D679" s="39" t="s">
        <v>578</v>
      </c>
      <c r="E679" s="39" t="s">
        <v>50</v>
      </c>
      <c r="F679" s="39">
        <v>2175.0</v>
      </c>
      <c r="G679" s="38">
        <v>1650.0</v>
      </c>
      <c r="I679" s="40">
        <f t="shared" si="100"/>
        <v>3588750</v>
      </c>
      <c r="J679" s="141">
        <f>SUM(I678:I679)</f>
        <v>6227750</v>
      </c>
      <c r="K679" s="39" t="s">
        <v>1110</v>
      </c>
    </row>
    <row r="680">
      <c r="A680" s="137"/>
      <c r="G680" s="40"/>
      <c r="J680" s="143"/>
    </row>
    <row r="681">
      <c r="A681" s="138" t="s">
        <v>1061</v>
      </c>
      <c r="C681" s="31" t="s">
        <v>205</v>
      </c>
      <c r="D681" s="22" t="s">
        <v>579</v>
      </c>
      <c r="E681" s="32" t="s">
        <v>133</v>
      </c>
      <c r="F681" s="32">
        <v>97.0</v>
      </c>
      <c r="G681" s="35">
        <v>12000.0</v>
      </c>
      <c r="H681" s="36"/>
      <c r="I681" s="40">
        <f t="shared" ref="I681:I684" si="101">F681*G681</f>
        <v>1164000</v>
      </c>
      <c r="J681" s="143"/>
      <c r="K681" s="22" t="s">
        <v>17</v>
      </c>
    </row>
    <row r="682">
      <c r="A682" s="138" t="s">
        <v>1076</v>
      </c>
      <c r="C682" s="34"/>
      <c r="D682" s="22" t="s">
        <v>580</v>
      </c>
      <c r="E682" s="32" t="s">
        <v>133</v>
      </c>
      <c r="F682" s="32">
        <v>49.0</v>
      </c>
      <c r="G682" s="35">
        <v>12000.0</v>
      </c>
      <c r="H682" s="36"/>
      <c r="I682" s="40">
        <f t="shared" si="101"/>
        <v>588000</v>
      </c>
      <c r="J682" s="143"/>
      <c r="K682" s="22" t="s">
        <v>17</v>
      </c>
    </row>
    <row r="683">
      <c r="A683" s="138" t="s">
        <v>1084</v>
      </c>
      <c r="C683" s="34"/>
      <c r="D683" s="22" t="s">
        <v>581</v>
      </c>
      <c r="E683" s="32" t="s">
        <v>50</v>
      </c>
      <c r="F683" s="32">
        <v>1710.0</v>
      </c>
      <c r="G683" s="35">
        <v>500.0</v>
      </c>
      <c r="H683" s="36"/>
      <c r="I683" s="40">
        <f t="shared" si="101"/>
        <v>855000</v>
      </c>
      <c r="J683" s="143"/>
      <c r="K683" s="22" t="s">
        <v>17</v>
      </c>
    </row>
    <row r="684">
      <c r="A684" s="138" t="s">
        <v>1063</v>
      </c>
      <c r="C684" s="39" t="s">
        <v>205</v>
      </c>
      <c r="D684" s="22" t="s">
        <v>582</v>
      </c>
      <c r="E684" s="32" t="s">
        <v>50</v>
      </c>
      <c r="F684" s="32">
        <v>1684.0</v>
      </c>
      <c r="G684" s="35">
        <v>750.0</v>
      </c>
      <c r="H684" s="36"/>
      <c r="I684" s="40">
        <f t="shared" si="101"/>
        <v>1263000</v>
      </c>
      <c r="J684" s="141">
        <f>sum(I681:I684)</f>
        <v>3870000</v>
      </c>
      <c r="K684" s="31" t="s">
        <v>1110</v>
      </c>
    </row>
    <row r="685">
      <c r="A685" s="137"/>
      <c r="G685" s="40"/>
      <c r="J685" s="143"/>
    </row>
    <row r="686">
      <c r="A686" s="138" t="s">
        <v>1474</v>
      </c>
      <c r="C686" s="31" t="s">
        <v>113</v>
      </c>
      <c r="D686" s="22" t="s">
        <v>611</v>
      </c>
      <c r="E686" s="32" t="s">
        <v>16</v>
      </c>
      <c r="F686" s="32">
        <v>260.0</v>
      </c>
      <c r="G686" s="35">
        <v>31000.0</v>
      </c>
      <c r="I686" s="36">
        <f t="shared" ref="I686:I689" si="102">F686*G686</f>
        <v>8060000</v>
      </c>
      <c r="J686" s="145"/>
      <c r="K686" s="22" t="s">
        <v>167</v>
      </c>
    </row>
    <row r="687">
      <c r="A687" s="138" t="s">
        <v>1474</v>
      </c>
      <c r="C687" s="34"/>
      <c r="D687" s="22" t="s">
        <v>612</v>
      </c>
      <c r="E687" s="32" t="s">
        <v>16</v>
      </c>
      <c r="F687" s="32">
        <v>110.0</v>
      </c>
      <c r="G687" s="35">
        <v>31000.0</v>
      </c>
      <c r="I687" s="36">
        <f t="shared" si="102"/>
        <v>3410000</v>
      </c>
      <c r="J687" s="145"/>
      <c r="K687" s="31">
        <v>130.0</v>
      </c>
    </row>
    <row r="688">
      <c r="A688" s="138" t="s">
        <v>1474</v>
      </c>
      <c r="C688" s="34"/>
      <c r="D688" s="22" t="s">
        <v>613</v>
      </c>
      <c r="E688" s="32" t="s">
        <v>16</v>
      </c>
      <c r="F688" s="32">
        <v>170.0</v>
      </c>
      <c r="G688" s="35">
        <v>31000.0</v>
      </c>
      <c r="I688" s="36">
        <f t="shared" si="102"/>
        <v>5270000</v>
      </c>
      <c r="J688" s="146"/>
      <c r="K688" s="22" t="s">
        <v>167</v>
      </c>
    </row>
    <row r="689">
      <c r="A689" s="138" t="s">
        <v>1474</v>
      </c>
      <c r="C689" s="34"/>
      <c r="D689" s="22" t="s">
        <v>614</v>
      </c>
      <c r="E689" s="32" t="s">
        <v>16</v>
      </c>
      <c r="F689" s="32">
        <v>109.0</v>
      </c>
      <c r="G689" s="35">
        <v>43500.0</v>
      </c>
      <c r="I689" s="36">
        <f t="shared" si="102"/>
        <v>4741500</v>
      </c>
      <c r="J689" s="145">
        <f>SUM(I686:I689)</f>
        <v>21481500</v>
      </c>
      <c r="K689" s="31" t="s">
        <v>1110</v>
      </c>
    </row>
    <row r="690">
      <c r="A690" s="138"/>
      <c r="C690" s="31"/>
      <c r="D690" s="22"/>
      <c r="E690" s="32"/>
      <c r="F690" s="32"/>
      <c r="G690" s="35"/>
      <c r="I690" s="36"/>
      <c r="J690" s="145"/>
      <c r="K690" s="22"/>
    </row>
    <row r="691">
      <c r="A691" s="138" t="s">
        <v>1474</v>
      </c>
      <c r="C691" s="31" t="s">
        <v>203</v>
      </c>
      <c r="D691" s="22" t="s">
        <v>615</v>
      </c>
      <c r="E691" s="32" t="s">
        <v>16</v>
      </c>
      <c r="F691" s="32">
        <v>163.0</v>
      </c>
      <c r="G691" s="35">
        <v>31500.0</v>
      </c>
      <c r="I691" s="36">
        <f>F691*G691</f>
        <v>5134500</v>
      </c>
      <c r="J691" s="145">
        <f>I691</f>
        <v>5134500</v>
      </c>
      <c r="K691" s="31" t="s">
        <v>1110</v>
      </c>
    </row>
    <row r="692">
      <c r="A692" s="138"/>
      <c r="C692" s="31"/>
      <c r="D692" s="22"/>
      <c r="E692" s="32"/>
      <c r="F692" s="32"/>
      <c r="G692" s="35"/>
      <c r="I692" s="36"/>
      <c r="J692" s="145"/>
      <c r="K692" s="22"/>
    </row>
    <row r="693">
      <c r="A693" s="138" t="s">
        <v>1474</v>
      </c>
      <c r="C693" s="31" t="s">
        <v>106</v>
      </c>
      <c r="D693" s="22" t="s">
        <v>616</v>
      </c>
      <c r="E693" s="32" t="s">
        <v>16</v>
      </c>
      <c r="F693" s="32">
        <v>2.0</v>
      </c>
      <c r="G693" s="35">
        <v>60000.0</v>
      </c>
      <c r="I693" s="36">
        <f t="shared" ref="I693:I694" si="103">F693*G693</f>
        <v>120000</v>
      </c>
      <c r="J693" s="145"/>
      <c r="K693" s="22" t="s">
        <v>167</v>
      </c>
    </row>
    <row r="694">
      <c r="A694" s="138" t="s">
        <v>1474</v>
      </c>
      <c r="C694" s="34"/>
      <c r="D694" s="22" t="s">
        <v>617</v>
      </c>
      <c r="E694" s="32" t="s">
        <v>133</v>
      </c>
      <c r="F694" s="32">
        <v>68.0</v>
      </c>
      <c r="G694" s="35">
        <v>12000.0</v>
      </c>
      <c r="I694" s="36">
        <f t="shared" si="103"/>
        <v>816000</v>
      </c>
      <c r="J694" s="145">
        <f>SUM(I693:I694)</f>
        <v>936000</v>
      </c>
      <c r="K694" s="31" t="s">
        <v>1110</v>
      </c>
    </row>
    <row r="695">
      <c r="A695" s="138"/>
      <c r="C695" s="31"/>
      <c r="D695" s="22"/>
      <c r="E695" s="32"/>
      <c r="F695" s="32"/>
      <c r="G695" s="35"/>
      <c r="I695" s="36"/>
      <c r="J695" s="145"/>
      <c r="K695" s="22"/>
    </row>
    <row r="696">
      <c r="A696" s="138" t="s">
        <v>1474</v>
      </c>
      <c r="C696" s="31" t="s">
        <v>122</v>
      </c>
      <c r="D696" s="22" t="s">
        <v>618</v>
      </c>
      <c r="E696" s="32" t="s">
        <v>50</v>
      </c>
      <c r="F696" s="32">
        <v>2550.0</v>
      </c>
      <c r="G696" s="35">
        <v>1800.0</v>
      </c>
      <c r="I696" s="36">
        <f t="shared" ref="I696:I699" si="104">F696*G696</f>
        <v>4590000</v>
      </c>
      <c r="J696" s="145"/>
      <c r="K696" s="22" t="s">
        <v>167</v>
      </c>
    </row>
    <row r="697">
      <c r="A697" s="138" t="s">
        <v>1474</v>
      </c>
      <c r="C697" s="34"/>
      <c r="D697" s="22" t="s">
        <v>621</v>
      </c>
      <c r="E697" s="32" t="s">
        <v>16</v>
      </c>
      <c r="F697" s="32">
        <v>150.0</v>
      </c>
      <c r="G697" s="35">
        <v>18000.0</v>
      </c>
      <c r="I697" s="36">
        <f t="shared" si="104"/>
        <v>2700000</v>
      </c>
      <c r="J697" s="145"/>
      <c r="K697" s="22" t="s">
        <v>167</v>
      </c>
    </row>
    <row r="698">
      <c r="A698" s="138" t="s">
        <v>1474</v>
      </c>
      <c r="C698" s="34"/>
      <c r="D698" s="22" t="s">
        <v>620</v>
      </c>
      <c r="E698" s="32" t="s">
        <v>50</v>
      </c>
      <c r="F698" s="32">
        <v>2110.0</v>
      </c>
      <c r="G698" s="35">
        <v>1800.0</v>
      </c>
      <c r="I698" s="36">
        <f t="shared" si="104"/>
        <v>3798000</v>
      </c>
      <c r="J698" s="145"/>
      <c r="K698" s="22" t="s">
        <v>167</v>
      </c>
    </row>
    <row r="699">
      <c r="A699" s="138" t="s">
        <v>1474</v>
      </c>
      <c r="C699" s="34"/>
      <c r="D699" s="22" t="s">
        <v>619</v>
      </c>
      <c r="E699" s="32" t="s">
        <v>16</v>
      </c>
      <c r="F699" s="32">
        <v>185.0</v>
      </c>
      <c r="G699" s="35">
        <v>18000.0</v>
      </c>
      <c r="I699" s="36">
        <f t="shared" si="104"/>
        <v>3330000</v>
      </c>
      <c r="J699" s="145">
        <f>SUM(I696:I699)</f>
        <v>14418000</v>
      </c>
      <c r="K699" s="31" t="s">
        <v>1110</v>
      </c>
    </row>
    <row r="700">
      <c r="A700" s="138"/>
      <c r="C700" s="31"/>
      <c r="D700" s="22"/>
      <c r="E700" s="32"/>
      <c r="F700" s="32"/>
      <c r="G700" s="35"/>
      <c r="I700" s="36"/>
      <c r="J700" s="145"/>
      <c r="K700" s="22"/>
    </row>
    <row r="701">
      <c r="A701" s="138" t="s">
        <v>1474</v>
      </c>
      <c r="C701" s="31" t="s">
        <v>420</v>
      </c>
      <c r="D701" s="22" t="s">
        <v>622</v>
      </c>
      <c r="E701" s="32" t="s">
        <v>50</v>
      </c>
      <c r="F701" s="32">
        <v>1630.0</v>
      </c>
      <c r="G701" s="35">
        <v>500.0</v>
      </c>
      <c r="I701" s="36">
        <f>F701*G701</f>
        <v>815000</v>
      </c>
      <c r="J701" s="145">
        <f>I701</f>
        <v>815000</v>
      </c>
      <c r="K701" s="31" t="s">
        <v>1110</v>
      </c>
    </row>
    <row r="702">
      <c r="A702" s="137"/>
      <c r="G702" s="40"/>
      <c r="J702" s="143"/>
    </row>
    <row r="703">
      <c r="A703" s="138" t="s">
        <v>1475</v>
      </c>
      <c r="C703" s="39" t="s">
        <v>637</v>
      </c>
      <c r="D703" s="39" t="s">
        <v>991</v>
      </c>
      <c r="E703" s="39" t="s">
        <v>779</v>
      </c>
      <c r="F703" s="39">
        <v>2.0</v>
      </c>
      <c r="G703" s="38">
        <v>1125000.0</v>
      </c>
      <c r="H703" s="39" t="s">
        <v>167</v>
      </c>
      <c r="I703" s="40">
        <f t="shared" ref="I703:I706" si="105">F703*G703</f>
        <v>2250000</v>
      </c>
      <c r="J703" s="143"/>
    </row>
    <row r="704">
      <c r="A704" s="138" t="s">
        <v>1476</v>
      </c>
      <c r="C704" s="39" t="s">
        <v>637</v>
      </c>
      <c r="D704" s="39" t="s">
        <v>992</v>
      </c>
      <c r="E704" s="39" t="s">
        <v>779</v>
      </c>
      <c r="F704" s="39">
        <v>2.0</v>
      </c>
      <c r="G704" s="38">
        <v>1125000.0</v>
      </c>
      <c r="H704" s="39" t="s">
        <v>167</v>
      </c>
      <c r="I704" s="40">
        <f t="shared" si="105"/>
        <v>2250000</v>
      </c>
      <c r="J704" s="143"/>
    </row>
    <row r="705">
      <c r="A705" s="138" t="s">
        <v>1476</v>
      </c>
      <c r="C705" s="39" t="s">
        <v>637</v>
      </c>
      <c r="D705" s="39" t="s">
        <v>993</v>
      </c>
      <c r="E705" s="39" t="s">
        <v>779</v>
      </c>
      <c r="F705" s="39">
        <v>1.0</v>
      </c>
      <c r="G705" s="38">
        <v>1125000.0</v>
      </c>
      <c r="H705" s="39" t="s">
        <v>167</v>
      </c>
      <c r="I705" s="40">
        <f t="shared" si="105"/>
        <v>1125000</v>
      </c>
    </row>
    <row r="706">
      <c r="A706" s="138" t="s">
        <v>1477</v>
      </c>
      <c r="C706" s="39" t="s">
        <v>637</v>
      </c>
      <c r="D706" s="39" t="s">
        <v>994</v>
      </c>
      <c r="E706" s="39" t="s">
        <v>779</v>
      </c>
      <c r="F706" s="39">
        <v>1.0</v>
      </c>
      <c r="G706" s="38">
        <v>1125000.0</v>
      </c>
      <c r="H706" s="39" t="s">
        <v>17</v>
      </c>
      <c r="I706" s="40">
        <f t="shared" si="105"/>
        <v>1125000</v>
      </c>
      <c r="J706" s="40">
        <f>sum(I703:I706)</f>
        <v>6750000</v>
      </c>
      <c r="K706" s="39" t="s">
        <v>1110</v>
      </c>
    </row>
    <row r="707">
      <c r="A707" s="138"/>
      <c r="C707" s="39"/>
      <c r="D707" s="39"/>
      <c r="E707" s="39"/>
      <c r="F707" s="39"/>
      <c r="G707" s="38"/>
    </row>
    <row r="708">
      <c r="A708" s="138" t="s">
        <v>1474</v>
      </c>
      <c r="C708" s="39" t="s">
        <v>637</v>
      </c>
      <c r="D708" s="39" t="s">
        <v>638</v>
      </c>
      <c r="E708" s="39" t="s">
        <v>16</v>
      </c>
      <c r="F708" s="39">
        <v>109.45</v>
      </c>
      <c r="G708" s="38">
        <v>70000.0</v>
      </c>
      <c r="H708" s="39" t="s">
        <v>167</v>
      </c>
      <c r="I708" s="40">
        <f t="shared" ref="I708:I710" si="106">F708*G708</f>
        <v>7661500</v>
      </c>
      <c r="J708" s="143"/>
    </row>
    <row r="709">
      <c r="A709" s="137"/>
      <c r="D709" s="39" t="s">
        <v>639</v>
      </c>
      <c r="E709" s="39" t="s">
        <v>16</v>
      </c>
      <c r="F709" s="39">
        <v>39.0</v>
      </c>
      <c r="G709" s="38">
        <v>70000.0</v>
      </c>
      <c r="H709" s="39" t="s">
        <v>167</v>
      </c>
      <c r="I709" s="40">
        <f t="shared" si="106"/>
        <v>2730000</v>
      </c>
      <c r="J709" s="143"/>
    </row>
    <row r="710">
      <c r="A710" s="138" t="s">
        <v>1478</v>
      </c>
      <c r="D710" s="39" t="s">
        <v>641</v>
      </c>
      <c r="E710" s="39" t="s">
        <v>16</v>
      </c>
      <c r="F710" s="39">
        <v>144.0</v>
      </c>
      <c r="G710" s="38">
        <v>26500.0</v>
      </c>
      <c r="H710" s="39" t="s">
        <v>167</v>
      </c>
      <c r="I710" s="40">
        <f t="shared" si="106"/>
        <v>3816000</v>
      </c>
      <c r="J710" s="141">
        <f>SUM(I708:I710)</f>
        <v>14207500</v>
      </c>
      <c r="K710" s="39" t="s">
        <v>1479</v>
      </c>
    </row>
    <row r="711">
      <c r="A711" s="137"/>
      <c r="G711" s="40"/>
      <c r="J711" s="143"/>
    </row>
    <row r="712">
      <c r="A712" s="138" t="s">
        <v>1478</v>
      </c>
      <c r="C712" s="39" t="s">
        <v>122</v>
      </c>
      <c r="D712" s="39" t="s">
        <v>642</v>
      </c>
      <c r="E712" s="39" t="s">
        <v>16</v>
      </c>
      <c r="F712" s="39">
        <v>270.0</v>
      </c>
      <c r="G712" s="38">
        <v>25000.0</v>
      </c>
      <c r="H712" s="39" t="s">
        <v>167</v>
      </c>
      <c r="I712" s="40">
        <f t="shared" ref="I712:I715" si="107">F712*G712</f>
        <v>6750000</v>
      </c>
      <c r="J712" s="143"/>
    </row>
    <row r="713">
      <c r="A713" s="137"/>
      <c r="D713" s="39" t="s">
        <v>643</v>
      </c>
      <c r="E713" s="39" t="s">
        <v>16</v>
      </c>
      <c r="F713" s="39">
        <v>150.0</v>
      </c>
      <c r="G713" s="38">
        <v>18000.0</v>
      </c>
      <c r="H713" s="39" t="s">
        <v>167</v>
      </c>
      <c r="I713" s="40">
        <f t="shared" si="107"/>
        <v>2700000</v>
      </c>
      <c r="J713" s="143"/>
    </row>
    <row r="714">
      <c r="A714" s="137"/>
      <c r="D714" s="39" t="s">
        <v>644</v>
      </c>
      <c r="E714" s="39" t="s">
        <v>16</v>
      </c>
      <c r="F714" s="39">
        <v>208.0</v>
      </c>
      <c r="G714" s="38">
        <v>18000.0</v>
      </c>
      <c r="H714" s="39" t="s">
        <v>167</v>
      </c>
      <c r="I714" s="40">
        <f t="shared" si="107"/>
        <v>3744000</v>
      </c>
      <c r="J714" s="143"/>
    </row>
    <row r="715">
      <c r="A715" s="137"/>
      <c r="D715" s="39" t="s">
        <v>645</v>
      </c>
      <c r="E715" s="39" t="s">
        <v>16</v>
      </c>
      <c r="F715" s="39">
        <v>160.0</v>
      </c>
      <c r="G715" s="38">
        <v>18000.0</v>
      </c>
      <c r="H715" s="39" t="s">
        <v>167</v>
      </c>
      <c r="I715" s="40">
        <f t="shared" si="107"/>
        <v>2880000</v>
      </c>
      <c r="J715" s="141">
        <f>SUM(I712:I715)</f>
        <v>16074000</v>
      </c>
      <c r="K715" s="39" t="s">
        <v>1110</v>
      </c>
    </row>
    <row r="716">
      <c r="A716" s="137"/>
      <c r="G716" s="40"/>
      <c r="J716" s="143"/>
    </row>
    <row r="717">
      <c r="A717" s="138" t="s">
        <v>1478</v>
      </c>
      <c r="C717" s="39" t="s">
        <v>106</v>
      </c>
      <c r="D717" s="39" t="s">
        <v>646</v>
      </c>
      <c r="E717" s="39" t="s">
        <v>133</v>
      </c>
      <c r="F717" s="39">
        <v>130.0</v>
      </c>
      <c r="G717" s="38">
        <v>12000.0</v>
      </c>
      <c r="H717" s="39" t="s">
        <v>17</v>
      </c>
      <c r="I717" s="40">
        <f t="shared" ref="I717:I721" si="108">F717*G717</f>
        <v>1560000</v>
      </c>
      <c r="J717" s="143"/>
    </row>
    <row r="718">
      <c r="A718" s="137"/>
      <c r="D718" s="39" t="s">
        <v>646</v>
      </c>
      <c r="E718" s="39" t="s">
        <v>133</v>
      </c>
      <c r="F718" s="39">
        <v>35.0</v>
      </c>
      <c r="G718" s="38">
        <v>12000.0</v>
      </c>
      <c r="H718" s="39" t="s">
        <v>167</v>
      </c>
      <c r="I718" s="40">
        <f t="shared" si="108"/>
        <v>420000</v>
      </c>
      <c r="J718" s="143"/>
    </row>
    <row r="719">
      <c r="A719" s="137"/>
      <c r="D719" s="39" t="s">
        <v>647</v>
      </c>
      <c r="E719" s="39" t="s">
        <v>133</v>
      </c>
      <c r="F719" s="39">
        <v>64.0</v>
      </c>
      <c r="G719" s="38">
        <v>12000.0</v>
      </c>
      <c r="H719" s="39" t="s">
        <v>167</v>
      </c>
      <c r="I719" s="40">
        <f t="shared" si="108"/>
        <v>768000</v>
      </c>
      <c r="J719" s="143"/>
    </row>
    <row r="720">
      <c r="A720" s="137"/>
      <c r="D720" s="39" t="s">
        <v>648</v>
      </c>
      <c r="E720" s="39" t="s">
        <v>133</v>
      </c>
      <c r="F720" s="39">
        <v>75.0</v>
      </c>
      <c r="G720" s="38">
        <v>12000.0</v>
      </c>
      <c r="H720" s="39" t="s">
        <v>167</v>
      </c>
      <c r="I720" s="40">
        <f t="shared" si="108"/>
        <v>900000</v>
      </c>
      <c r="J720" s="143"/>
    </row>
    <row r="721">
      <c r="A721" s="137"/>
      <c r="D721" s="39" t="s">
        <v>649</v>
      </c>
      <c r="E721" s="39" t="s">
        <v>133</v>
      </c>
      <c r="F721" s="39">
        <v>85.0</v>
      </c>
      <c r="G721" s="38">
        <v>12000.0</v>
      </c>
      <c r="H721" s="39" t="s">
        <v>167</v>
      </c>
      <c r="I721" s="40">
        <f t="shared" si="108"/>
        <v>1020000</v>
      </c>
      <c r="J721" s="141">
        <f>SUM(I717:I721)</f>
        <v>4668000</v>
      </c>
      <c r="K721" s="39" t="s">
        <v>1110</v>
      </c>
    </row>
    <row r="722">
      <c r="A722" s="137"/>
      <c r="G722" s="40"/>
      <c r="J722" s="143"/>
    </row>
    <row r="723">
      <c r="A723" s="138" t="s">
        <v>1478</v>
      </c>
      <c r="C723" s="39" t="s">
        <v>420</v>
      </c>
      <c r="D723" s="39" t="s">
        <v>650</v>
      </c>
      <c r="E723" s="39" t="s">
        <v>133</v>
      </c>
      <c r="F723" s="39">
        <v>60.0</v>
      </c>
      <c r="G723" s="38">
        <v>12000.0</v>
      </c>
      <c r="H723" s="39" t="s">
        <v>167</v>
      </c>
      <c r="I723" s="40">
        <f>F723*G723</f>
        <v>720000</v>
      </c>
      <c r="J723" s="141">
        <f>I723</f>
        <v>720000</v>
      </c>
      <c r="K723" s="39" t="s">
        <v>1110</v>
      </c>
    </row>
    <row r="724">
      <c r="A724" s="137"/>
      <c r="G724" s="40"/>
    </row>
    <row r="725">
      <c r="A725" s="138" t="s">
        <v>1480</v>
      </c>
      <c r="C725" s="31" t="s">
        <v>486</v>
      </c>
      <c r="D725" s="22" t="s">
        <v>1481</v>
      </c>
      <c r="E725" s="32" t="s">
        <v>301</v>
      </c>
      <c r="F725" s="32">
        <v>2550.0</v>
      </c>
      <c r="G725" s="35">
        <v>3500.0</v>
      </c>
      <c r="H725" s="39" t="s">
        <v>167</v>
      </c>
      <c r="I725" s="40">
        <f>F725*G725</f>
        <v>8925000</v>
      </c>
      <c r="J725" s="141">
        <f>I725</f>
        <v>8925000</v>
      </c>
      <c r="K725" s="39" t="s">
        <v>1110</v>
      </c>
    </row>
    <row r="726">
      <c r="A726" s="137"/>
      <c r="G726" s="40"/>
    </row>
    <row r="727">
      <c r="A727" s="138" t="s">
        <v>1482</v>
      </c>
      <c r="C727" s="39" t="s">
        <v>106</v>
      </c>
      <c r="D727" s="39" t="s">
        <v>693</v>
      </c>
      <c r="E727" s="39" t="s">
        <v>133</v>
      </c>
      <c r="F727" s="39">
        <v>80.0</v>
      </c>
      <c r="G727" s="38">
        <v>12000.0</v>
      </c>
      <c r="H727" s="39" t="s">
        <v>17</v>
      </c>
      <c r="I727" s="40">
        <f t="shared" ref="I727:I731" si="109">F727*G727</f>
        <v>960000</v>
      </c>
    </row>
    <row r="728">
      <c r="A728" s="137"/>
      <c r="D728" s="39" t="s">
        <v>694</v>
      </c>
      <c r="E728" s="39" t="s">
        <v>16</v>
      </c>
      <c r="F728" s="39">
        <v>2.0</v>
      </c>
      <c r="G728" s="38">
        <v>60000.0</v>
      </c>
      <c r="H728" s="39" t="s">
        <v>17</v>
      </c>
      <c r="I728" s="40">
        <f t="shared" si="109"/>
        <v>120000</v>
      </c>
    </row>
    <row r="729">
      <c r="A729" s="137"/>
      <c r="D729" s="39" t="s">
        <v>695</v>
      </c>
      <c r="E729" s="39" t="s">
        <v>133</v>
      </c>
      <c r="F729" s="39">
        <v>65.0</v>
      </c>
      <c r="G729" s="38">
        <v>12000.0</v>
      </c>
      <c r="H729" s="39" t="s">
        <v>17</v>
      </c>
      <c r="I729" s="40">
        <f t="shared" si="109"/>
        <v>780000</v>
      </c>
    </row>
    <row r="730">
      <c r="A730" s="137"/>
      <c r="D730" s="39" t="s">
        <v>696</v>
      </c>
      <c r="E730" s="39" t="s">
        <v>16</v>
      </c>
      <c r="F730" s="39">
        <v>10.0</v>
      </c>
      <c r="G730" s="38">
        <v>60000.0</v>
      </c>
      <c r="H730" s="39" t="s">
        <v>17</v>
      </c>
      <c r="I730" s="40">
        <f t="shared" si="109"/>
        <v>600000</v>
      </c>
    </row>
    <row r="731">
      <c r="A731" s="137"/>
      <c r="D731" s="39" t="s">
        <v>697</v>
      </c>
      <c r="E731" s="39" t="s">
        <v>133</v>
      </c>
      <c r="F731" s="39">
        <v>65.0</v>
      </c>
      <c r="G731" s="38">
        <v>12000.0</v>
      </c>
      <c r="H731" s="39" t="s">
        <v>17</v>
      </c>
      <c r="I731" s="40">
        <f t="shared" si="109"/>
        <v>780000</v>
      </c>
      <c r="J731" s="147">
        <f>SUM(I727:I731)</f>
        <v>3240000</v>
      </c>
      <c r="K731" s="39" t="s">
        <v>1110</v>
      </c>
    </row>
    <row r="732">
      <c r="A732" s="137"/>
      <c r="G732" s="40"/>
    </row>
    <row r="733">
      <c r="A733" s="138" t="s">
        <v>1095</v>
      </c>
      <c r="C733" s="39" t="s">
        <v>122</v>
      </c>
      <c r="D733" s="39" t="s">
        <v>689</v>
      </c>
      <c r="E733" s="39" t="s">
        <v>50</v>
      </c>
      <c r="F733" s="39">
        <v>2550.0</v>
      </c>
      <c r="G733" s="38">
        <v>1800.0</v>
      </c>
      <c r="I733" s="40">
        <f t="shared" ref="I733:I736" si="110">F733*G733</f>
        <v>4590000</v>
      </c>
      <c r="K733" s="139" t="s">
        <v>167</v>
      </c>
    </row>
    <row r="734">
      <c r="A734" s="137"/>
      <c r="D734" s="39" t="s">
        <v>690</v>
      </c>
      <c r="E734" s="39" t="s">
        <v>50</v>
      </c>
      <c r="F734" s="39">
        <v>1157.0</v>
      </c>
      <c r="G734" s="38">
        <v>1850.0</v>
      </c>
      <c r="I734" s="40">
        <f t="shared" si="110"/>
        <v>2140450</v>
      </c>
      <c r="K734" s="139" t="s">
        <v>17</v>
      </c>
    </row>
    <row r="735">
      <c r="A735" s="137"/>
      <c r="D735" s="39" t="s">
        <v>691</v>
      </c>
      <c r="E735" s="39" t="s">
        <v>16</v>
      </c>
      <c r="F735" s="39">
        <v>184.0</v>
      </c>
      <c r="G735" s="38">
        <v>25000.0</v>
      </c>
      <c r="I735" s="40">
        <f t="shared" si="110"/>
        <v>4600000</v>
      </c>
      <c r="K735" s="139" t="s">
        <v>17</v>
      </c>
    </row>
    <row r="736">
      <c r="A736" s="137"/>
      <c r="D736" s="39" t="s">
        <v>692</v>
      </c>
      <c r="E736" s="39" t="s">
        <v>16</v>
      </c>
      <c r="F736" s="39">
        <v>166.0</v>
      </c>
      <c r="G736" s="38">
        <v>18000.0</v>
      </c>
      <c r="I736" s="40">
        <f t="shared" si="110"/>
        <v>2988000</v>
      </c>
      <c r="J736" s="147">
        <f>SUM(I733:I736)</f>
        <v>14318450</v>
      </c>
      <c r="K736" s="39" t="s">
        <v>1110</v>
      </c>
    </row>
    <row r="737">
      <c r="A737" s="137"/>
      <c r="G737" s="40"/>
    </row>
    <row r="738">
      <c r="A738" s="138" t="s">
        <v>1474</v>
      </c>
      <c r="C738" s="39" t="s">
        <v>552</v>
      </c>
      <c r="D738" s="39" t="s">
        <v>670</v>
      </c>
      <c r="E738" s="39" t="s">
        <v>50</v>
      </c>
      <c r="F738" s="39">
        <v>2600.0</v>
      </c>
      <c r="G738" s="38">
        <v>570.0</v>
      </c>
      <c r="H738" s="39" t="s">
        <v>167</v>
      </c>
      <c r="I738" s="40">
        <f t="shared" ref="I738:I742" si="111">F738*G738</f>
        <v>1482000</v>
      </c>
    </row>
    <row r="739">
      <c r="A739" s="137"/>
      <c r="D739" s="39" t="s">
        <v>671</v>
      </c>
      <c r="E739" s="39" t="s">
        <v>50</v>
      </c>
      <c r="F739" s="39">
        <v>1300.0</v>
      </c>
      <c r="G739" s="38">
        <v>480.0</v>
      </c>
      <c r="H739" s="39" t="s">
        <v>167</v>
      </c>
      <c r="I739" s="40">
        <f t="shared" si="111"/>
        <v>624000</v>
      </c>
    </row>
    <row r="740">
      <c r="A740" s="137"/>
      <c r="D740" s="39" t="s">
        <v>672</v>
      </c>
      <c r="E740" s="39" t="s">
        <v>50</v>
      </c>
      <c r="F740" s="39">
        <v>2110.0</v>
      </c>
      <c r="G740" s="38">
        <v>560.0</v>
      </c>
      <c r="H740" s="39" t="s">
        <v>167</v>
      </c>
      <c r="I740" s="40">
        <f t="shared" si="111"/>
        <v>1181600</v>
      </c>
    </row>
    <row r="741">
      <c r="A741" s="138" t="s">
        <v>1095</v>
      </c>
      <c r="C741" s="39" t="s">
        <v>552</v>
      </c>
      <c r="D741" s="39" t="s">
        <v>673</v>
      </c>
      <c r="E741" s="39" t="s">
        <v>50</v>
      </c>
      <c r="F741" s="39">
        <v>325.0</v>
      </c>
      <c r="G741" s="38">
        <v>3000.0</v>
      </c>
      <c r="H741" s="39" t="s">
        <v>167</v>
      </c>
      <c r="I741" s="40">
        <f t="shared" si="111"/>
        <v>975000</v>
      </c>
    </row>
    <row r="742">
      <c r="A742" s="137"/>
      <c r="D742" s="39" t="s">
        <v>674</v>
      </c>
      <c r="E742" s="39" t="s">
        <v>50</v>
      </c>
      <c r="F742" s="39">
        <v>1300.0</v>
      </c>
      <c r="G742" s="38">
        <v>480.0</v>
      </c>
      <c r="H742" s="39" t="s">
        <v>167</v>
      </c>
      <c r="I742" s="40">
        <f t="shared" si="111"/>
        <v>624000</v>
      </c>
      <c r="J742" s="141">
        <f>sum(I738:I742)</f>
        <v>4886600</v>
      </c>
      <c r="K742" s="39" t="s">
        <v>1110</v>
      </c>
    </row>
    <row r="743">
      <c r="A743" s="137"/>
      <c r="G743" s="40"/>
    </row>
    <row r="744">
      <c r="A744" s="138" t="s">
        <v>1483</v>
      </c>
      <c r="C744" s="39" t="s">
        <v>122</v>
      </c>
      <c r="D744" s="39" t="s">
        <v>719</v>
      </c>
      <c r="E744" s="39" t="s">
        <v>16</v>
      </c>
      <c r="F744" s="39">
        <v>250.0</v>
      </c>
      <c r="G744" s="38">
        <v>19000.0</v>
      </c>
      <c r="I744" s="40">
        <f t="shared" ref="I744:I748" si="112">F744*G744</f>
        <v>4750000</v>
      </c>
    </row>
    <row r="745">
      <c r="A745" s="137"/>
      <c r="D745" s="39" t="s">
        <v>720</v>
      </c>
      <c r="E745" s="39" t="s">
        <v>201</v>
      </c>
      <c r="F745" s="39">
        <v>20.0</v>
      </c>
      <c r="G745" s="38">
        <v>480000.0</v>
      </c>
      <c r="I745" s="40">
        <f t="shared" si="112"/>
        <v>9600000</v>
      </c>
    </row>
    <row r="746">
      <c r="A746" s="137"/>
      <c r="D746" s="39" t="s">
        <v>721</v>
      </c>
      <c r="E746" s="39" t="s">
        <v>16</v>
      </c>
      <c r="F746" s="39">
        <v>150.0</v>
      </c>
      <c r="G746" s="38">
        <v>18000.0</v>
      </c>
      <c r="I746" s="40">
        <f t="shared" si="112"/>
        <v>2700000</v>
      </c>
    </row>
    <row r="747">
      <c r="A747" s="137"/>
      <c r="D747" s="39" t="s">
        <v>722</v>
      </c>
      <c r="E747" s="39" t="s">
        <v>186</v>
      </c>
      <c r="F747" s="39">
        <v>9.0</v>
      </c>
      <c r="G747" s="38">
        <v>590000.0</v>
      </c>
      <c r="H747" s="139"/>
      <c r="I747" s="40">
        <f t="shared" si="112"/>
        <v>5310000</v>
      </c>
    </row>
    <row r="748">
      <c r="A748" s="137"/>
      <c r="D748" s="39" t="s">
        <v>723</v>
      </c>
      <c r="E748" s="39" t="s">
        <v>16</v>
      </c>
      <c r="F748" s="39">
        <v>182.0</v>
      </c>
      <c r="G748" s="38">
        <v>25000.0</v>
      </c>
      <c r="I748" s="40">
        <f t="shared" si="112"/>
        <v>4550000</v>
      </c>
      <c r="J748" s="40">
        <f>sum(I744:I748)</f>
        <v>26910000</v>
      </c>
      <c r="K748" s="39" t="s">
        <v>1110</v>
      </c>
    </row>
    <row r="749">
      <c r="A749" s="137"/>
      <c r="G749" s="40"/>
    </row>
    <row r="750">
      <c r="A750" s="138" t="s">
        <v>1095</v>
      </c>
      <c r="C750" s="39" t="s">
        <v>113</v>
      </c>
      <c r="D750" s="39" t="s">
        <v>715</v>
      </c>
      <c r="E750" s="39" t="s">
        <v>16</v>
      </c>
      <c r="F750" s="39">
        <v>80.0</v>
      </c>
      <c r="G750" s="38">
        <v>43000.0</v>
      </c>
      <c r="I750" s="40">
        <f t="shared" ref="I750:I751" si="113">F750*G750</f>
        <v>3440000</v>
      </c>
      <c r="K750" s="39" t="s">
        <v>17</v>
      </c>
    </row>
    <row r="751">
      <c r="A751" s="137"/>
      <c r="D751" s="39" t="s">
        <v>716</v>
      </c>
      <c r="E751" s="39" t="s">
        <v>16</v>
      </c>
      <c r="F751" s="39">
        <v>103.0</v>
      </c>
      <c r="G751" s="38">
        <v>43000.0</v>
      </c>
      <c r="I751" s="40">
        <f t="shared" si="113"/>
        <v>4429000</v>
      </c>
      <c r="J751" s="147">
        <f>SUM(I750:I751)</f>
        <v>7869000</v>
      </c>
      <c r="K751" s="39" t="s">
        <v>1110</v>
      </c>
    </row>
    <row r="752">
      <c r="A752" s="137"/>
      <c r="G752" s="40"/>
    </row>
    <row r="753">
      <c r="A753" s="138" t="s">
        <v>1095</v>
      </c>
      <c r="C753" s="39" t="s">
        <v>420</v>
      </c>
      <c r="D753" s="39" t="s">
        <v>717</v>
      </c>
      <c r="E753" s="39" t="s">
        <v>50</v>
      </c>
      <c r="F753" s="39">
        <v>1694.0</v>
      </c>
      <c r="G753" s="38">
        <v>500.0</v>
      </c>
      <c r="I753" s="40">
        <f t="shared" ref="I753:I754" si="114">F753*G753</f>
        <v>847000</v>
      </c>
      <c r="K753" s="39" t="s">
        <v>17</v>
      </c>
    </row>
    <row r="754">
      <c r="A754" s="138" t="s">
        <v>1484</v>
      </c>
      <c r="C754" s="39" t="s">
        <v>420</v>
      </c>
      <c r="D754" s="39" t="s">
        <v>718</v>
      </c>
      <c r="E754" s="39" t="s">
        <v>133</v>
      </c>
      <c r="F754" s="39">
        <v>97.0</v>
      </c>
      <c r="G754" s="38">
        <v>12000.0</v>
      </c>
      <c r="I754" s="40">
        <f t="shared" si="114"/>
        <v>1164000</v>
      </c>
      <c r="J754" s="40">
        <f>SUM(I753:I754)</f>
        <v>2011000</v>
      </c>
      <c r="K754" s="39" t="s">
        <v>1110</v>
      </c>
    </row>
    <row r="755">
      <c r="A755" s="137"/>
      <c r="G755" s="40"/>
    </row>
    <row r="756">
      <c r="A756" s="138" t="s">
        <v>1095</v>
      </c>
      <c r="C756" s="39" t="s">
        <v>637</v>
      </c>
      <c r="D756" s="39" t="s">
        <v>732</v>
      </c>
      <c r="E756" s="39" t="s">
        <v>50</v>
      </c>
      <c r="F756" s="39">
        <v>120.0</v>
      </c>
      <c r="G756" s="38">
        <v>1650.0</v>
      </c>
      <c r="H756" s="39" t="s">
        <v>17</v>
      </c>
      <c r="I756" s="40">
        <f t="shared" ref="I756:I764" si="115">F756*G756</f>
        <v>198000</v>
      </c>
    </row>
    <row r="757">
      <c r="A757" s="137"/>
      <c r="D757" s="39" t="s">
        <v>733</v>
      </c>
      <c r="E757" s="39" t="s">
        <v>16</v>
      </c>
      <c r="F757" s="39">
        <v>158.95</v>
      </c>
      <c r="G757" s="38">
        <v>15500.0</v>
      </c>
      <c r="H757" s="39" t="s">
        <v>17</v>
      </c>
      <c r="I757" s="40">
        <f t="shared" si="115"/>
        <v>2463725</v>
      </c>
    </row>
    <row r="758">
      <c r="A758" s="137"/>
      <c r="C758" s="39" t="s">
        <v>637</v>
      </c>
      <c r="D758" s="39" t="s">
        <v>734</v>
      </c>
      <c r="E758" s="39" t="s">
        <v>16</v>
      </c>
      <c r="F758" s="39">
        <v>144.0</v>
      </c>
      <c r="G758" s="38">
        <v>15500.0</v>
      </c>
      <c r="H758" s="39" t="s">
        <v>17</v>
      </c>
      <c r="I758" s="40">
        <f t="shared" si="115"/>
        <v>2232000</v>
      </c>
    </row>
    <row r="759">
      <c r="A759" s="138"/>
      <c r="C759" s="39" t="s">
        <v>637</v>
      </c>
      <c r="D759" s="39" t="s">
        <v>735</v>
      </c>
      <c r="E759" s="39" t="s">
        <v>50</v>
      </c>
      <c r="F759" s="39">
        <v>1694.0</v>
      </c>
      <c r="G759" s="38">
        <v>1650.0</v>
      </c>
      <c r="H759" s="39" t="s">
        <v>17</v>
      </c>
      <c r="I759" s="40">
        <f t="shared" si="115"/>
        <v>2795100</v>
      </c>
    </row>
    <row r="760">
      <c r="A760" s="138"/>
      <c r="C760" s="39"/>
      <c r="D760" s="39" t="s">
        <v>736</v>
      </c>
      <c r="E760" s="39" t="s">
        <v>16</v>
      </c>
      <c r="F760" s="39">
        <v>31.0</v>
      </c>
      <c r="G760" s="38">
        <v>26500.0</v>
      </c>
      <c r="H760" s="39" t="s">
        <v>17</v>
      </c>
      <c r="I760" s="40">
        <f t="shared" si="115"/>
        <v>821500</v>
      </c>
    </row>
    <row r="761">
      <c r="A761" s="138"/>
      <c r="C761" s="39"/>
      <c r="D761" s="39" t="s">
        <v>737</v>
      </c>
      <c r="E761" s="39" t="s">
        <v>16</v>
      </c>
      <c r="F761" s="39">
        <v>139.0</v>
      </c>
      <c r="G761" s="38">
        <v>26500.0</v>
      </c>
      <c r="H761" s="39" t="s">
        <v>17</v>
      </c>
      <c r="I761" s="40">
        <f t="shared" si="115"/>
        <v>3683500</v>
      </c>
    </row>
    <row r="762">
      <c r="A762" s="138"/>
      <c r="C762" s="39" t="s">
        <v>637</v>
      </c>
      <c r="D762" s="39" t="s">
        <v>738</v>
      </c>
      <c r="E762" s="39" t="s">
        <v>16</v>
      </c>
      <c r="F762" s="39">
        <v>113.4</v>
      </c>
      <c r="G762" s="38">
        <v>16000.0</v>
      </c>
      <c r="H762" s="39" t="s">
        <v>17</v>
      </c>
      <c r="I762" s="40">
        <f t="shared" si="115"/>
        <v>1814400</v>
      </c>
    </row>
    <row r="763">
      <c r="A763" s="138"/>
      <c r="C763" s="39"/>
      <c r="D763" s="39" t="s">
        <v>739</v>
      </c>
      <c r="E763" s="39" t="s">
        <v>16</v>
      </c>
      <c r="F763" s="39">
        <v>62.0</v>
      </c>
      <c r="G763" s="38">
        <v>15500.0</v>
      </c>
      <c r="H763" s="39" t="s">
        <v>17</v>
      </c>
      <c r="I763" s="40">
        <f t="shared" si="115"/>
        <v>961000</v>
      </c>
    </row>
    <row r="764">
      <c r="A764" s="138"/>
      <c r="C764" s="39" t="s">
        <v>637</v>
      </c>
      <c r="D764" s="39" t="s">
        <v>1485</v>
      </c>
      <c r="E764" s="39"/>
      <c r="F764" s="39">
        <v>2.0</v>
      </c>
      <c r="G764" s="38">
        <v>65000.0</v>
      </c>
      <c r="I764" s="40">
        <f t="shared" si="115"/>
        <v>130000</v>
      </c>
      <c r="J764" s="40">
        <f>SUM(I756:I764)</f>
        <v>15099225</v>
      </c>
    </row>
    <row r="765">
      <c r="A765" s="138"/>
      <c r="C765" s="39"/>
      <c r="D765" s="39"/>
      <c r="E765" s="39"/>
      <c r="F765" s="39"/>
      <c r="G765" s="38"/>
    </row>
    <row r="766">
      <c r="A766" s="138" t="s">
        <v>1480</v>
      </c>
      <c r="C766" s="39" t="s">
        <v>637</v>
      </c>
      <c r="D766" s="39" t="s">
        <v>1007</v>
      </c>
      <c r="E766" s="39" t="s">
        <v>779</v>
      </c>
      <c r="F766" s="39">
        <v>2.0</v>
      </c>
      <c r="G766" s="38">
        <v>1125000.0</v>
      </c>
      <c r="H766" s="39" t="s">
        <v>167</v>
      </c>
      <c r="I766" s="40">
        <f t="shared" ref="I766:I769" si="116">F766*G766</f>
        <v>2250000</v>
      </c>
    </row>
    <row r="767">
      <c r="A767" s="138" t="s">
        <v>1484</v>
      </c>
      <c r="C767" s="39" t="s">
        <v>637</v>
      </c>
      <c r="D767" s="39" t="s">
        <v>1008</v>
      </c>
      <c r="E767" s="39" t="s">
        <v>779</v>
      </c>
      <c r="F767" s="39">
        <v>1.0</v>
      </c>
      <c r="G767" s="38">
        <v>1190000.0</v>
      </c>
      <c r="H767" s="39" t="s">
        <v>167</v>
      </c>
      <c r="I767" s="40">
        <f t="shared" si="116"/>
        <v>1190000</v>
      </c>
    </row>
    <row r="768">
      <c r="A768" s="138" t="s">
        <v>1482</v>
      </c>
      <c r="C768" s="39" t="s">
        <v>637</v>
      </c>
      <c r="D768" s="39" t="s">
        <v>1009</v>
      </c>
      <c r="E768" s="39" t="s">
        <v>779</v>
      </c>
      <c r="F768" s="39">
        <v>1.0</v>
      </c>
      <c r="G768" s="38">
        <v>1190000.0</v>
      </c>
      <c r="H768" s="39" t="s">
        <v>167</v>
      </c>
      <c r="I768" s="40">
        <f t="shared" si="116"/>
        <v>1190000</v>
      </c>
    </row>
    <row r="769">
      <c r="A769" s="137"/>
      <c r="C769" s="39" t="s">
        <v>637</v>
      </c>
      <c r="D769" s="39" t="s">
        <v>1010</v>
      </c>
      <c r="E769" s="39" t="s">
        <v>779</v>
      </c>
      <c r="F769" s="39">
        <v>2.0</v>
      </c>
      <c r="G769" s="38">
        <v>1190000.0</v>
      </c>
      <c r="H769" s="39" t="s">
        <v>167</v>
      </c>
      <c r="I769" s="40">
        <f t="shared" si="116"/>
        <v>2380000</v>
      </c>
      <c r="J769" s="40">
        <f>sum(I766:I769)</f>
        <v>7010000</v>
      </c>
      <c r="K769" s="39" t="s">
        <v>1110</v>
      </c>
    </row>
    <row r="770">
      <c r="A770" s="138"/>
      <c r="C770" s="39"/>
      <c r="D770" s="39"/>
      <c r="E770" s="39"/>
      <c r="F770" s="39"/>
      <c r="G770" s="38"/>
      <c r="H770" s="39"/>
    </row>
    <row r="771">
      <c r="A771" s="138" t="s">
        <v>1095</v>
      </c>
      <c r="C771" s="39" t="s">
        <v>637</v>
      </c>
      <c r="D771" s="39" t="s">
        <v>1011</v>
      </c>
      <c r="E771" s="39" t="s">
        <v>779</v>
      </c>
      <c r="F771" s="39">
        <v>3.0</v>
      </c>
      <c r="G771" s="38">
        <v>1190000.0</v>
      </c>
      <c r="H771" s="39" t="s">
        <v>167</v>
      </c>
      <c r="I771" s="40">
        <f t="shared" ref="I771:I775" si="117">F771*G771</f>
        <v>3570000</v>
      </c>
    </row>
    <row r="772">
      <c r="A772" s="137"/>
      <c r="D772" s="39" t="s">
        <v>1012</v>
      </c>
      <c r="E772" s="39" t="s">
        <v>779</v>
      </c>
      <c r="F772" s="39">
        <v>1.0</v>
      </c>
      <c r="G772" s="38">
        <v>1190000.0</v>
      </c>
      <c r="H772" s="39" t="s">
        <v>167</v>
      </c>
      <c r="I772" s="40">
        <f t="shared" si="117"/>
        <v>1190000</v>
      </c>
    </row>
    <row r="773">
      <c r="A773" s="137"/>
      <c r="D773" s="39" t="s">
        <v>1013</v>
      </c>
      <c r="E773" s="39" t="s">
        <v>779</v>
      </c>
      <c r="F773" s="39">
        <v>2.0</v>
      </c>
      <c r="G773" s="38">
        <v>255000.0</v>
      </c>
      <c r="H773" s="39" t="s">
        <v>167</v>
      </c>
      <c r="I773" s="40">
        <f t="shared" si="117"/>
        <v>510000</v>
      </c>
    </row>
    <row r="774">
      <c r="A774" s="138" t="s">
        <v>1484</v>
      </c>
      <c r="C774" s="39" t="s">
        <v>637</v>
      </c>
      <c r="D774" s="39" t="s">
        <v>1014</v>
      </c>
      <c r="E774" s="39" t="s">
        <v>779</v>
      </c>
      <c r="F774" s="39">
        <v>2.0</v>
      </c>
      <c r="G774" s="38">
        <v>1125000.0</v>
      </c>
      <c r="H774" s="39" t="s">
        <v>167</v>
      </c>
      <c r="I774" s="40">
        <f t="shared" si="117"/>
        <v>2250000</v>
      </c>
      <c r="K774" s="39"/>
    </row>
    <row r="775">
      <c r="A775" s="138" t="s">
        <v>1484</v>
      </c>
      <c r="C775" s="39" t="s">
        <v>637</v>
      </c>
      <c r="D775" s="39" t="s">
        <v>1015</v>
      </c>
      <c r="E775" s="39" t="s">
        <v>779</v>
      </c>
      <c r="F775" s="39">
        <v>1.0</v>
      </c>
      <c r="G775" s="38">
        <v>255000.0</v>
      </c>
      <c r="H775" s="39" t="s">
        <v>167</v>
      </c>
      <c r="I775" s="40">
        <f t="shared" si="117"/>
        <v>255000</v>
      </c>
      <c r="J775" s="40">
        <f>sum(I771:I775)</f>
        <v>7775000</v>
      </c>
      <c r="K775" s="39"/>
    </row>
    <row r="776">
      <c r="A776" s="138"/>
      <c r="C776" s="39"/>
      <c r="D776" s="39"/>
      <c r="E776" s="39"/>
      <c r="F776" s="39"/>
      <c r="G776" s="38"/>
      <c r="K776" s="39"/>
    </row>
    <row r="777">
      <c r="A777" s="138"/>
      <c r="C777" s="39"/>
      <c r="D777" s="39"/>
      <c r="E777" s="39"/>
      <c r="F777" s="39"/>
      <c r="G777" s="38"/>
      <c r="K777" s="39"/>
    </row>
    <row r="778">
      <c r="A778" s="138" t="s">
        <v>1484</v>
      </c>
      <c r="C778" s="39" t="s">
        <v>203</v>
      </c>
      <c r="D778" s="39" t="s">
        <v>708</v>
      </c>
      <c r="E778" s="39" t="s">
        <v>16</v>
      </c>
      <c r="F778" s="39">
        <v>68.0</v>
      </c>
      <c r="G778" s="38">
        <v>51000.0</v>
      </c>
      <c r="I778" s="40">
        <f>F778*G778</f>
        <v>3468000</v>
      </c>
      <c r="J778" s="40">
        <f>I778</f>
        <v>3468000</v>
      </c>
      <c r="K778" s="39" t="s">
        <v>1110</v>
      </c>
    </row>
    <row r="779">
      <c r="A779" s="137"/>
      <c r="G779" s="40"/>
    </row>
    <row r="780">
      <c r="A780" s="138" t="s">
        <v>1486</v>
      </c>
      <c r="C780" s="39" t="s">
        <v>210</v>
      </c>
      <c r="D780" s="39" t="s">
        <v>709</v>
      </c>
      <c r="E780" s="39" t="s">
        <v>90</v>
      </c>
      <c r="F780" s="39">
        <v>138.0</v>
      </c>
      <c r="G780" s="38">
        <v>10000.0</v>
      </c>
      <c r="I780" s="40">
        <f>F780*G780</f>
        <v>1380000</v>
      </c>
      <c r="J780" s="40">
        <f>I780</f>
        <v>1380000</v>
      </c>
      <c r="K780" s="39" t="s">
        <v>1110</v>
      </c>
    </row>
    <row r="781">
      <c r="A781" s="137"/>
      <c r="G781" s="40"/>
    </row>
    <row r="782">
      <c r="A782" s="138" t="s">
        <v>1484</v>
      </c>
      <c r="C782" s="39" t="s">
        <v>106</v>
      </c>
      <c r="D782" s="39" t="s">
        <v>710</v>
      </c>
      <c r="E782" s="39" t="s">
        <v>16</v>
      </c>
      <c r="F782" s="39">
        <v>90.0</v>
      </c>
      <c r="G782" s="38">
        <v>34000.0</v>
      </c>
      <c r="I782" s="40">
        <f t="shared" ref="I782:I784" si="118">F782*G782</f>
        <v>3060000</v>
      </c>
      <c r="K782" s="39" t="s">
        <v>17</v>
      </c>
    </row>
    <row r="783">
      <c r="A783" s="137"/>
      <c r="D783" s="39" t="s">
        <v>711</v>
      </c>
      <c r="E783" s="39" t="s">
        <v>133</v>
      </c>
      <c r="F783" s="39">
        <v>44.0</v>
      </c>
      <c r="G783" s="38">
        <v>12000.0</v>
      </c>
      <c r="I783" s="40">
        <f t="shared" si="118"/>
        <v>528000</v>
      </c>
      <c r="K783" s="39" t="s">
        <v>17</v>
      </c>
    </row>
    <row r="784">
      <c r="A784" s="137"/>
      <c r="D784" s="39" t="s">
        <v>712</v>
      </c>
      <c r="E784" s="39" t="s">
        <v>133</v>
      </c>
      <c r="F784" s="39">
        <v>105.0</v>
      </c>
      <c r="G784" s="38">
        <v>12000.0</v>
      </c>
      <c r="I784" s="40">
        <f t="shared" si="118"/>
        <v>1260000</v>
      </c>
      <c r="J784" s="40">
        <f>sum(I782:I784)</f>
        <v>4848000</v>
      </c>
      <c r="K784" s="39" t="s">
        <v>1110</v>
      </c>
    </row>
    <row r="785">
      <c r="A785" s="137"/>
      <c r="G785" s="40"/>
    </row>
    <row r="786">
      <c r="A786" s="138" t="s">
        <v>1484</v>
      </c>
      <c r="C786" s="39" t="s">
        <v>237</v>
      </c>
      <c r="D786" s="39" t="s">
        <v>713</v>
      </c>
      <c r="E786" s="39" t="s">
        <v>90</v>
      </c>
      <c r="F786" s="39">
        <v>302.0</v>
      </c>
      <c r="G786" s="38">
        <v>27000.0</v>
      </c>
      <c r="I786" s="40">
        <f>F786*G786</f>
        <v>8154000</v>
      </c>
      <c r="J786" s="40">
        <f>I786</f>
        <v>8154000</v>
      </c>
      <c r="K786" s="39" t="s">
        <v>1110</v>
      </c>
    </row>
    <row r="787">
      <c r="A787" s="137"/>
      <c r="G787" s="40"/>
    </row>
    <row r="788">
      <c r="A788" s="138" t="s">
        <v>1484</v>
      </c>
      <c r="C788" s="39" t="s">
        <v>147</v>
      </c>
      <c r="D788" s="39" t="s">
        <v>714</v>
      </c>
      <c r="E788" s="39" t="s">
        <v>50</v>
      </c>
      <c r="F788" s="39">
        <v>3140.0</v>
      </c>
      <c r="G788" s="38">
        <v>1300.0</v>
      </c>
      <c r="I788" s="40">
        <f>F788*G788</f>
        <v>4082000</v>
      </c>
      <c r="J788" s="40">
        <f>I788</f>
        <v>4082000</v>
      </c>
      <c r="K788" s="39" t="s">
        <v>1110</v>
      </c>
    </row>
    <row r="789">
      <c r="A789" s="137"/>
      <c r="G789" s="40"/>
    </row>
    <row r="790">
      <c r="A790" s="137"/>
      <c r="G790" s="40"/>
    </row>
    <row r="791">
      <c r="A791" s="137"/>
      <c r="C791" s="39" t="s">
        <v>637</v>
      </c>
      <c r="D791" s="39" t="s">
        <v>1016</v>
      </c>
      <c r="E791" s="39" t="s">
        <v>779</v>
      </c>
      <c r="F791" s="39">
        <v>4.0</v>
      </c>
      <c r="G791" s="38">
        <v>65000.0</v>
      </c>
      <c r="I791" s="40">
        <f t="shared" ref="I791:I792" si="119">F791*G791</f>
        <v>260000</v>
      </c>
    </row>
    <row r="792">
      <c r="A792" s="137"/>
      <c r="D792" s="39" t="s">
        <v>1017</v>
      </c>
      <c r="E792" s="39" t="s">
        <v>779</v>
      </c>
      <c r="F792" s="39">
        <v>2.0</v>
      </c>
      <c r="G792" s="38">
        <v>65000.0</v>
      </c>
      <c r="I792" s="40">
        <f t="shared" si="119"/>
        <v>130000</v>
      </c>
      <c r="J792" s="40">
        <f>SUM(I791:I792)</f>
        <v>390000</v>
      </c>
      <c r="K792" s="39" t="s">
        <v>1110</v>
      </c>
    </row>
    <row r="793">
      <c r="A793" s="137"/>
      <c r="G793" s="40"/>
    </row>
    <row r="794">
      <c r="A794" s="137"/>
      <c r="G794" s="40"/>
    </row>
    <row r="795">
      <c r="A795" s="137"/>
      <c r="G795" s="40"/>
    </row>
    <row r="796">
      <c r="A796" s="137"/>
      <c r="G796" s="40"/>
    </row>
    <row r="797">
      <c r="A797" s="137"/>
      <c r="G797" s="40"/>
    </row>
    <row r="798">
      <c r="A798" s="137"/>
      <c r="G798" s="40"/>
    </row>
    <row r="799">
      <c r="A799" s="137"/>
      <c r="G799" s="40"/>
    </row>
    <row r="800">
      <c r="A800" s="137"/>
      <c r="G800" s="40"/>
    </row>
    <row r="801">
      <c r="A801" s="137"/>
      <c r="G801" s="40"/>
    </row>
    <row r="802">
      <c r="A802" s="137"/>
      <c r="G802" s="40"/>
    </row>
    <row r="803">
      <c r="A803" s="137"/>
      <c r="G803" s="40"/>
    </row>
    <row r="804">
      <c r="A804" s="137"/>
      <c r="G804" s="40"/>
    </row>
    <row r="805">
      <c r="A805" s="137"/>
      <c r="G805" s="40"/>
    </row>
    <row r="806">
      <c r="A806" s="137"/>
      <c r="G806" s="40"/>
    </row>
    <row r="807">
      <c r="A807" s="137"/>
      <c r="G807" s="40"/>
    </row>
    <row r="808">
      <c r="A808" s="137"/>
      <c r="G808" s="40"/>
    </row>
    <row r="809">
      <c r="A809" s="137"/>
      <c r="G809" s="40"/>
    </row>
    <row r="810">
      <c r="A810" s="137"/>
      <c r="G810" s="40"/>
    </row>
    <row r="811">
      <c r="A811" s="137"/>
      <c r="G811" s="40"/>
    </row>
    <row r="812">
      <c r="A812" s="137"/>
      <c r="G812" s="40"/>
    </row>
    <row r="813">
      <c r="A813" s="137"/>
      <c r="G813" s="40"/>
    </row>
    <row r="814">
      <c r="A814" s="137"/>
      <c r="G814" s="40"/>
    </row>
    <row r="815">
      <c r="A815" s="137"/>
      <c r="G815" s="40"/>
    </row>
    <row r="816">
      <c r="A816" s="137"/>
      <c r="G816" s="40"/>
    </row>
    <row r="817">
      <c r="A817" s="137"/>
      <c r="G817" s="40"/>
    </row>
    <row r="818">
      <c r="A818" s="137"/>
      <c r="G818" s="40"/>
    </row>
    <row r="819">
      <c r="A819" s="137"/>
      <c r="G819" s="40"/>
    </row>
    <row r="820">
      <c r="A820" s="137"/>
      <c r="G820" s="40"/>
    </row>
    <row r="821">
      <c r="A821" s="137"/>
      <c r="G821" s="40"/>
    </row>
    <row r="822">
      <c r="A822" s="137"/>
      <c r="G822" s="40"/>
    </row>
    <row r="823">
      <c r="A823" s="137"/>
      <c r="G823" s="40"/>
    </row>
    <row r="824">
      <c r="A824" s="137"/>
      <c r="G824" s="40"/>
    </row>
    <row r="825">
      <c r="A825" s="137"/>
      <c r="G825" s="40"/>
    </row>
    <row r="826">
      <c r="A826" s="137"/>
      <c r="G826" s="40"/>
    </row>
    <row r="827">
      <c r="A827" s="137"/>
      <c r="G827" s="40"/>
    </row>
    <row r="828">
      <c r="A828" s="137"/>
      <c r="G828" s="40"/>
    </row>
    <row r="829">
      <c r="A829" s="137"/>
      <c r="G829" s="40"/>
    </row>
    <row r="830">
      <c r="A830" s="137"/>
      <c r="G830" s="40"/>
    </row>
    <row r="831">
      <c r="A831" s="137"/>
      <c r="G831" s="40"/>
    </row>
    <row r="832">
      <c r="A832" s="137"/>
      <c r="G832" s="40"/>
    </row>
    <row r="833">
      <c r="A833" s="137"/>
      <c r="G833" s="40"/>
    </row>
    <row r="834">
      <c r="A834" s="137"/>
      <c r="G834" s="40"/>
    </row>
    <row r="835">
      <c r="A835" s="137"/>
      <c r="G835" s="40"/>
    </row>
    <row r="836">
      <c r="A836" s="137"/>
      <c r="G836" s="40"/>
    </row>
    <row r="837">
      <c r="A837" s="137"/>
      <c r="G837" s="40"/>
    </row>
    <row r="838">
      <c r="A838" s="137"/>
      <c r="G838" s="40"/>
    </row>
    <row r="839">
      <c r="A839" s="137"/>
      <c r="G839" s="40"/>
    </row>
    <row r="840">
      <c r="A840" s="137"/>
      <c r="G840" s="40"/>
    </row>
    <row r="841">
      <c r="A841" s="137"/>
      <c r="G841" s="40"/>
    </row>
    <row r="842">
      <c r="A842" s="137"/>
      <c r="G842" s="40"/>
    </row>
    <row r="843">
      <c r="A843" s="137"/>
      <c r="G843" s="40"/>
    </row>
    <row r="844">
      <c r="A844" s="137"/>
      <c r="G844" s="40"/>
    </row>
    <row r="845">
      <c r="A845" s="137"/>
      <c r="G845" s="40"/>
    </row>
    <row r="846">
      <c r="A846" s="137"/>
      <c r="G846" s="40"/>
    </row>
    <row r="847">
      <c r="A847" s="137"/>
      <c r="G847" s="40"/>
    </row>
    <row r="848">
      <c r="A848" s="137"/>
      <c r="G848" s="40"/>
    </row>
    <row r="849">
      <c r="A849" s="137"/>
      <c r="G849" s="40"/>
    </row>
    <row r="850">
      <c r="A850" s="137"/>
      <c r="G850" s="40"/>
    </row>
    <row r="851">
      <c r="A851" s="137"/>
      <c r="G851" s="40"/>
    </row>
    <row r="852">
      <c r="A852" s="137"/>
      <c r="G852" s="40"/>
    </row>
    <row r="853">
      <c r="A853" s="137"/>
      <c r="G853" s="40"/>
    </row>
    <row r="854">
      <c r="A854" s="137"/>
      <c r="G854" s="40"/>
    </row>
    <row r="855">
      <c r="A855" s="137"/>
      <c r="G855" s="40"/>
    </row>
    <row r="856">
      <c r="A856" s="137"/>
      <c r="G856" s="40"/>
    </row>
    <row r="857">
      <c r="A857" s="137"/>
      <c r="G857" s="40"/>
    </row>
    <row r="858">
      <c r="A858" s="137"/>
      <c r="G858" s="40"/>
    </row>
    <row r="859">
      <c r="A859" s="137"/>
      <c r="G859" s="40"/>
    </row>
    <row r="860">
      <c r="A860" s="137"/>
      <c r="G860" s="40"/>
    </row>
    <row r="861">
      <c r="A861" s="137"/>
      <c r="G861" s="40"/>
    </row>
    <row r="862">
      <c r="A862" s="137"/>
      <c r="G862" s="40"/>
    </row>
    <row r="863">
      <c r="A863" s="137"/>
      <c r="G863" s="40"/>
    </row>
    <row r="864">
      <c r="A864" s="137"/>
      <c r="G864" s="40"/>
    </row>
    <row r="865">
      <c r="A865" s="137"/>
      <c r="G865" s="40"/>
    </row>
    <row r="866">
      <c r="A866" s="137"/>
      <c r="G866" s="40"/>
    </row>
    <row r="867">
      <c r="A867" s="137"/>
      <c r="G867" s="40"/>
    </row>
    <row r="868">
      <c r="A868" s="137"/>
      <c r="G868" s="40"/>
    </row>
    <row r="869">
      <c r="A869" s="137"/>
      <c r="G869" s="40"/>
    </row>
    <row r="870">
      <c r="A870" s="137"/>
      <c r="G870" s="40"/>
    </row>
    <row r="871">
      <c r="A871" s="137"/>
      <c r="G871" s="40"/>
    </row>
    <row r="872">
      <c r="A872" s="137"/>
      <c r="G872" s="40"/>
    </row>
    <row r="873">
      <c r="A873" s="137"/>
      <c r="G873" s="40"/>
    </row>
    <row r="874">
      <c r="A874" s="137"/>
      <c r="G874" s="40"/>
    </row>
    <row r="875">
      <c r="A875" s="137"/>
      <c r="G875" s="40"/>
    </row>
    <row r="876">
      <c r="A876" s="137"/>
      <c r="G876" s="40"/>
    </row>
    <row r="877">
      <c r="A877" s="137"/>
      <c r="G877" s="40"/>
    </row>
    <row r="878">
      <c r="A878" s="137"/>
      <c r="G878" s="40"/>
    </row>
    <row r="879">
      <c r="A879" s="137"/>
      <c r="G879" s="40"/>
    </row>
    <row r="880">
      <c r="A880" s="137"/>
      <c r="G880" s="40"/>
    </row>
    <row r="881">
      <c r="A881" s="137"/>
      <c r="G881" s="40"/>
    </row>
    <row r="882">
      <c r="A882" s="137"/>
      <c r="G882" s="40"/>
    </row>
    <row r="883">
      <c r="A883" s="137"/>
      <c r="G883" s="40"/>
    </row>
    <row r="884">
      <c r="A884" s="137"/>
      <c r="G884" s="40"/>
    </row>
    <row r="885">
      <c r="A885" s="137"/>
      <c r="G885" s="40"/>
    </row>
    <row r="886">
      <c r="A886" s="137"/>
      <c r="G886" s="40"/>
    </row>
    <row r="887">
      <c r="A887" s="137"/>
      <c r="G887" s="40"/>
    </row>
    <row r="888">
      <c r="A888" s="137"/>
      <c r="G888" s="40"/>
    </row>
    <row r="889">
      <c r="A889" s="137"/>
      <c r="G889" s="40"/>
    </row>
    <row r="890">
      <c r="A890" s="137"/>
      <c r="G890" s="40"/>
    </row>
    <row r="891">
      <c r="A891" s="137"/>
      <c r="G891" s="40"/>
    </row>
    <row r="892">
      <c r="A892" s="137"/>
      <c r="G892" s="40"/>
    </row>
    <row r="893">
      <c r="A893" s="137"/>
      <c r="G893" s="40"/>
    </row>
    <row r="894">
      <c r="A894" s="137"/>
      <c r="G894" s="40"/>
    </row>
    <row r="895">
      <c r="A895" s="137"/>
      <c r="G895" s="40"/>
    </row>
    <row r="896">
      <c r="A896" s="137"/>
      <c r="G896" s="40"/>
    </row>
    <row r="897">
      <c r="A897" s="137"/>
      <c r="G897" s="40"/>
    </row>
    <row r="898">
      <c r="A898" s="137"/>
      <c r="G898" s="40"/>
    </row>
    <row r="899">
      <c r="A899" s="137"/>
      <c r="G899" s="40"/>
    </row>
    <row r="900">
      <c r="A900" s="137"/>
      <c r="G900" s="40"/>
    </row>
    <row r="901">
      <c r="A901" s="137"/>
      <c r="G901" s="40"/>
    </row>
    <row r="902">
      <c r="A902" s="137"/>
      <c r="G902" s="40"/>
    </row>
    <row r="903">
      <c r="A903" s="137"/>
      <c r="G903" s="40"/>
    </row>
    <row r="904">
      <c r="A904" s="137"/>
      <c r="G904" s="40"/>
    </row>
    <row r="905">
      <c r="A905" s="137"/>
      <c r="G905" s="40"/>
    </row>
    <row r="906">
      <c r="A906" s="137"/>
      <c r="G906" s="40"/>
    </row>
    <row r="907">
      <c r="A907" s="137"/>
      <c r="G907" s="40"/>
    </row>
    <row r="908">
      <c r="A908" s="137"/>
      <c r="G908" s="40"/>
    </row>
    <row r="909">
      <c r="A909" s="137"/>
      <c r="G909" s="40"/>
    </row>
    <row r="910">
      <c r="A910" s="137"/>
      <c r="G910" s="40"/>
    </row>
    <row r="911">
      <c r="A911" s="137"/>
      <c r="G911" s="40"/>
    </row>
    <row r="912">
      <c r="A912" s="137"/>
      <c r="G912" s="40"/>
    </row>
    <row r="913">
      <c r="A913" s="137"/>
      <c r="G913" s="40"/>
    </row>
    <row r="914">
      <c r="A914" s="137"/>
      <c r="G914" s="40"/>
    </row>
    <row r="915">
      <c r="A915" s="137"/>
      <c r="G915" s="40"/>
    </row>
    <row r="916">
      <c r="A916" s="137"/>
      <c r="G916" s="40"/>
    </row>
    <row r="917">
      <c r="A917" s="137"/>
      <c r="G917" s="40"/>
    </row>
    <row r="918">
      <c r="A918" s="137"/>
      <c r="G918" s="40"/>
    </row>
    <row r="919">
      <c r="A919" s="137"/>
      <c r="G919" s="40"/>
    </row>
    <row r="920">
      <c r="A920" s="137"/>
      <c r="G920" s="40"/>
    </row>
    <row r="921">
      <c r="A921" s="137"/>
      <c r="G921" s="40"/>
    </row>
    <row r="922">
      <c r="A922" s="137"/>
      <c r="G922" s="40"/>
    </row>
    <row r="923">
      <c r="A923" s="137"/>
      <c r="G923" s="40"/>
    </row>
    <row r="924">
      <c r="A924" s="137"/>
      <c r="G924" s="40"/>
    </row>
    <row r="925">
      <c r="A925" s="137"/>
      <c r="G925" s="40"/>
    </row>
    <row r="926">
      <c r="A926" s="137"/>
      <c r="G926" s="40"/>
    </row>
    <row r="927">
      <c r="A927" s="137"/>
      <c r="G927" s="40"/>
    </row>
    <row r="928">
      <c r="A928" s="137"/>
      <c r="G928" s="40"/>
    </row>
    <row r="929">
      <c r="A929" s="137"/>
      <c r="G929" s="40"/>
    </row>
    <row r="930">
      <c r="A930" s="137"/>
      <c r="G930" s="40"/>
    </row>
    <row r="931">
      <c r="A931" s="137"/>
      <c r="G931" s="40"/>
    </row>
    <row r="932">
      <c r="A932" s="137"/>
      <c r="G932" s="40"/>
    </row>
    <row r="933">
      <c r="A933" s="137"/>
      <c r="G933" s="40"/>
    </row>
    <row r="934">
      <c r="A934" s="137"/>
      <c r="G934" s="40"/>
    </row>
    <row r="935">
      <c r="A935" s="137"/>
      <c r="G935" s="40"/>
    </row>
    <row r="936">
      <c r="A936" s="137"/>
      <c r="G936" s="40"/>
    </row>
    <row r="937">
      <c r="A937" s="137"/>
      <c r="G937" s="40"/>
    </row>
    <row r="938">
      <c r="A938" s="137"/>
      <c r="G938" s="40"/>
    </row>
    <row r="939">
      <c r="A939" s="137"/>
      <c r="G939" s="40"/>
    </row>
    <row r="940">
      <c r="A940" s="137"/>
      <c r="G940" s="40"/>
    </row>
    <row r="941">
      <c r="A941" s="137"/>
      <c r="G941" s="40"/>
    </row>
    <row r="942">
      <c r="A942" s="137"/>
      <c r="G942" s="40"/>
    </row>
    <row r="943">
      <c r="A943" s="137"/>
      <c r="G943" s="40"/>
    </row>
    <row r="944">
      <c r="A944" s="137"/>
      <c r="G944" s="40"/>
    </row>
    <row r="945">
      <c r="A945" s="137"/>
      <c r="G945" s="40"/>
    </row>
    <row r="946">
      <c r="A946" s="137"/>
      <c r="G946" s="40"/>
    </row>
    <row r="947">
      <c r="A947" s="137"/>
      <c r="G947" s="40"/>
    </row>
    <row r="948">
      <c r="A948" s="137"/>
      <c r="G948" s="40"/>
    </row>
    <row r="949">
      <c r="A949" s="137"/>
      <c r="G949" s="40"/>
    </row>
    <row r="950">
      <c r="A950" s="137"/>
      <c r="G950" s="40"/>
    </row>
    <row r="951">
      <c r="A951" s="137"/>
      <c r="G951" s="40"/>
    </row>
    <row r="952">
      <c r="A952" s="137"/>
      <c r="G952" s="40"/>
    </row>
    <row r="953">
      <c r="A953" s="137"/>
      <c r="G953" s="40"/>
    </row>
    <row r="954">
      <c r="A954" s="137"/>
      <c r="G954" s="40"/>
    </row>
    <row r="955">
      <c r="A955" s="137"/>
      <c r="G955" s="40"/>
    </row>
    <row r="956">
      <c r="A956" s="137"/>
      <c r="G956" s="40"/>
    </row>
    <row r="957">
      <c r="A957" s="137"/>
      <c r="G957" s="40"/>
    </row>
    <row r="958">
      <c r="A958" s="137"/>
      <c r="G958" s="40"/>
    </row>
    <row r="959">
      <c r="A959" s="137"/>
      <c r="G959" s="40"/>
    </row>
    <row r="960">
      <c r="A960" s="137"/>
      <c r="G960" s="40"/>
    </row>
    <row r="961">
      <c r="A961" s="137"/>
      <c r="G961" s="40"/>
    </row>
    <row r="962">
      <c r="A962" s="137"/>
      <c r="G962" s="40"/>
    </row>
    <row r="963">
      <c r="A963" s="137"/>
      <c r="G963" s="40"/>
    </row>
    <row r="964">
      <c r="A964" s="137"/>
      <c r="G964" s="40"/>
    </row>
    <row r="965">
      <c r="A965" s="137"/>
      <c r="G965" s="40"/>
    </row>
    <row r="966">
      <c r="A966" s="137"/>
      <c r="G966" s="40"/>
    </row>
    <row r="967">
      <c r="A967" s="137"/>
      <c r="G967" s="40"/>
    </row>
    <row r="968">
      <c r="A968" s="137"/>
      <c r="G968" s="40"/>
    </row>
    <row r="969">
      <c r="A969" s="137"/>
      <c r="G969" s="40"/>
    </row>
    <row r="970">
      <c r="A970" s="137"/>
      <c r="G970" s="40"/>
    </row>
    <row r="971">
      <c r="A971" s="137"/>
      <c r="G971" s="40"/>
    </row>
    <row r="972">
      <c r="A972" s="137"/>
      <c r="G972" s="40"/>
    </row>
    <row r="973">
      <c r="A973" s="137"/>
      <c r="G973" s="40"/>
    </row>
    <row r="974">
      <c r="A974" s="137"/>
      <c r="G974" s="40"/>
    </row>
    <row r="975">
      <c r="A975" s="137"/>
      <c r="G975" s="40"/>
    </row>
    <row r="976">
      <c r="A976" s="137"/>
      <c r="G976" s="40"/>
    </row>
    <row r="977">
      <c r="A977" s="137"/>
      <c r="G977" s="40"/>
    </row>
    <row r="978">
      <c r="A978" s="137"/>
      <c r="G978" s="40"/>
    </row>
    <row r="979">
      <c r="A979" s="137"/>
      <c r="G979" s="40"/>
    </row>
    <row r="980">
      <c r="A980" s="137"/>
      <c r="G980" s="40"/>
    </row>
    <row r="981">
      <c r="A981" s="137"/>
      <c r="G981" s="40"/>
    </row>
    <row r="982">
      <c r="A982" s="137"/>
      <c r="G982" s="40"/>
    </row>
    <row r="983">
      <c r="A983" s="137"/>
      <c r="G983" s="40"/>
    </row>
    <row r="984">
      <c r="A984" s="137"/>
      <c r="G984" s="40"/>
    </row>
    <row r="985">
      <c r="A985" s="137"/>
      <c r="G985" s="40"/>
    </row>
    <row r="986">
      <c r="A986" s="137"/>
      <c r="G986" s="40"/>
    </row>
    <row r="987">
      <c r="A987" s="137"/>
      <c r="G987" s="40"/>
    </row>
    <row r="988">
      <c r="A988" s="137"/>
      <c r="G988" s="40"/>
    </row>
    <row r="989">
      <c r="A989" s="137"/>
      <c r="G989" s="40"/>
    </row>
    <row r="990">
      <c r="A990" s="137"/>
      <c r="G990" s="40"/>
    </row>
    <row r="991">
      <c r="A991" s="137"/>
      <c r="G991" s="40"/>
    </row>
    <row r="992">
      <c r="A992" s="137"/>
      <c r="G992" s="40"/>
    </row>
    <row r="993">
      <c r="A993" s="137"/>
      <c r="G993" s="40"/>
    </row>
    <row r="994">
      <c r="A994" s="137"/>
      <c r="G994" s="40"/>
    </row>
    <row r="995">
      <c r="A995" s="137"/>
      <c r="G995" s="40"/>
    </row>
    <row r="996">
      <c r="A996" s="137"/>
      <c r="G996" s="40"/>
    </row>
    <row r="997">
      <c r="A997" s="137"/>
      <c r="G997" s="40"/>
    </row>
    <row r="998">
      <c r="A998" s="137"/>
      <c r="G998" s="40"/>
    </row>
    <row r="999">
      <c r="A999" s="137"/>
      <c r="G999" s="40"/>
    </row>
    <row r="1000">
      <c r="A1000" s="137"/>
      <c r="G1000" s="40"/>
    </row>
    <row r="1001">
      <c r="A1001" s="137"/>
      <c r="G1001" s="40"/>
    </row>
    <row r="1002">
      <c r="A1002" s="137"/>
      <c r="G1002" s="40"/>
    </row>
    <row r="1003">
      <c r="A1003" s="137"/>
      <c r="G1003" s="40"/>
    </row>
    <row r="1004">
      <c r="A1004" s="137"/>
      <c r="G1004" s="40"/>
    </row>
    <row r="1005">
      <c r="A1005" s="137"/>
      <c r="G1005" s="40"/>
    </row>
    <row r="1006">
      <c r="A1006" s="137"/>
      <c r="G1006" s="40"/>
    </row>
    <row r="1007">
      <c r="A1007" s="137"/>
      <c r="G1007" s="40"/>
    </row>
    <row r="1008">
      <c r="A1008" s="137"/>
      <c r="G1008" s="40"/>
    </row>
  </sheetData>
  <mergeCells count="1">
    <mergeCell ref="L26:L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43"/>
    <col customWidth="1" min="3" max="3" width="8.71"/>
    <col customWidth="1" min="4" max="4" width="65.86"/>
    <col customWidth="1" min="5" max="5" width="8.29"/>
    <col customWidth="1" min="6" max="6" width="9.71"/>
    <col customWidth="1" min="7" max="7" width="18.0"/>
    <col customWidth="1" min="8" max="8" width="22.0"/>
    <col customWidth="1" min="9" max="9" width="55.57"/>
  </cols>
  <sheetData>
    <row r="1">
      <c r="A1" s="1" t="s">
        <v>0</v>
      </c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" t="s">
        <v>1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" t="s">
        <v>2</v>
      </c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9"/>
      <c r="B4" s="149"/>
      <c r="C4" s="150"/>
      <c r="D4" s="149"/>
      <c r="E4" s="149"/>
      <c r="F4" s="149"/>
      <c r="G4" s="150"/>
      <c r="H4" s="150"/>
      <c r="I4" s="149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51" t="s">
        <v>3</v>
      </c>
      <c r="B5" s="151" t="s">
        <v>1487</v>
      </c>
      <c r="C5" s="152" t="s">
        <v>11</v>
      </c>
      <c r="D5" s="151" t="s">
        <v>1488</v>
      </c>
      <c r="E5" s="151" t="s">
        <v>8</v>
      </c>
      <c r="F5" s="151" t="s">
        <v>7</v>
      </c>
      <c r="G5" s="152" t="s">
        <v>1489</v>
      </c>
      <c r="H5" s="152" t="s">
        <v>11</v>
      </c>
      <c r="I5" s="151" t="s">
        <v>1490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6" t="s">
        <v>236</v>
      </c>
      <c r="B6" s="46"/>
      <c r="C6" s="49"/>
      <c r="D6" s="46"/>
      <c r="E6" s="46"/>
      <c r="F6" s="47"/>
      <c r="G6" s="153"/>
      <c r="H6" s="49">
        <f>SUM(H7)</f>
        <v>2000000</v>
      </c>
      <c r="I6" s="47"/>
    </row>
    <row r="7">
      <c r="B7" s="39" t="s">
        <v>1491</v>
      </c>
      <c r="D7" s="39" t="s">
        <v>1492</v>
      </c>
      <c r="E7" s="39">
        <v>1.0</v>
      </c>
      <c r="G7" s="38">
        <v>2000000.0</v>
      </c>
      <c r="H7" s="40">
        <f>E7*G7</f>
        <v>2000000</v>
      </c>
    </row>
    <row r="8">
      <c r="A8" s="46" t="s">
        <v>1493</v>
      </c>
      <c r="B8" s="46"/>
      <c r="C8" s="49"/>
      <c r="D8" s="46"/>
      <c r="E8" s="46"/>
      <c r="F8" s="47"/>
      <c r="G8" s="153"/>
      <c r="H8" s="49">
        <f>SUM(H9)</f>
        <v>500000</v>
      </c>
      <c r="I8" s="47"/>
    </row>
    <row r="9">
      <c r="B9" s="39" t="s">
        <v>1491</v>
      </c>
      <c r="D9" s="39" t="s">
        <v>268</v>
      </c>
      <c r="E9" s="39">
        <v>1.0</v>
      </c>
      <c r="G9" s="38">
        <v>500000.0</v>
      </c>
      <c r="H9" s="40">
        <f>G9</f>
        <v>500000</v>
      </c>
    </row>
    <row r="10">
      <c r="A10" s="46" t="s">
        <v>1494</v>
      </c>
      <c r="B10" s="46"/>
      <c r="C10" s="49"/>
      <c r="D10" s="46"/>
      <c r="E10" s="46"/>
      <c r="F10" s="47"/>
      <c r="G10" s="153"/>
      <c r="H10" s="49">
        <f>SUM(H11:H16)</f>
        <v>36700000</v>
      </c>
      <c r="I10" s="47"/>
    </row>
    <row r="11">
      <c r="B11" s="39" t="s">
        <v>1495</v>
      </c>
      <c r="D11" s="39" t="s">
        <v>1496</v>
      </c>
      <c r="E11" s="39">
        <v>3.0</v>
      </c>
      <c r="F11" s="39" t="s">
        <v>1497</v>
      </c>
      <c r="G11" s="38">
        <v>2700000.0</v>
      </c>
      <c r="H11" s="40">
        <f t="shared" ref="H11:H16" si="1">G11*E11</f>
        <v>8100000</v>
      </c>
    </row>
    <row r="12">
      <c r="E12" s="39">
        <v>8.0</v>
      </c>
      <c r="F12" s="39" t="s">
        <v>1497</v>
      </c>
      <c r="G12" s="38">
        <v>2400000.0</v>
      </c>
      <c r="H12" s="40">
        <f t="shared" si="1"/>
        <v>19200000</v>
      </c>
    </row>
    <row r="13">
      <c r="E13" s="39">
        <v>1.0</v>
      </c>
      <c r="F13" s="39" t="s">
        <v>1497</v>
      </c>
      <c r="G13" s="38">
        <v>2000000.0</v>
      </c>
      <c r="H13" s="40">
        <f t="shared" si="1"/>
        <v>2000000</v>
      </c>
    </row>
    <row r="14">
      <c r="D14" s="39" t="s">
        <v>1498</v>
      </c>
      <c r="E14" s="39">
        <v>1.0</v>
      </c>
      <c r="G14" s="38">
        <v>3000000.0</v>
      </c>
      <c r="H14" s="40">
        <f t="shared" si="1"/>
        <v>3000000</v>
      </c>
    </row>
    <row r="15">
      <c r="D15" s="39" t="s">
        <v>1499</v>
      </c>
      <c r="E15" s="39">
        <v>1.0</v>
      </c>
      <c r="F15" s="39" t="s">
        <v>1497</v>
      </c>
      <c r="G15" s="38">
        <v>2400000.0</v>
      </c>
      <c r="H15" s="40">
        <f t="shared" si="1"/>
        <v>2400000</v>
      </c>
    </row>
    <row r="16">
      <c r="E16" s="39">
        <v>1.0</v>
      </c>
      <c r="F16" s="39" t="s">
        <v>1497</v>
      </c>
      <c r="G16" s="38">
        <v>2000000.0</v>
      </c>
      <c r="H16" s="40">
        <f t="shared" si="1"/>
        <v>2000000</v>
      </c>
    </row>
    <row r="17">
      <c r="A17" s="46" t="s">
        <v>1500</v>
      </c>
      <c r="B17" s="46"/>
      <c r="C17" s="49"/>
      <c r="D17" s="46"/>
      <c r="E17" s="46"/>
      <c r="F17" s="47"/>
      <c r="G17" s="153"/>
      <c r="H17" s="49">
        <f>SUM(H18:H23)</f>
        <v>67500000</v>
      </c>
      <c r="I17" s="47"/>
    </row>
    <row r="18">
      <c r="B18" s="39" t="s">
        <v>1491</v>
      </c>
      <c r="D18" s="39" t="s">
        <v>1501</v>
      </c>
      <c r="E18" s="39">
        <v>1.0</v>
      </c>
      <c r="G18" s="38">
        <v>1000000.0</v>
      </c>
      <c r="H18" s="40">
        <f t="shared" ref="H18:H19" si="2">G18</f>
        <v>1000000</v>
      </c>
    </row>
    <row r="19">
      <c r="D19" s="39" t="s">
        <v>268</v>
      </c>
      <c r="E19" s="39">
        <v>1.0</v>
      </c>
      <c r="G19" s="38">
        <v>500000.0</v>
      </c>
      <c r="H19" s="40">
        <f t="shared" si="2"/>
        <v>500000</v>
      </c>
    </row>
    <row r="20">
      <c r="A20" s="46" t="s">
        <v>1502</v>
      </c>
      <c r="B20" s="46"/>
      <c r="C20" s="49"/>
      <c r="D20" s="46"/>
      <c r="E20" s="46"/>
      <c r="F20" s="47"/>
      <c r="G20" s="153"/>
      <c r="H20" s="49">
        <f>SUM(H21:H26)</f>
        <v>36700000</v>
      </c>
      <c r="I20" s="47"/>
    </row>
    <row r="21">
      <c r="B21" s="39" t="s">
        <v>1495</v>
      </c>
      <c r="D21" s="39" t="s">
        <v>1503</v>
      </c>
      <c r="E21" s="39">
        <v>3.0</v>
      </c>
      <c r="F21" s="39" t="s">
        <v>1497</v>
      </c>
      <c r="G21" s="38">
        <v>2700000.0</v>
      </c>
      <c r="H21" s="40">
        <f t="shared" ref="H21:H26" si="3">G21*E21</f>
        <v>8100000</v>
      </c>
    </row>
    <row r="22">
      <c r="E22" s="39">
        <v>8.0</v>
      </c>
      <c r="F22" s="39" t="s">
        <v>1497</v>
      </c>
      <c r="G22" s="38">
        <v>2400000.0</v>
      </c>
      <c r="H22" s="40">
        <f t="shared" si="3"/>
        <v>19200000</v>
      </c>
    </row>
    <row r="23">
      <c r="E23" s="39">
        <v>1.0</v>
      </c>
      <c r="F23" s="39" t="s">
        <v>1497</v>
      </c>
      <c r="G23" s="38">
        <v>2000000.0</v>
      </c>
      <c r="H23" s="40">
        <f t="shared" si="3"/>
        <v>2000000</v>
      </c>
    </row>
    <row r="24">
      <c r="D24" s="39" t="s">
        <v>1504</v>
      </c>
      <c r="E24" s="39">
        <v>1.0</v>
      </c>
      <c r="G24" s="38">
        <v>3000000.0</v>
      </c>
      <c r="H24" s="40">
        <f t="shared" si="3"/>
        <v>3000000</v>
      </c>
    </row>
    <row r="25">
      <c r="D25" s="39" t="s">
        <v>1505</v>
      </c>
      <c r="E25" s="39">
        <v>1.0</v>
      </c>
      <c r="F25" s="39" t="s">
        <v>1497</v>
      </c>
      <c r="G25" s="38">
        <v>2400000.0</v>
      </c>
      <c r="H25" s="40">
        <f t="shared" si="3"/>
        <v>2400000</v>
      </c>
    </row>
    <row r="26">
      <c r="E26" s="39">
        <v>1.0</v>
      </c>
      <c r="F26" s="39" t="s">
        <v>1497</v>
      </c>
      <c r="G26" s="38">
        <v>2000000.0</v>
      </c>
      <c r="H26" s="40">
        <f t="shared" si="3"/>
        <v>2000000</v>
      </c>
    </row>
    <row r="27">
      <c r="E27" s="39">
        <v>3.0</v>
      </c>
      <c r="F27" s="39"/>
      <c r="G27" s="38">
        <v>2500.0</v>
      </c>
      <c r="H27" s="38">
        <f>E27*G27</f>
        <v>7500</v>
      </c>
      <c r="I27" s="40">
        <f>H27</f>
        <v>7500</v>
      </c>
    </row>
    <row r="28">
      <c r="A28" s="46" t="s">
        <v>1506</v>
      </c>
      <c r="B28" s="46"/>
      <c r="C28" s="49"/>
      <c r="D28" s="46"/>
      <c r="E28" s="46"/>
      <c r="F28" s="47"/>
      <c r="G28" s="153"/>
      <c r="H28" s="49">
        <f>SUM(H29:H34)</f>
        <v>0</v>
      </c>
      <c r="I28" s="47"/>
    </row>
    <row r="29">
      <c r="G29" s="40"/>
      <c r="H29" s="40"/>
    </row>
    <row r="30">
      <c r="G30" s="40"/>
      <c r="H30" s="40"/>
    </row>
    <row r="31">
      <c r="G31" s="40"/>
      <c r="H31" s="40"/>
    </row>
    <row r="32">
      <c r="G32" s="40"/>
      <c r="H32" s="40"/>
    </row>
    <row r="33">
      <c r="G33" s="40"/>
      <c r="H33" s="40"/>
    </row>
    <row r="34">
      <c r="G34" s="40"/>
      <c r="H34" s="40"/>
    </row>
    <row r="35">
      <c r="G35" s="40"/>
      <c r="H35" s="40"/>
    </row>
    <row r="36">
      <c r="G36" s="40"/>
      <c r="H36" s="40"/>
    </row>
    <row r="37">
      <c r="G37" s="40"/>
      <c r="H37" s="40"/>
    </row>
    <row r="38">
      <c r="G38" s="40"/>
      <c r="H38" s="40"/>
    </row>
    <row r="39">
      <c r="G39" s="40"/>
      <c r="H39" s="40"/>
    </row>
    <row r="40">
      <c r="G40" s="40"/>
      <c r="H40" s="40"/>
    </row>
    <row r="41">
      <c r="G41" s="40"/>
      <c r="H41" s="40"/>
    </row>
    <row r="42">
      <c r="G42" s="40"/>
      <c r="H42" s="40"/>
    </row>
    <row r="43">
      <c r="G43" s="40"/>
      <c r="H43" s="40"/>
    </row>
    <row r="44">
      <c r="G44" s="40"/>
      <c r="H44" s="40"/>
    </row>
    <row r="45">
      <c r="G45" s="40"/>
      <c r="H45" s="40"/>
    </row>
    <row r="46">
      <c r="G46" s="40"/>
      <c r="H46" s="40"/>
    </row>
    <row r="47">
      <c r="G47" s="40"/>
      <c r="H47" s="40"/>
    </row>
    <row r="48">
      <c r="G48" s="40"/>
      <c r="H48" s="40"/>
    </row>
    <row r="49">
      <c r="G49" s="40"/>
      <c r="H49" s="40"/>
    </row>
    <row r="50">
      <c r="G50" s="40"/>
      <c r="H50" s="40"/>
    </row>
    <row r="51">
      <c r="G51" s="40"/>
      <c r="H51" s="40"/>
    </row>
    <row r="52">
      <c r="G52" s="40"/>
      <c r="H52" s="40"/>
    </row>
    <row r="53">
      <c r="G53" s="40"/>
      <c r="H53" s="40"/>
    </row>
    <row r="54">
      <c r="G54" s="40"/>
      <c r="H54" s="40"/>
    </row>
    <row r="55">
      <c r="G55" s="40"/>
      <c r="H55" s="40"/>
    </row>
    <row r="56">
      <c r="G56" s="40"/>
      <c r="H56" s="40"/>
    </row>
    <row r="57">
      <c r="G57" s="40"/>
      <c r="H57" s="40"/>
    </row>
    <row r="58">
      <c r="G58" s="40"/>
      <c r="H58" s="40"/>
    </row>
    <row r="59">
      <c r="G59" s="40"/>
      <c r="H59" s="40"/>
    </row>
    <row r="60">
      <c r="G60" s="40"/>
      <c r="H60" s="40"/>
    </row>
    <row r="61">
      <c r="G61" s="40"/>
      <c r="H61" s="40"/>
    </row>
    <row r="62">
      <c r="G62" s="40"/>
      <c r="H62" s="40"/>
    </row>
    <row r="63">
      <c r="G63" s="40"/>
      <c r="H63" s="40"/>
    </row>
    <row r="64">
      <c r="G64" s="40"/>
      <c r="H64" s="40"/>
    </row>
    <row r="65">
      <c r="G65" s="40"/>
      <c r="H65" s="40"/>
    </row>
    <row r="66">
      <c r="G66" s="40"/>
      <c r="H66" s="40"/>
    </row>
    <row r="67">
      <c r="G67" s="40"/>
      <c r="H67" s="40"/>
    </row>
    <row r="68">
      <c r="G68" s="40"/>
      <c r="H68" s="40"/>
    </row>
    <row r="69">
      <c r="G69" s="40"/>
      <c r="H69" s="40"/>
    </row>
    <row r="70">
      <c r="G70" s="40"/>
      <c r="H70" s="40"/>
    </row>
    <row r="71">
      <c r="G71" s="40"/>
      <c r="H71" s="40"/>
    </row>
    <row r="72">
      <c r="G72" s="40"/>
      <c r="H72" s="40"/>
    </row>
    <row r="73">
      <c r="G73" s="40"/>
      <c r="H73" s="40"/>
    </row>
    <row r="74">
      <c r="G74" s="40"/>
      <c r="H74" s="40"/>
    </row>
    <row r="75">
      <c r="G75" s="40"/>
      <c r="H75" s="40"/>
    </row>
    <row r="76">
      <c r="G76" s="40"/>
      <c r="H76" s="40"/>
    </row>
    <row r="77">
      <c r="G77" s="40"/>
      <c r="H77" s="40"/>
    </row>
    <row r="78">
      <c r="G78" s="40"/>
      <c r="H78" s="40"/>
    </row>
    <row r="79">
      <c r="G79" s="40"/>
      <c r="H79" s="40"/>
    </row>
    <row r="80">
      <c r="G80" s="40"/>
      <c r="H80" s="40"/>
    </row>
    <row r="81">
      <c r="G81" s="40"/>
      <c r="H81" s="40"/>
    </row>
    <row r="82">
      <c r="G82" s="40"/>
      <c r="H82" s="40"/>
    </row>
    <row r="83">
      <c r="G83" s="40"/>
      <c r="H83" s="40"/>
    </row>
    <row r="84">
      <c r="G84" s="40"/>
      <c r="H84" s="40"/>
    </row>
    <row r="85">
      <c r="G85" s="40"/>
      <c r="H85" s="40"/>
    </row>
    <row r="86">
      <c r="G86" s="40"/>
      <c r="H86" s="40"/>
    </row>
    <row r="87">
      <c r="G87" s="40"/>
      <c r="H87" s="40"/>
    </row>
    <row r="88">
      <c r="G88" s="40"/>
      <c r="H88" s="40"/>
    </row>
    <row r="89">
      <c r="G89" s="40"/>
      <c r="H89" s="40"/>
    </row>
    <row r="90">
      <c r="G90" s="40"/>
      <c r="H90" s="40"/>
    </row>
    <row r="91">
      <c r="G91" s="40"/>
      <c r="H91" s="40"/>
    </row>
    <row r="92">
      <c r="G92" s="40"/>
      <c r="H92" s="40"/>
    </row>
    <row r="93">
      <c r="G93" s="40"/>
      <c r="H93" s="40"/>
    </row>
    <row r="94">
      <c r="G94" s="40"/>
      <c r="H94" s="40"/>
    </row>
    <row r="95">
      <c r="G95" s="40"/>
      <c r="H95" s="40"/>
    </row>
    <row r="96">
      <c r="G96" s="40"/>
      <c r="H96" s="40"/>
    </row>
    <row r="97">
      <c r="G97" s="40"/>
      <c r="H97" s="40"/>
    </row>
    <row r="98">
      <c r="G98" s="40"/>
      <c r="H98" s="40"/>
    </row>
    <row r="99">
      <c r="G99" s="40"/>
      <c r="H99" s="40"/>
    </row>
    <row r="100">
      <c r="G100" s="40"/>
      <c r="H100" s="40"/>
    </row>
    <row r="101">
      <c r="G101" s="40"/>
      <c r="H101" s="40"/>
    </row>
    <row r="102">
      <c r="G102" s="40"/>
      <c r="H102" s="40"/>
    </row>
    <row r="103">
      <c r="G103" s="40"/>
      <c r="H103" s="40"/>
    </row>
    <row r="104">
      <c r="G104" s="40"/>
      <c r="H104" s="40"/>
    </row>
    <row r="105">
      <c r="G105" s="40"/>
      <c r="H105" s="40"/>
    </row>
    <row r="106">
      <c r="G106" s="40"/>
      <c r="H106" s="40"/>
    </row>
    <row r="107">
      <c r="G107" s="40"/>
      <c r="H107" s="40"/>
    </row>
    <row r="108">
      <c r="G108" s="40"/>
      <c r="H108" s="40"/>
    </row>
    <row r="109">
      <c r="G109" s="40"/>
      <c r="H109" s="40"/>
    </row>
    <row r="110">
      <c r="G110" s="40"/>
      <c r="H110" s="40"/>
    </row>
    <row r="111">
      <c r="G111" s="40"/>
      <c r="H111" s="40"/>
    </row>
    <row r="112">
      <c r="G112" s="40"/>
      <c r="H112" s="40"/>
    </row>
    <row r="113">
      <c r="G113" s="40"/>
      <c r="H113" s="40"/>
    </row>
    <row r="114">
      <c r="G114" s="40"/>
      <c r="H114" s="40"/>
    </row>
    <row r="115">
      <c r="G115" s="40"/>
      <c r="H115" s="40"/>
    </row>
    <row r="116">
      <c r="G116" s="40"/>
      <c r="H116" s="40"/>
    </row>
    <row r="117">
      <c r="G117" s="40"/>
      <c r="H117" s="40"/>
    </row>
    <row r="118">
      <c r="G118" s="40"/>
      <c r="H118" s="40"/>
    </row>
    <row r="119">
      <c r="G119" s="40"/>
      <c r="H119" s="40"/>
    </row>
    <row r="120">
      <c r="G120" s="40"/>
      <c r="H120" s="40"/>
    </row>
    <row r="121">
      <c r="G121" s="40"/>
      <c r="H121" s="40"/>
    </row>
    <row r="122">
      <c r="G122" s="40"/>
      <c r="H122" s="40"/>
    </row>
    <row r="123">
      <c r="G123" s="40"/>
      <c r="H123" s="40"/>
    </row>
    <row r="124">
      <c r="G124" s="40"/>
      <c r="H124" s="40"/>
    </row>
    <row r="125">
      <c r="G125" s="40"/>
      <c r="H125" s="40"/>
    </row>
    <row r="126">
      <c r="G126" s="40"/>
      <c r="H126" s="40"/>
    </row>
    <row r="127">
      <c r="G127" s="40"/>
      <c r="H127" s="40"/>
    </row>
    <row r="128">
      <c r="G128" s="40"/>
      <c r="H128" s="40"/>
    </row>
    <row r="129">
      <c r="G129" s="40"/>
      <c r="H129" s="40"/>
    </row>
    <row r="130">
      <c r="G130" s="40"/>
      <c r="H130" s="40"/>
    </row>
    <row r="131">
      <c r="G131" s="40"/>
      <c r="H131" s="40"/>
    </row>
    <row r="132">
      <c r="G132" s="40"/>
      <c r="H132" s="40"/>
    </row>
    <row r="133">
      <c r="G133" s="40"/>
      <c r="H133" s="40"/>
    </row>
    <row r="134">
      <c r="G134" s="40"/>
      <c r="H134" s="40"/>
    </row>
    <row r="135">
      <c r="G135" s="40"/>
      <c r="H135" s="40"/>
    </row>
    <row r="136">
      <c r="G136" s="40"/>
      <c r="H136" s="40"/>
    </row>
    <row r="137">
      <c r="G137" s="40"/>
      <c r="H137" s="40"/>
    </row>
    <row r="138">
      <c r="G138" s="40"/>
      <c r="H138" s="40"/>
    </row>
    <row r="139">
      <c r="G139" s="40"/>
      <c r="H139" s="40"/>
    </row>
    <row r="140">
      <c r="G140" s="40"/>
      <c r="H140" s="40"/>
    </row>
    <row r="141">
      <c r="G141" s="40"/>
      <c r="H141" s="40"/>
    </row>
    <row r="142">
      <c r="G142" s="40"/>
      <c r="H142" s="40"/>
    </row>
    <row r="143">
      <c r="G143" s="40"/>
      <c r="H143" s="40"/>
    </row>
    <row r="144">
      <c r="G144" s="40"/>
      <c r="H144" s="40"/>
    </row>
    <row r="145">
      <c r="G145" s="40"/>
      <c r="H145" s="40"/>
    </row>
    <row r="146">
      <c r="G146" s="40"/>
      <c r="H146" s="40"/>
    </row>
    <row r="147">
      <c r="G147" s="40"/>
      <c r="H147" s="40"/>
    </row>
    <row r="148">
      <c r="G148" s="40"/>
      <c r="H148" s="40"/>
    </row>
    <row r="149">
      <c r="G149" s="40"/>
      <c r="H149" s="40"/>
    </row>
    <row r="150">
      <c r="G150" s="40"/>
      <c r="H150" s="40"/>
    </row>
    <row r="151">
      <c r="G151" s="40"/>
      <c r="H151" s="40"/>
    </row>
    <row r="152">
      <c r="G152" s="40"/>
      <c r="H152" s="40"/>
    </row>
    <row r="153">
      <c r="G153" s="40"/>
      <c r="H153" s="40"/>
    </row>
    <row r="154">
      <c r="G154" s="40"/>
      <c r="H154" s="40"/>
    </row>
    <row r="155">
      <c r="G155" s="40"/>
      <c r="H155" s="40"/>
    </row>
    <row r="156">
      <c r="G156" s="40"/>
      <c r="H156" s="40"/>
    </row>
    <row r="157">
      <c r="G157" s="40"/>
      <c r="H157" s="40"/>
    </row>
    <row r="158">
      <c r="G158" s="40"/>
      <c r="H158" s="40"/>
    </row>
    <row r="159">
      <c r="G159" s="40"/>
      <c r="H159" s="40"/>
    </row>
    <row r="160">
      <c r="G160" s="40"/>
      <c r="H160" s="40"/>
    </row>
    <row r="161">
      <c r="G161" s="40"/>
      <c r="H161" s="40"/>
    </row>
    <row r="162">
      <c r="G162" s="40"/>
      <c r="H162" s="40"/>
    </row>
    <row r="163">
      <c r="G163" s="40"/>
      <c r="H163" s="40"/>
    </row>
    <row r="164">
      <c r="G164" s="40"/>
      <c r="H164" s="40"/>
    </row>
    <row r="165">
      <c r="G165" s="40"/>
      <c r="H165" s="40"/>
    </row>
    <row r="166">
      <c r="G166" s="40"/>
      <c r="H166" s="40"/>
    </row>
    <row r="167">
      <c r="G167" s="40"/>
      <c r="H167" s="40"/>
    </row>
    <row r="168">
      <c r="G168" s="40"/>
      <c r="H168" s="40"/>
    </row>
    <row r="169">
      <c r="G169" s="40"/>
      <c r="H169" s="40"/>
    </row>
    <row r="170">
      <c r="G170" s="40"/>
      <c r="H170" s="40"/>
    </row>
    <row r="171">
      <c r="G171" s="40"/>
      <c r="H171" s="40"/>
    </row>
    <row r="172">
      <c r="G172" s="40"/>
      <c r="H172" s="40"/>
    </row>
    <row r="173">
      <c r="G173" s="40"/>
      <c r="H173" s="40"/>
    </row>
    <row r="174">
      <c r="G174" s="40"/>
      <c r="H174" s="40"/>
    </row>
    <row r="175">
      <c r="G175" s="40"/>
      <c r="H175" s="40"/>
    </row>
    <row r="176">
      <c r="G176" s="40"/>
      <c r="H176" s="40"/>
    </row>
    <row r="177">
      <c r="G177" s="40"/>
      <c r="H177" s="40"/>
    </row>
    <row r="178">
      <c r="G178" s="40"/>
      <c r="H178" s="40"/>
    </row>
    <row r="179">
      <c r="G179" s="40"/>
      <c r="H179" s="40"/>
    </row>
    <row r="180">
      <c r="G180" s="40"/>
      <c r="H180" s="40"/>
    </row>
    <row r="181">
      <c r="G181" s="40"/>
      <c r="H181" s="40"/>
    </row>
    <row r="182">
      <c r="G182" s="40"/>
      <c r="H182" s="40"/>
    </row>
    <row r="183">
      <c r="G183" s="40"/>
      <c r="H183" s="40"/>
    </row>
    <row r="184">
      <c r="G184" s="40"/>
      <c r="H184" s="40"/>
    </row>
    <row r="185">
      <c r="G185" s="40"/>
      <c r="H185" s="40"/>
    </row>
    <row r="186">
      <c r="G186" s="40"/>
      <c r="H186" s="40"/>
    </row>
    <row r="187">
      <c r="G187" s="40"/>
      <c r="H187" s="40"/>
    </row>
    <row r="188">
      <c r="G188" s="40"/>
      <c r="H188" s="40"/>
    </row>
    <row r="189">
      <c r="G189" s="40"/>
      <c r="H189" s="40"/>
    </row>
    <row r="190">
      <c r="G190" s="40"/>
      <c r="H190" s="40"/>
    </row>
    <row r="191">
      <c r="G191" s="40"/>
      <c r="H191" s="40"/>
    </row>
    <row r="192">
      <c r="G192" s="40"/>
      <c r="H192" s="40"/>
    </row>
    <row r="193">
      <c r="G193" s="40"/>
      <c r="H193" s="40"/>
    </row>
    <row r="194">
      <c r="G194" s="40"/>
      <c r="H194" s="40"/>
    </row>
    <row r="195">
      <c r="G195" s="40"/>
      <c r="H195" s="40"/>
    </row>
    <row r="196">
      <c r="G196" s="40"/>
      <c r="H196" s="40"/>
    </row>
    <row r="197">
      <c r="G197" s="40"/>
      <c r="H197" s="40"/>
    </row>
    <row r="198">
      <c r="G198" s="40"/>
      <c r="H198" s="40"/>
    </row>
    <row r="199">
      <c r="G199" s="40"/>
      <c r="H199" s="40"/>
    </row>
    <row r="200">
      <c r="G200" s="40"/>
      <c r="H200" s="40"/>
    </row>
    <row r="201">
      <c r="G201" s="40"/>
      <c r="H201" s="40"/>
    </row>
    <row r="202">
      <c r="G202" s="40"/>
      <c r="H202" s="40"/>
    </row>
    <row r="203">
      <c r="G203" s="40"/>
      <c r="H203" s="40"/>
    </row>
    <row r="204">
      <c r="G204" s="40"/>
      <c r="H204" s="40"/>
    </row>
    <row r="205">
      <c r="G205" s="40"/>
      <c r="H205" s="40"/>
    </row>
    <row r="206">
      <c r="G206" s="40"/>
      <c r="H206" s="40"/>
    </row>
    <row r="207">
      <c r="G207" s="40"/>
      <c r="H207" s="40"/>
    </row>
    <row r="208">
      <c r="G208" s="40"/>
      <c r="H208" s="40"/>
    </row>
    <row r="209">
      <c r="G209" s="40"/>
      <c r="H209" s="40"/>
    </row>
    <row r="210">
      <c r="G210" s="40"/>
      <c r="H210" s="40"/>
    </row>
    <row r="211">
      <c r="G211" s="40"/>
      <c r="H211" s="40"/>
    </row>
    <row r="212">
      <c r="G212" s="40"/>
      <c r="H212" s="40"/>
    </row>
    <row r="213">
      <c r="G213" s="40"/>
      <c r="H213" s="40"/>
    </row>
    <row r="214">
      <c r="G214" s="40"/>
      <c r="H214" s="40"/>
    </row>
    <row r="215">
      <c r="G215" s="40"/>
      <c r="H215" s="40"/>
    </row>
    <row r="216">
      <c r="G216" s="40"/>
      <c r="H216" s="40"/>
    </row>
    <row r="217">
      <c r="G217" s="40"/>
      <c r="H217" s="40"/>
    </row>
    <row r="218">
      <c r="G218" s="40"/>
      <c r="H218" s="40"/>
    </row>
    <row r="219">
      <c r="G219" s="40"/>
      <c r="H219" s="40"/>
    </row>
    <row r="220">
      <c r="G220" s="40"/>
      <c r="H220" s="40"/>
    </row>
    <row r="221">
      <c r="G221" s="40"/>
      <c r="H221" s="40"/>
    </row>
    <row r="222">
      <c r="G222" s="40"/>
      <c r="H222" s="40"/>
    </row>
    <row r="223">
      <c r="G223" s="40"/>
      <c r="H223" s="40"/>
    </row>
    <row r="224">
      <c r="G224" s="40"/>
      <c r="H224" s="40"/>
    </row>
    <row r="225">
      <c r="G225" s="40"/>
      <c r="H225" s="40"/>
    </row>
    <row r="226">
      <c r="G226" s="40"/>
      <c r="H226" s="40"/>
    </row>
    <row r="227">
      <c r="G227" s="40"/>
      <c r="H227" s="40"/>
    </row>
    <row r="228">
      <c r="G228" s="40"/>
      <c r="H228" s="40"/>
    </row>
    <row r="229">
      <c r="G229" s="40"/>
      <c r="H229" s="40"/>
    </row>
    <row r="230">
      <c r="G230" s="40"/>
      <c r="H230" s="40"/>
    </row>
    <row r="231">
      <c r="G231" s="40"/>
      <c r="H231" s="40"/>
    </row>
    <row r="232">
      <c r="G232" s="40"/>
      <c r="H232" s="40"/>
    </row>
    <row r="233">
      <c r="G233" s="40"/>
      <c r="H233" s="40"/>
    </row>
    <row r="234">
      <c r="G234" s="40"/>
      <c r="H234" s="40"/>
    </row>
    <row r="235">
      <c r="G235" s="40"/>
      <c r="H235" s="40"/>
    </row>
    <row r="236">
      <c r="G236" s="40"/>
      <c r="H236" s="40"/>
    </row>
    <row r="237">
      <c r="G237" s="40"/>
      <c r="H237" s="40"/>
    </row>
    <row r="238">
      <c r="G238" s="40"/>
      <c r="H238" s="40"/>
    </row>
    <row r="239">
      <c r="G239" s="40"/>
      <c r="H239" s="40"/>
    </row>
    <row r="240">
      <c r="G240" s="40"/>
      <c r="H240" s="40"/>
    </row>
    <row r="241">
      <c r="G241" s="40"/>
      <c r="H241" s="40"/>
    </row>
    <row r="242">
      <c r="G242" s="40"/>
      <c r="H242" s="40"/>
    </row>
    <row r="243">
      <c r="G243" s="40"/>
      <c r="H243" s="40"/>
    </row>
    <row r="244">
      <c r="G244" s="40"/>
      <c r="H244" s="40"/>
    </row>
    <row r="245">
      <c r="G245" s="40"/>
      <c r="H245" s="40"/>
    </row>
    <row r="246">
      <c r="G246" s="40"/>
      <c r="H246" s="40"/>
    </row>
    <row r="247">
      <c r="G247" s="40"/>
      <c r="H247" s="40"/>
    </row>
    <row r="248">
      <c r="G248" s="40"/>
      <c r="H248" s="40"/>
    </row>
    <row r="249">
      <c r="G249" s="40"/>
      <c r="H249" s="40"/>
    </row>
    <row r="250">
      <c r="G250" s="40"/>
      <c r="H250" s="40"/>
    </row>
    <row r="251">
      <c r="G251" s="40"/>
      <c r="H251" s="40"/>
    </row>
    <row r="252">
      <c r="G252" s="40"/>
      <c r="H252" s="40"/>
    </row>
    <row r="253">
      <c r="G253" s="40"/>
      <c r="H253" s="40"/>
    </row>
    <row r="254">
      <c r="G254" s="40"/>
      <c r="H254" s="40"/>
    </row>
    <row r="255">
      <c r="G255" s="40"/>
      <c r="H255" s="40"/>
    </row>
    <row r="256">
      <c r="G256" s="40"/>
      <c r="H256" s="40"/>
    </row>
    <row r="257">
      <c r="G257" s="40"/>
      <c r="H257" s="40"/>
    </row>
    <row r="258">
      <c r="G258" s="40"/>
      <c r="H258" s="40"/>
    </row>
    <row r="259">
      <c r="G259" s="40"/>
      <c r="H259" s="40"/>
    </row>
    <row r="260">
      <c r="G260" s="40"/>
      <c r="H260" s="40"/>
    </row>
    <row r="261">
      <c r="G261" s="40"/>
      <c r="H261" s="40"/>
    </row>
    <row r="262">
      <c r="G262" s="40"/>
      <c r="H262" s="40"/>
    </row>
    <row r="263">
      <c r="G263" s="40"/>
      <c r="H263" s="40"/>
    </row>
    <row r="264">
      <c r="G264" s="40"/>
      <c r="H264" s="40"/>
    </row>
    <row r="265">
      <c r="G265" s="40"/>
      <c r="H265" s="40"/>
    </row>
    <row r="266">
      <c r="G266" s="40"/>
      <c r="H266" s="40"/>
    </row>
    <row r="267">
      <c r="G267" s="40"/>
      <c r="H267" s="40"/>
    </row>
    <row r="268">
      <c r="G268" s="40"/>
      <c r="H268" s="40"/>
    </row>
    <row r="269">
      <c r="G269" s="40"/>
      <c r="H269" s="40"/>
    </row>
    <row r="270">
      <c r="G270" s="40"/>
      <c r="H270" s="40"/>
    </row>
    <row r="271">
      <c r="G271" s="40"/>
      <c r="H271" s="40"/>
    </row>
    <row r="272">
      <c r="G272" s="40"/>
      <c r="H272" s="40"/>
    </row>
    <row r="273">
      <c r="G273" s="40"/>
      <c r="H273" s="40"/>
    </row>
    <row r="274">
      <c r="G274" s="40"/>
      <c r="H274" s="40"/>
    </row>
    <row r="275">
      <c r="G275" s="40"/>
      <c r="H275" s="40"/>
    </row>
    <row r="276">
      <c r="G276" s="40"/>
      <c r="H276" s="40"/>
    </row>
    <row r="277">
      <c r="G277" s="40"/>
      <c r="H277" s="40"/>
    </row>
    <row r="278">
      <c r="G278" s="40"/>
      <c r="H278" s="40"/>
    </row>
    <row r="279">
      <c r="G279" s="40"/>
      <c r="H279" s="40"/>
    </row>
    <row r="280">
      <c r="G280" s="40"/>
      <c r="H280" s="40"/>
    </row>
    <row r="281">
      <c r="G281" s="40"/>
      <c r="H281" s="40"/>
    </row>
    <row r="282">
      <c r="G282" s="40"/>
      <c r="H282" s="40"/>
    </row>
    <row r="283">
      <c r="G283" s="40"/>
      <c r="H283" s="40"/>
    </row>
    <row r="284">
      <c r="G284" s="40"/>
      <c r="H284" s="40"/>
    </row>
    <row r="285">
      <c r="G285" s="40"/>
      <c r="H285" s="40"/>
    </row>
    <row r="286">
      <c r="G286" s="40"/>
      <c r="H286" s="40"/>
    </row>
    <row r="287">
      <c r="G287" s="40"/>
      <c r="H287" s="40"/>
    </row>
    <row r="288">
      <c r="G288" s="40"/>
      <c r="H288" s="40"/>
    </row>
    <row r="289">
      <c r="G289" s="40"/>
      <c r="H289" s="40"/>
    </row>
    <row r="290">
      <c r="G290" s="40"/>
      <c r="H290" s="40"/>
    </row>
    <row r="291">
      <c r="G291" s="40"/>
      <c r="H291" s="40"/>
    </row>
    <row r="292">
      <c r="G292" s="40"/>
      <c r="H292" s="40"/>
    </row>
    <row r="293">
      <c r="G293" s="40"/>
      <c r="H293" s="40"/>
    </row>
    <row r="294">
      <c r="G294" s="40"/>
      <c r="H294" s="40"/>
    </row>
    <row r="295">
      <c r="G295" s="40"/>
      <c r="H295" s="40"/>
    </row>
    <row r="296">
      <c r="G296" s="40"/>
      <c r="H296" s="40"/>
    </row>
    <row r="297">
      <c r="G297" s="40"/>
      <c r="H297" s="40"/>
    </row>
    <row r="298">
      <c r="G298" s="40"/>
      <c r="H298" s="40"/>
    </row>
    <row r="299">
      <c r="G299" s="40"/>
      <c r="H299" s="40"/>
    </row>
    <row r="300">
      <c r="G300" s="40"/>
      <c r="H300" s="40"/>
    </row>
    <row r="301">
      <c r="G301" s="40"/>
      <c r="H301" s="40"/>
    </row>
    <row r="302">
      <c r="G302" s="40"/>
      <c r="H302" s="40"/>
    </row>
    <row r="303">
      <c r="G303" s="40"/>
      <c r="H303" s="40"/>
    </row>
    <row r="304">
      <c r="G304" s="40"/>
      <c r="H304" s="40"/>
    </row>
    <row r="305">
      <c r="G305" s="40"/>
      <c r="H305" s="40"/>
    </row>
    <row r="306">
      <c r="G306" s="40"/>
      <c r="H306" s="40"/>
    </row>
    <row r="307">
      <c r="G307" s="40"/>
      <c r="H307" s="40"/>
    </row>
    <row r="308">
      <c r="G308" s="40"/>
      <c r="H308" s="40"/>
    </row>
    <row r="309">
      <c r="G309" s="40"/>
      <c r="H309" s="40"/>
    </row>
    <row r="310">
      <c r="G310" s="40"/>
      <c r="H310" s="40"/>
    </row>
    <row r="311">
      <c r="G311" s="40"/>
      <c r="H311" s="40"/>
    </row>
    <row r="312">
      <c r="G312" s="40"/>
      <c r="H312" s="40"/>
    </row>
    <row r="313">
      <c r="G313" s="40"/>
      <c r="H313" s="40"/>
    </row>
    <row r="314">
      <c r="G314" s="40"/>
      <c r="H314" s="40"/>
    </row>
    <row r="315">
      <c r="G315" s="40"/>
      <c r="H315" s="40"/>
    </row>
    <row r="316">
      <c r="G316" s="40"/>
      <c r="H316" s="40"/>
    </row>
    <row r="317">
      <c r="G317" s="40"/>
      <c r="H317" s="40"/>
    </row>
    <row r="318">
      <c r="G318" s="40"/>
      <c r="H318" s="40"/>
    </row>
    <row r="319">
      <c r="G319" s="40"/>
      <c r="H319" s="40"/>
    </row>
    <row r="320">
      <c r="G320" s="40"/>
      <c r="H320" s="40"/>
    </row>
    <row r="321">
      <c r="G321" s="40"/>
      <c r="H321" s="40"/>
    </row>
    <row r="322">
      <c r="G322" s="40"/>
      <c r="H322" s="40"/>
    </row>
    <row r="323">
      <c r="G323" s="40"/>
      <c r="H323" s="40"/>
    </row>
    <row r="324">
      <c r="G324" s="40"/>
      <c r="H324" s="40"/>
    </row>
    <row r="325">
      <c r="G325" s="40"/>
      <c r="H325" s="40"/>
    </row>
    <row r="326">
      <c r="G326" s="40"/>
      <c r="H326" s="40"/>
    </row>
    <row r="327">
      <c r="G327" s="40"/>
      <c r="H327" s="40"/>
    </row>
    <row r="328">
      <c r="G328" s="40"/>
      <c r="H328" s="40"/>
    </row>
    <row r="329">
      <c r="G329" s="40"/>
      <c r="H329" s="40"/>
    </row>
    <row r="330">
      <c r="G330" s="40"/>
      <c r="H330" s="40"/>
    </row>
    <row r="331">
      <c r="G331" s="40"/>
      <c r="H331" s="40"/>
    </row>
    <row r="332">
      <c r="G332" s="40"/>
      <c r="H332" s="40"/>
    </row>
    <row r="333">
      <c r="G333" s="40"/>
      <c r="H333" s="40"/>
    </row>
    <row r="334">
      <c r="G334" s="40"/>
      <c r="H334" s="40"/>
    </row>
    <row r="335">
      <c r="G335" s="40"/>
      <c r="H335" s="40"/>
    </row>
    <row r="336">
      <c r="G336" s="40"/>
      <c r="H336" s="40"/>
    </row>
    <row r="337">
      <c r="G337" s="40"/>
      <c r="H337" s="40"/>
    </row>
    <row r="338">
      <c r="G338" s="40"/>
      <c r="H338" s="40"/>
    </row>
    <row r="339">
      <c r="G339" s="40"/>
      <c r="H339" s="40"/>
    </row>
    <row r="340">
      <c r="G340" s="40"/>
      <c r="H340" s="40"/>
    </row>
    <row r="341">
      <c r="G341" s="40"/>
      <c r="H341" s="40"/>
    </row>
    <row r="342">
      <c r="G342" s="40"/>
      <c r="H342" s="40"/>
    </row>
    <row r="343">
      <c r="G343" s="40"/>
      <c r="H343" s="40"/>
    </row>
    <row r="344">
      <c r="G344" s="40"/>
      <c r="H344" s="40"/>
    </row>
    <row r="345">
      <c r="G345" s="40"/>
      <c r="H345" s="40"/>
    </row>
    <row r="346">
      <c r="G346" s="40"/>
      <c r="H346" s="40"/>
    </row>
    <row r="347">
      <c r="G347" s="40"/>
      <c r="H347" s="40"/>
    </row>
    <row r="348">
      <c r="G348" s="40"/>
      <c r="H348" s="40"/>
    </row>
    <row r="349">
      <c r="G349" s="40"/>
      <c r="H349" s="40"/>
    </row>
    <row r="350">
      <c r="G350" s="40"/>
      <c r="H350" s="40"/>
    </row>
    <row r="351">
      <c r="G351" s="40"/>
      <c r="H351" s="40"/>
    </row>
    <row r="352">
      <c r="G352" s="40"/>
      <c r="H352" s="40"/>
    </row>
    <row r="353">
      <c r="G353" s="40"/>
      <c r="H353" s="40"/>
    </row>
    <row r="354">
      <c r="G354" s="40"/>
      <c r="H354" s="40"/>
    </row>
    <row r="355">
      <c r="G355" s="40"/>
      <c r="H355" s="40"/>
    </row>
    <row r="356">
      <c r="G356" s="40"/>
      <c r="H356" s="40"/>
    </row>
    <row r="357">
      <c r="G357" s="40"/>
      <c r="H357" s="40"/>
    </row>
    <row r="358">
      <c r="G358" s="40"/>
      <c r="H358" s="40"/>
    </row>
    <row r="359">
      <c r="G359" s="40"/>
      <c r="H359" s="40"/>
    </row>
    <row r="360">
      <c r="G360" s="40"/>
      <c r="H360" s="40"/>
    </row>
    <row r="361">
      <c r="G361" s="40"/>
      <c r="H361" s="40"/>
    </row>
    <row r="362">
      <c r="G362" s="40"/>
      <c r="H362" s="40"/>
    </row>
    <row r="363">
      <c r="G363" s="40"/>
      <c r="H363" s="40"/>
    </row>
    <row r="364">
      <c r="G364" s="40"/>
      <c r="H364" s="40"/>
    </row>
    <row r="365">
      <c r="G365" s="40"/>
      <c r="H365" s="40"/>
    </row>
    <row r="366">
      <c r="G366" s="40"/>
      <c r="H366" s="40"/>
    </row>
    <row r="367">
      <c r="G367" s="40"/>
      <c r="H367" s="40"/>
    </row>
    <row r="368">
      <c r="G368" s="40"/>
      <c r="H368" s="40"/>
    </row>
    <row r="369">
      <c r="G369" s="40"/>
      <c r="H369" s="40"/>
    </row>
    <row r="370">
      <c r="G370" s="40"/>
      <c r="H370" s="40"/>
    </row>
    <row r="371">
      <c r="G371" s="40"/>
      <c r="H371" s="40"/>
    </row>
    <row r="372">
      <c r="G372" s="40"/>
      <c r="H372" s="40"/>
    </row>
    <row r="373">
      <c r="G373" s="40"/>
      <c r="H373" s="40"/>
    </row>
    <row r="374">
      <c r="G374" s="40"/>
      <c r="H374" s="40"/>
    </row>
    <row r="375">
      <c r="G375" s="40"/>
      <c r="H375" s="40"/>
    </row>
    <row r="376">
      <c r="G376" s="40"/>
      <c r="H376" s="40"/>
    </row>
    <row r="377">
      <c r="G377" s="40"/>
      <c r="H377" s="40"/>
    </row>
    <row r="378">
      <c r="G378" s="40"/>
      <c r="H378" s="40"/>
    </row>
    <row r="379">
      <c r="G379" s="40"/>
      <c r="H379" s="40"/>
    </row>
    <row r="380">
      <c r="G380" s="40"/>
      <c r="H380" s="40"/>
    </row>
    <row r="381">
      <c r="G381" s="40"/>
      <c r="H381" s="40"/>
    </row>
    <row r="382">
      <c r="G382" s="40"/>
      <c r="H382" s="40"/>
    </row>
    <row r="383">
      <c r="G383" s="40"/>
      <c r="H383" s="40"/>
    </row>
    <row r="384">
      <c r="G384" s="40"/>
      <c r="H384" s="40"/>
    </row>
    <row r="385">
      <c r="G385" s="40"/>
      <c r="H385" s="40"/>
    </row>
    <row r="386">
      <c r="G386" s="40"/>
      <c r="H386" s="40"/>
    </row>
    <row r="387">
      <c r="G387" s="40"/>
      <c r="H387" s="40"/>
    </row>
    <row r="388">
      <c r="G388" s="40"/>
      <c r="H388" s="40"/>
    </row>
    <row r="389">
      <c r="G389" s="40"/>
      <c r="H389" s="40"/>
    </row>
    <row r="390">
      <c r="G390" s="40"/>
      <c r="H390" s="40"/>
    </row>
    <row r="391">
      <c r="G391" s="40"/>
      <c r="H391" s="40"/>
    </row>
    <row r="392">
      <c r="G392" s="40"/>
      <c r="H392" s="40"/>
    </row>
    <row r="393">
      <c r="G393" s="40"/>
      <c r="H393" s="40"/>
    </row>
    <row r="394">
      <c r="G394" s="40"/>
      <c r="H394" s="40"/>
    </row>
    <row r="395">
      <c r="G395" s="40"/>
      <c r="H395" s="40"/>
    </row>
    <row r="396">
      <c r="G396" s="40"/>
      <c r="H396" s="40"/>
    </row>
    <row r="397">
      <c r="G397" s="40"/>
      <c r="H397" s="40"/>
    </row>
    <row r="398">
      <c r="G398" s="40"/>
      <c r="H398" s="40"/>
    </row>
    <row r="399">
      <c r="G399" s="40"/>
      <c r="H399" s="40"/>
    </row>
    <row r="400">
      <c r="G400" s="40"/>
      <c r="H400" s="40"/>
    </row>
    <row r="401">
      <c r="G401" s="40"/>
      <c r="H401" s="40"/>
    </row>
    <row r="402">
      <c r="G402" s="40"/>
      <c r="H402" s="40"/>
    </row>
    <row r="403">
      <c r="G403" s="40"/>
      <c r="H403" s="40"/>
    </row>
    <row r="404">
      <c r="G404" s="40"/>
      <c r="H404" s="40"/>
    </row>
    <row r="405">
      <c r="G405" s="40"/>
      <c r="H405" s="40"/>
    </row>
    <row r="406">
      <c r="G406" s="40"/>
      <c r="H406" s="40"/>
    </row>
    <row r="407">
      <c r="G407" s="40"/>
      <c r="H407" s="40"/>
    </row>
    <row r="408">
      <c r="G408" s="40"/>
      <c r="H408" s="40"/>
    </row>
    <row r="409">
      <c r="G409" s="40"/>
      <c r="H409" s="40"/>
    </row>
    <row r="410">
      <c r="G410" s="40"/>
      <c r="H410" s="40"/>
    </row>
    <row r="411">
      <c r="G411" s="40"/>
      <c r="H411" s="40"/>
    </row>
    <row r="412">
      <c r="G412" s="40"/>
      <c r="H412" s="40"/>
    </row>
    <row r="413">
      <c r="G413" s="40"/>
      <c r="H413" s="40"/>
    </row>
    <row r="414">
      <c r="G414" s="40"/>
      <c r="H414" s="40"/>
    </row>
    <row r="415">
      <c r="G415" s="40"/>
      <c r="H415" s="40"/>
    </row>
    <row r="416">
      <c r="G416" s="40"/>
      <c r="H416" s="40"/>
    </row>
    <row r="417">
      <c r="G417" s="40"/>
      <c r="H417" s="40"/>
    </row>
    <row r="418">
      <c r="G418" s="40"/>
      <c r="H418" s="40"/>
    </row>
    <row r="419">
      <c r="G419" s="40"/>
      <c r="H419" s="40"/>
    </row>
    <row r="420">
      <c r="G420" s="40"/>
      <c r="H420" s="40"/>
    </row>
    <row r="421">
      <c r="G421" s="40"/>
      <c r="H421" s="40"/>
    </row>
    <row r="422">
      <c r="G422" s="40"/>
      <c r="H422" s="40"/>
    </row>
    <row r="423">
      <c r="G423" s="40"/>
      <c r="H423" s="40"/>
    </row>
    <row r="424">
      <c r="G424" s="40"/>
      <c r="H424" s="40"/>
    </row>
    <row r="425">
      <c r="G425" s="40"/>
      <c r="H425" s="40"/>
    </row>
    <row r="426">
      <c r="G426" s="40"/>
      <c r="H426" s="40"/>
    </row>
    <row r="427">
      <c r="G427" s="40"/>
      <c r="H427" s="40"/>
    </row>
    <row r="428">
      <c r="G428" s="40"/>
      <c r="H428" s="40"/>
    </row>
    <row r="429">
      <c r="G429" s="40"/>
      <c r="H429" s="40"/>
    </row>
    <row r="430">
      <c r="G430" s="40"/>
      <c r="H430" s="40"/>
    </row>
    <row r="431">
      <c r="G431" s="40"/>
      <c r="H431" s="40"/>
    </row>
    <row r="432">
      <c r="G432" s="40"/>
      <c r="H432" s="40"/>
    </row>
    <row r="433">
      <c r="G433" s="40"/>
      <c r="H433" s="40"/>
    </row>
    <row r="434">
      <c r="G434" s="40"/>
      <c r="H434" s="40"/>
    </row>
    <row r="435">
      <c r="G435" s="40"/>
      <c r="H435" s="40"/>
    </row>
    <row r="436">
      <c r="G436" s="40"/>
      <c r="H436" s="40"/>
    </row>
    <row r="437">
      <c r="G437" s="40"/>
      <c r="H437" s="40"/>
    </row>
    <row r="438">
      <c r="G438" s="40"/>
      <c r="H438" s="40"/>
    </row>
    <row r="439">
      <c r="G439" s="40"/>
      <c r="H439" s="40"/>
    </row>
    <row r="440">
      <c r="G440" s="40"/>
      <c r="H440" s="40"/>
    </row>
    <row r="441">
      <c r="G441" s="40"/>
      <c r="H441" s="40"/>
    </row>
    <row r="442">
      <c r="G442" s="40"/>
      <c r="H442" s="40"/>
    </row>
    <row r="443">
      <c r="G443" s="40"/>
      <c r="H443" s="40"/>
    </row>
    <row r="444">
      <c r="G444" s="40"/>
      <c r="H444" s="40"/>
    </row>
    <row r="445">
      <c r="G445" s="40"/>
      <c r="H445" s="40"/>
    </row>
    <row r="446">
      <c r="G446" s="40"/>
      <c r="H446" s="40"/>
    </row>
    <row r="447">
      <c r="G447" s="40"/>
      <c r="H447" s="40"/>
    </row>
    <row r="448">
      <c r="G448" s="40"/>
      <c r="H448" s="40"/>
    </row>
    <row r="449">
      <c r="G449" s="40"/>
      <c r="H449" s="40"/>
    </row>
    <row r="450">
      <c r="G450" s="40"/>
      <c r="H450" s="40"/>
    </row>
    <row r="451">
      <c r="G451" s="40"/>
      <c r="H451" s="40"/>
    </row>
    <row r="452">
      <c r="G452" s="40"/>
      <c r="H452" s="40"/>
    </row>
    <row r="453">
      <c r="G453" s="40"/>
      <c r="H453" s="40"/>
    </row>
    <row r="454">
      <c r="G454" s="40"/>
      <c r="H454" s="40"/>
    </row>
    <row r="455">
      <c r="G455" s="40"/>
      <c r="H455" s="40"/>
    </row>
    <row r="456">
      <c r="G456" s="40"/>
      <c r="H456" s="40"/>
    </row>
    <row r="457">
      <c r="G457" s="40"/>
      <c r="H457" s="40"/>
    </row>
    <row r="458">
      <c r="G458" s="40"/>
      <c r="H458" s="40"/>
    </row>
    <row r="459">
      <c r="G459" s="40"/>
      <c r="H459" s="40"/>
    </row>
    <row r="460">
      <c r="G460" s="40"/>
      <c r="H460" s="40"/>
    </row>
    <row r="461">
      <c r="G461" s="40"/>
      <c r="H461" s="40"/>
    </row>
    <row r="462">
      <c r="G462" s="40"/>
      <c r="H462" s="40"/>
    </row>
    <row r="463">
      <c r="G463" s="40"/>
      <c r="H463" s="40"/>
    </row>
    <row r="464">
      <c r="G464" s="40"/>
      <c r="H464" s="40"/>
    </row>
    <row r="465">
      <c r="G465" s="40"/>
      <c r="H465" s="40"/>
    </row>
    <row r="466">
      <c r="G466" s="40"/>
      <c r="H466" s="40"/>
    </row>
    <row r="467">
      <c r="G467" s="40"/>
      <c r="H467" s="40"/>
    </row>
    <row r="468">
      <c r="G468" s="40"/>
      <c r="H468" s="40"/>
    </row>
    <row r="469">
      <c r="G469" s="40"/>
      <c r="H469" s="40"/>
    </row>
    <row r="470">
      <c r="G470" s="40"/>
      <c r="H470" s="40"/>
    </row>
    <row r="471">
      <c r="G471" s="40"/>
      <c r="H471" s="40"/>
    </row>
    <row r="472">
      <c r="G472" s="40"/>
      <c r="H472" s="40"/>
    </row>
    <row r="473">
      <c r="G473" s="40"/>
      <c r="H473" s="40"/>
    </row>
    <row r="474">
      <c r="G474" s="40"/>
      <c r="H474" s="40"/>
    </row>
    <row r="475">
      <c r="G475" s="40"/>
      <c r="H475" s="40"/>
    </row>
    <row r="476">
      <c r="G476" s="40"/>
      <c r="H476" s="40"/>
    </row>
    <row r="477">
      <c r="G477" s="40"/>
      <c r="H477" s="40"/>
    </row>
    <row r="478">
      <c r="G478" s="40"/>
      <c r="H478" s="40"/>
    </row>
    <row r="479">
      <c r="G479" s="40"/>
      <c r="H479" s="40"/>
    </row>
    <row r="480">
      <c r="G480" s="40"/>
      <c r="H480" s="40"/>
    </row>
    <row r="481">
      <c r="G481" s="40"/>
      <c r="H481" s="40"/>
    </row>
    <row r="482">
      <c r="G482" s="40"/>
      <c r="H482" s="40"/>
    </row>
    <row r="483">
      <c r="G483" s="40"/>
      <c r="H483" s="40"/>
    </row>
    <row r="484">
      <c r="G484" s="40"/>
      <c r="H484" s="40"/>
    </row>
    <row r="485">
      <c r="G485" s="40"/>
      <c r="H485" s="40"/>
    </row>
    <row r="486">
      <c r="G486" s="40"/>
      <c r="H486" s="40"/>
    </row>
    <row r="487">
      <c r="G487" s="40"/>
      <c r="H487" s="40"/>
    </row>
    <row r="488">
      <c r="G488" s="40"/>
      <c r="H488" s="40"/>
    </row>
    <row r="489">
      <c r="G489" s="40"/>
      <c r="H489" s="40"/>
    </row>
    <row r="490">
      <c r="G490" s="40"/>
      <c r="H490" s="40"/>
    </row>
    <row r="491">
      <c r="G491" s="40"/>
      <c r="H491" s="40"/>
    </row>
    <row r="492">
      <c r="G492" s="40"/>
      <c r="H492" s="40"/>
    </row>
    <row r="493">
      <c r="G493" s="40"/>
      <c r="H493" s="40"/>
    </row>
    <row r="494">
      <c r="G494" s="40"/>
      <c r="H494" s="40"/>
    </row>
    <row r="495">
      <c r="G495" s="40"/>
      <c r="H495" s="40"/>
    </row>
    <row r="496">
      <c r="G496" s="40"/>
      <c r="H496" s="40"/>
    </row>
    <row r="497">
      <c r="G497" s="40"/>
      <c r="H497" s="40"/>
    </row>
    <row r="498">
      <c r="G498" s="40"/>
      <c r="H498" s="40"/>
    </row>
    <row r="499">
      <c r="G499" s="40"/>
      <c r="H499" s="40"/>
    </row>
    <row r="500">
      <c r="G500" s="40"/>
      <c r="H500" s="40"/>
    </row>
    <row r="501">
      <c r="G501" s="40"/>
      <c r="H501" s="40"/>
    </row>
    <row r="502">
      <c r="G502" s="40"/>
      <c r="H502" s="40"/>
    </row>
    <row r="503">
      <c r="G503" s="40"/>
      <c r="H503" s="40"/>
    </row>
    <row r="504">
      <c r="G504" s="40"/>
      <c r="H504" s="40"/>
    </row>
    <row r="505">
      <c r="G505" s="40"/>
      <c r="H505" s="40"/>
    </row>
    <row r="506">
      <c r="G506" s="40"/>
      <c r="H506" s="40"/>
    </row>
    <row r="507">
      <c r="G507" s="40"/>
      <c r="H507" s="40"/>
    </row>
    <row r="508">
      <c r="G508" s="40"/>
      <c r="H508" s="40"/>
    </row>
    <row r="509">
      <c r="G509" s="40"/>
      <c r="H509" s="40"/>
    </row>
    <row r="510">
      <c r="G510" s="40"/>
      <c r="H510" s="40"/>
    </row>
    <row r="511">
      <c r="G511" s="40"/>
      <c r="H511" s="40"/>
    </row>
    <row r="512">
      <c r="G512" s="40"/>
      <c r="H512" s="40"/>
    </row>
    <row r="513">
      <c r="G513" s="40"/>
      <c r="H513" s="40"/>
    </row>
    <row r="514">
      <c r="G514" s="40"/>
      <c r="H514" s="40"/>
    </row>
    <row r="515">
      <c r="G515" s="40"/>
      <c r="H515" s="40"/>
    </row>
    <row r="516">
      <c r="G516" s="40"/>
      <c r="H516" s="40"/>
    </row>
    <row r="517">
      <c r="G517" s="40"/>
      <c r="H517" s="40"/>
    </row>
    <row r="518">
      <c r="G518" s="40"/>
      <c r="H518" s="40"/>
    </row>
    <row r="519">
      <c r="G519" s="40"/>
      <c r="H519" s="40"/>
    </row>
    <row r="520">
      <c r="G520" s="40"/>
      <c r="H520" s="40"/>
    </row>
    <row r="521">
      <c r="G521" s="40"/>
      <c r="H521" s="40"/>
    </row>
    <row r="522">
      <c r="G522" s="40"/>
      <c r="H522" s="40"/>
    </row>
    <row r="523">
      <c r="G523" s="40"/>
      <c r="H523" s="40"/>
    </row>
    <row r="524">
      <c r="G524" s="40"/>
      <c r="H524" s="40"/>
    </row>
    <row r="525">
      <c r="G525" s="40"/>
      <c r="H525" s="40"/>
    </row>
    <row r="526">
      <c r="G526" s="40"/>
      <c r="H526" s="40"/>
    </row>
    <row r="527">
      <c r="G527" s="40"/>
      <c r="H527" s="40"/>
    </row>
    <row r="528">
      <c r="G528" s="40"/>
      <c r="H528" s="40"/>
    </row>
    <row r="529">
      <c r="G529" s="40"/>
      <c r="H529" s="40"/>
    </row>
    <row r="530">
      <c r="G530" s="40"/>
      <c r="H530" s="40"/>
    </row>
    <row r="531">
      <c r="G531" s="40"/>
      <c r="H531" s="40"/>
    </row>
    <row r="532">
      <c r="G532" s="40"/>
      <c r="H532" s="40"/>
    </row>
    <row r="533">
      <c r="G533" s="40"/>
      <c r="H533" s="40"/>
    </row>
    <row r="534">
      <c r="G534" s="40"/>
      <c r="H534" s="40"/>
    </row>
    <row r="535">
      <c r="G535" s="40"/>
      <c r="H535" s="40"/>
    </row>
    <row r="536">
      <c r="G536" s="40"/>
      <c r="H536" s="40"/>
    </row>
    <row r="537">
      <c r="G537" s="40"/>
      <c r="H537" s="40"/>
    </row>
    <row r="538">
      <c r="G538" s="40"/>
      <c r="H538" s="40"/>
    </row>
    <row r="539">
      <c r="G539" s="40"/>
      <c r="H539" s="40"/>
    </row>
    <row r="540">
      <c r="G540" s="40"/>
      <c r="H540" s="40"/>
    </row>
    <row r="541">
      <c r="G541" s="40"/>
      <c r="H541" s="40"/>
    </row>
    <row r="542">
      <c r="G542" s="40"/>
      <c r="H542" s="40"/>
    </row>
    <row r="543">
      <c r="G543" s="40"/>
      <c r="H543" s="40"/>
    </row>
    <row r="544">
      <c r="G544" s="40"/>
      <c r="H544" s="40"/>
    </row>
    <row r="545">
      <c r="G545" s="40"/>
      <c r="H545" s="40"/>
    </row>
    <row r="546">
      <c r="G546" s="40"/>
      <c r="H546" s="40"/>
    </row>
    <row r="547">
      <c r="G547" s="40"/>
      <c r="H547" s="40"/>
    </row>
    <row r="548">
      <c r="G548" s="40"/>
      <c r="H548" s="40"/>
    </row>
    <row r="549">
      <c r="G549" s="40"/>
      <c r="H549" s="40"/>
    </row>
    <row r="550">
      <c r="G550" s="40"/>
      <c r="H550" s="40"/>
    </row>
    <row r="551">
      <c r="G551" s="40"/>
      <c r="H551" s="40"/>
    </row>
    <row r="552">
      <c r="G552" s="40"/>
      <c r="H552" s="40"/>
    </row>
    <row r="553">
      <c r="G553" s="40"/>
      <c r="H553" s="40"/>
    </row>
    <row r="554">
      <c r="G554" s="40"/>
      <c r="H554" s="40"/>
    </row>
    <row r="555">
      <c r="G555" s="40"/>
      <c r="H555" s="40"/>
    </row>
    <row r="556">
      <c r="G556" s="40"/>
      <c r="H556" s="40"/>
    </row>
    <row r="557">
      <c r="G557" s="40"/>
      <c r="H557" s="40"/>
    </row>
    <row r="558">
      <c r="G558" s="40"/>
      <c r="H558" s="40"/>
    </row>
    <row r="559">
      <c r="G559" s="40"/>
      <c r="H559" s="40"/>
    </row>
    <row r="560">
      <c r="G560" s="40"/>
      <c r="H560" s="40"/>
    </row>
    <row r="561">
      <c r="G561" s="40"/>
      <c r="H561" s="40"/>
    </row>
    <row r="562">
      <c r="G562" s="40"/>
      <c r="H562" s="40"/>
    </row>
    <row r="563">
      <c r="G563" s="40"/>
      <c r="H563" s="40"/>
    </row>
    <row r="564">
      <c r="G564" s="40"/>
      <c r="H564" s="40"/>
    </row>
    <row r="565">
      <c r="G565" s="40"/>
      <c r="H565" s="40"/>
    </row>
    <row r="566">
      <c r="G566" s="40"/>
      <c r="H566" s="40"/>
    </row>
    <row r="567">
      <c r="G567" s="40"/>
      <c r="H567" s="40"/>
    </row>
    <row r="568">
      <c r="G568" s="40"/>
      <c r="H568" s="40"/>
    </row>
    <row r="569">
      <c r="G569" s="40"/>
      <c r="H569" s="40"/>
    </row>
    <row r="570">
      <c r="G570" s="40"/>
      <c r="H570" s="40"/>
    </row>
    <row r="571">
      <c r="G571" s="40"/>
      <c r="H571" s="40"/>
    </row>
    <row r="572">
      <c r="G572" s="40"/>
      <c r="H572" s="40"/>
    </row>
    <row r="573">
      <c r="G573" s="40"/>
      <c r="H573" s="40"/>
    </row>
    <row r="574">
      <c r="G574" s="40"/>
      <c r="H574" s="40"/>
    </row>
    <row r="575">
      <c r="G575" s="40"/>
      <c r="H575" s="40"/>
    </row>
    <row r="576">
      <c r="G576" s="40"/>
      <c r="H576" s="40"/>
    </row>
    <row r="577">
      <c r="G577" s="40"/>
      <c r="H577" s="40"/>
    </row>
    <row r="578">
      <c r="G578" s="40"/>
      <c r="H578" s="40"/>
    </row>
    <row r="579">
      <c r="G579" s="40"/>
      <c r="H579" s="40"/>
    </row>
    <row r="580">
      <c r="G580" s="40"/>
      <c r="H580" s="40"/>
    </row>
    <row r="581">
      <c r="G581" s="40"/>
      <c r="H581" s="40"/>
    </row>
    <row r="582">
      <c r="G582" s="40"/>
      <c r="H582" s="40"/>
    </row>
    <row r="583">
      <c r="G583" s="40"/>
      <c r="H583" s="40"/>
    </row>
    <row r="584">
      <c r="G584" s="40"/>
      <c r="H584" s="40"/>
    </row>
    <row r="585">
      <c r="G585" s="40"/>
      <c r="H585" s="40"/>
    </row>
    <row r="586">
      <c r="G586" s="40"/>
      <c r="H586" s="40"/>
    </row>
    <row r="587">
      <c r="G587" s="40"/>
      <c r="H587" s="40"/>
    </row>
    <row r="588">
      <c r="G588" s="40"/>
      <c r="H588" s="40"/>
    </row>
    <row r="589">
      <c r="G589" s="40"/>
      <c r="H589" s="40"/>
    </row>
    <row r="590">
      <c r="G590" s="40"/>
      <c r="H590" s="40"/>
    </row>
    <row r="591">
      <c r="G591" s="40"/>
      <c r="H591" s="40"/>
    </row>
    <row r="592">
      <c r="G592" s="40"/>
      <c r="H592" s="40"/>
    </row>
    <row r="593">
      <c r="G593" s="40"/>
      <c r="H593" s="40"/>
    </row>
    <row r="594">
      <c r="G594" s="40"/>
      <c r="H594" s="40"/>
    </row>
    <row r="595">
      <c r="G595" s="40"/>
      <c r="H595" s="40"/>
    </row>
    <row r="596">
      <c r="G596" s="40"/>
      <c r="H596" s="40"/>
    </row>
    <row r="597">
      <c r="G597" s="40"/>
      <c r="H597" s="40"/>
    </row>
    <row r="598">
      <c r="G598" s="40"/>
      <c r="H598" s="40"/>
    </row>
    <row r="599">
      <c r="G599" s="40"/>
      <c r="H599" s="40"/>
    </row>
    <row r="600">
      <c r="G600" s="40"/>
      <c r="H600" s="40"/>
    </row>
    <row r="601">
      <c r="G601" s="40"/>
      <c r="H601" s="40"/>
    </row>
    <row r="602">
      <c r="G602" s="40"/>
      <c r="H602" s="40"/>
    </row>
    <row r="603">
      <c r="G603" s="40"/>
      <c r="H603" s="40"/>
    </row>
    <row r="604">
      <c r="G604" s="40"/>
      <c r="H604" s="40"/>
    </row>
    <row r="605">
      <c r="G605" s="40"/>
      <c r="H605" s="40"/>
    </row>
    <row r="606">
      <c r="G606" s="40"/>
      <c r="H606" s="40"/>
    </row>
    <row r="607">
      <c r="G607" s="40"/>
      <c r="H607" s="40"/>
    </row>
    <row r="608">
      <c r="G608" s="40"/>
      <c r="H608" s="40"/>
    </row>
    <row r="609">
      <c r="G609" s="40"/>
      <c r="H609" s="40"/>
    </row>
    <row r="610">
      <c r="G610" s="40"/>
      <c r="H610" s="40"/>
    </row>
    <row r="611">
      <c r="G611" s="40"/>
      <c r="H611" s="40"/>
    </row>
    <row r="612">
      <c r="G612" s="40"/>
      <c r="H612" s="40"/>
    </row>
    <row r="613">
      <c r="G613" s="40"/>
      <c r="H613" s="40"/>
    </row>
    <row r="614">
      <c r="G614" s="40"/>
      <c r="H614" s="40"/>
    </row>
    <row r="615">
      <c r="G615" s="40"/>
      <c r="H615" s="40"/>
    </row>
    <row r="616">
      <c r="G616" s="40"/>
      <c r="H616" s="40"/>
    </row>
    <row r="617">
      <c r="G617" s="40"/>
      <c r="H617" s="40"/>
    </row>
    <row r="618">
      <c r="G618" s="40"/>
      <c r="H618" s="40"/>
    </row>
    <row r="619">
      <c r="G619" s="40"/>
      <c r="H619" s="40"/>
    </row>
    <row r="620">
      <c r="G620" s="40"/>
      <c r="H620" s="40"/>
    </row>
    <row r="621">
      <c r="G621" s="40"/>
      <c r="H621" s="40"/>
    </row>
    <row r="622">
      <c r="G622" s="40"/>
      <c r="H622" s="40"/>
    </row>
    <row r="623">
      <c r="G623" s="40"/>
      <c r="H623" s="40"/>
    </row>
    <row r="624">
      <c r="G624" s="40"/>
      <c r="H624" s="40"/>
    </row>
    <row r="625">
      <c r="G625" s="40"/>
      <c r="H625" s="40"/>
    </row>
    <row r="626">
      <c r="G626" s="40"/>
      <c r="H626" s="40"/>
    </row>
    <row r="627">
      <c r="G627" s="40"/>
      <c r="H627" s="40"/>
    </row>
    <row r="628">
      <c r="G628" s="40"/>
      <c r="H628" s="40"/>
    </row>
    <row r="629">
      <c r="G629" s="40"/>
      <c r="H629" s="40"/>
    </row>
    <row r="630">
      <c r="G630" s="40"/>
      <c r="H630" s="40"/>
    </row>
    <row r="631">
      <c r="G631" s="40"/>
      <c r="H631" s="40"/>
    </row>
    <row r="632">
      <c r="G632" s="40"/>
      <c r="H632" s="40"/>
    </row>
    <row r="633">
      <c r="G633" s="40"/>
      <c r="H633" s="40"/>
    </row>
    <row r="634">
      <c r="G634" s="40"/>
      <c r="H634" s="40"/>
    </row>
    <row r="635">
      <c r="G635" s="40"/>
      <c r="H635" s="40"/>
    </row>
    <row r="636">
      <c r="G636" s="40"/>
      <c r="H636" s="40"/>
    </row>
    <row r="637">
      <c r="G637" s="40"/>
      <c r="H637" s="40"/>
    </row>
    <row r="638">
      <c r="G638" s="40"/>
      <c r="H638" s="40"/>
    </row>
    <row r="639">
      <c r="G639" s="40"/>
      <c r="H639" s="40"/>
    </row>
    <row r="640">
      <c r="G640" s="40"/>
      <c r="H640" s="40"/>
    </row>
    <row r="641">
      <c r="G641" s="40"/>
      <c r="H641" s="40"/>
    </row>
    <row r="642">
      <c r="G642" s="40"/>
      <c r="H642" s="40"/>
    </row>
    <row r="643">
      <c r="G643" s="40"/>
      <c r="H643" s="40"/>
    </row>
    <row r="644">
      <c r="G644" s="40"/>
      <c r="H644" s="40"/>
    </row>
    <row r="645">
      <c r="G645" s="40"/>
      <c r="H645" s="40"/>
    </row>
    <row r="646">
      <c r="G646" s="40"/>
      <c r="H646" s="40"/>
    </row>
    <row r="647">
      <c r="G647" s="40"/>
      <c r="H647" s="40"/>
    </row>
    <row r="648">
      <c r="G648" s="40"/>
      <c r="H648" s="40"/>
    </row>
    <row r="649">
      <c r="G649" s="40"/>
      <c r="H649" s="40"/>
    </row>
    <row r="650">
      <c r="G650" s="40"/>
      <c r="H650" s="40"/>
    </row>
    <row r="651">
      <c r="G651" s="40"/>
      <c r="H651" s="40"/>
    </row>
    <row r="652">
      <c r="G652" s="40"/>
      <c r="H652" s="40"/>
    </row>
    <row r="653">
      <c r="G653" s="40"/>
      <c r="H653" s="40"/>
    </row>
    <row r="654">
      <c r="G654" s="40"/>
      <c r="H654" s="40"/>
    </row>
    <row r="655">
      <c r="G655" s="40"/>
      <c r="H655" s="40"/>
    </row>
    <row r="656">
      <c r="G656" s="40"/>
      <c r="H656" s="40"/>
    </row>
    <row r="657">
      <c r="G657" s="40"/>
      <c r="H657" s="40"/>
    </row>
    <row r="658">
      <c r="G658" s="40"/>
      <c r="H658" s="40"/>
    </row>
    <row r="659">
      <c r="G659" s="40"/>
      <c r="H659" s="40"/>
    </row>
    <row r="660">
      <c r="G660" s="40"/>
      <c r="H660" s="40"/>
    </row>
    <row r="661">
      <c r="G661" s="40"/>
      <c r="H661" s="40"/>
    </row>
    <row r="662">
      <c r="G662" s="40"/>
      <c r="H662" s="40"/>
    </row>
    <row r="663">
      <c r="G663" s="40"/>
      <c r="H663" s="40"/>
    </row>
    <row r="664">
      <c r="G664" s="40"/>
      <c r="H664" s="40"/>
    </row>
    <row r="665">
      <c r="G665" s="40"/>
      <c r="H665" s="40"/>
    </row>
    <row r="666">
      <c r="G666" s="40"/>
      <c r="H666" s="40"/>
    </row>
    <row r="667">
      <c r="G667" s="40"/>
      <c r="H667" s="40"/>
    </row>
    <row r="668">
      <c r="G668" s="40"/>
      <c r="H668" s="40"/>
    </row>
    <row r="669">
      <c r="G669" s="40"/>
      <c r="H669" s="40"/>
    </row>
    <row r="670">
      <c r="G670" s="40"/>
      <c r="H670" s="40"/>
    </row>
    <row r="671">
      <c r="G671" s="40"/>
      <c r="H671" s="40"/>
    </row>
    <row r="672">
      <c r="G672" s="40"/>
      <c r="H672" s="40"/>
    </row>
    <row r="673">
      <c r="G673" s="40"/>
      <c r="H673" s="40"/>
    </row>
    <row r="674">
      <c r="G674" s="40"/>
      <c r="H674" s="40"/>
    </row>
    <row r="675">
      <c r="G675" s="40"/>
      <c r="H675" s="40"/>
    </row>
    <row r="676">
      <c r="G676" s="40"/>
      <c r="H676" s="40"/>
    </row>
    <row r="677">
      <c r="G677" s="40"/>
      <c r="H677" s="40"/>
    </row>
    <row r="678">
      <c r="G678" s="40"/>
      <c r="H678" s="40"/>
    </row>
    <row r="679">
      <c r="G679" s="40"/>
      <c r="H679" s="40"/>
    </row>
    <row r="680">
      <c r="G680" s="40"/>
      <c r="H680" s="40"/>
    </row>
    <row r="681">
      <c r="G681" s="40"/>
      <c r="H681" s="40"/>
    </row>
    <row r="682">
      <c r="G682" s="40"/>
      <c r="H682" s="40"/>
    </row>
    <row r="683">
      <c r="G683" s="40"/>
      <c r="H683" s="40"/>
    </row>
    <row r="684">
      <c r="G684" s="40"/>
      <c r="H684" s="40"/>
    </row>
    <row r="685">
      <c r="G685" s="40"/>
      <c r="H685" s="40"/>
    </row>
    <row r="686">
      <c r="G686" s="40"/>
      <c r="H686" s="40"/>
    </row>
    <row r="687">
      <c r="G687" s="40"/>
      <c r="H687" s="40"/>
    </row>
    <row r="688">
      <c r="G688" s="40"/>
      <c r="H688" s="40"/>
    </row>
    <row r="689">
      <c r="G689" s="40"/>
      <c r="H689" s="40"/>
    </row>
    <row r="690">
      <c r="G690" s="40"/>
      <c r="H690" s="40"/>
    </row>
    <row r="691">
      <c r="G691" s="40"/>
      <c r="H691" s="40"/>
    </row>
    <row r="692">
      <c r="G692" s="40"/>
      <c r="H692" s="40"/>
    </row>
    <row r="693">
      <c r="G693" s="40"/>
      <c r="H693" s="40"/>
    </row>
    <row r="694">
      <c r="G694" s="40"/>
      <c r="H694" s="40"/>
    </row>
    <row r="695">
      <c r="G695" s="40"/>
      <c r="H695" s="40"/>
    </row>
    <row r="696">
      <c r="G696" s="40"/>
      <c r="H696" s="40"/>
    </row>
    <row r="697">
      <c r="G697" s="40"/>
      <c r="H697" s="40"/>
    </row>
    <row r="698">
      <c r="G698" s="40"/>
      <c r="H698" s="40"/>
    </row>
    <row r="699">
      <c r="G699" s="40"/>
      <c r="H699" s="40"/>
    </row>
    <row r="700">
      <c r="G700" s="40"/>
      <c r="H700" s="40"/>
    </row>
    <row r="701">
      <c r="G701" s="40"/>
      <c r="H701" s="40"/>
    </row>
    <row r="702">
      <c r="G702" s="40"/>
      <c r="H702" s="40"/>
    </row>
    <row r="703">
      <c r="G703" s="40"/>
      <c r="H703" s="40"/>
    </row>
    <row r="704">
      <c r="G704" s="40"/>
      <c r="H704" s="40"/>
    </row>
    <row r="705">
      <c r="G705" s="40"/>
      <c r="H705" s="40"/>
    </row>
    <row r="706">
      <c r="G706" s="40"/>
      <c r="H706" s="40"/>
    </row>
    <row r="707">
      <c r="G707" s="40"/>
      <c r="H707" s="40"/>
    </row>
    <row r="708">
      <c r="G708" s="40"/>
      <c r="H708" s="40"/>
    </row>
    <row r="709">
      <c r="G709" s="40"/>
      <c r="H709" s="40"/>
    </row>
    <row r="710">
      <c r="G710" s="40"/>
      <c r="H710" s="40"/>
    </row>
    <row r="711">
      <c r="G711" s="40"/>
      <c r="H711" s="40"/>
    </row>
    <row r="712">
      <c r="G712" s="40"/>
      <c r="H712" s="40"/>
    </row>
    <row r="713">
      <c r="G713" s="40"/>
      <c r="H713" s="40"/>
    </row>
    <row r="714">
      <c r="G714" s="40"/>
      <c r="H714" s="40"/>
    </row>
    <row r="715">
      <c r="G715" s="40"/>
      <c r="H715" s="40"/>
    </row>
    <row r="716">
      <c r="G716" s="40"/>
      <c r="H716" s="40"/>
    </row>
    <row r="717">
      <c r="G717" s="40"/>
      <c r="H717" s="40"/>
    </row>
    <row r="718">
      <c r="G718" s="40"/>
      <c r="H718" s="40"/>
    </row>
    <row r="719">
      <c r="G719" s="40"/>
      <c r="H719" s="40"/>
    </row>
    <row r="720">
      <c r="G720" s="40"/>
      <c r="H720" s="40"/>
    </row>
    <row r="721">
      <c r="G721" s="40"/>
      <c r="H721" s="40"/>
    </row>
    <row r="722">
      <c r="G722" s="40"/>
      <c r="H722" s="40"/>
    </row>
    <row r="723">
      <c r="G723" s="40"/>
      <c r="H723" s="40"/>
    </row>
    <row r="724">
      <c r="G724" s="40"/>
      <c r="H724" s="40"/>
    </row>
    <row r="725">
      <c r="G725" s="40"/>
      <c r="H725" s="40"/>
    </row>
    <row r="726">
      <c r="G726" s="40"/>
      <c r="H726" s="40"/>
    </row>
    <row r="727">
      <c r="G727" s="40"/>
      <c r="H727" s="40"/>
    </row>
    <row r="728">
      <c r="G728" s="40"/>
      <c r="H728" s="40"/>
    </row>
    <row r="729">
      <c r="G729" s="40"/>
      <c r="H729" s="40"/>
    </row>
    <row r="730">
      <c r="G730" s="40"/>
      <c r="H730" s="40"/>
    </row>
    <row r="731">
      <c r="G731" s="40"/>
      <c r="H731" s="40"/>
    </row>
    <row r="732">
      <c r="G732" s="40"/>
      <c r="H732" s="40"/>
    </row>
    <row r="733">
      <c r="G733" s="40"/>
      <c r="H733" s="40"/>
    </row>
    <row r="734">
      <c r="G734" s="40"/>
      <c r="H734" s="40"/>
    </row>
    <row r="735">
      <c r="G735" s="40"/>
      <c r="H735" s="40"/>
    </row>
    <row r="736">
      <c r="G736" s="40"/>
      <c r="H736" s="40"/>
    </row>
    <row r="737">
      <c r="G737" s="40"/>
      <c r="H737" s="40"/>
    </row>
    <row r="738">
      <c r="G738" s="40"/>
      <c r="H738" s="40"/>
    </row>
    <row r="739">
      <c r="G739" s="40"/>
      <c r="H739" s="40"/>
    </row>
    <row r="740">
      <c r="G740" s="40"/>
      <c r="H740" s="40"/>
    </row>
    <row r="741">
      <c r="G741" s="40"/>
      <c r="H741" s="40"/>
    </row>
    <row r="742">
      <c r="G742" s="40"/>
      <c r="H742" s="40"/>
    </row>
    <row r="743">
      <c r="G743" s="40"/>
      <c r="H743" s="40"/>
    </row>
    <row r="744">
      <c r="G744" s="40"/>
      <c r="H744" s="40"/>
    </row>
    <row r="745">
      <c r="G745" s="40"/>
      <c r="H745" s="40"/>
    </row>
    <row r="746">
      <c r="G746" s="40"/>
      <c r="H746" s="40"/>
    </row>
    <row r="747">
      <c r="G747" s="40"/>
      <c r="H747" s="40"/>
    </row>
    <row r="748">
      <c r="G748" s="40"/>
      <c r="H748" s="40"/>
    </row>
    <row r="749">
      <c r="G749" s="40"/>
      <c r="H749" s="40"/>
    </row>
    <row r="750">
      <c r="G750" s="40"/>
      <c r="H750" s="40"/>
    </row>
    <row r="751">
      <c r="G751" s="40"/>
      <c r="H751" s="40"/>
    </row>
    <row r="752">
      <c r="G752" s="40"/>
      <c r="H752" s="40"/>
    </row>
    <row r="753">
      <c r="G753" s="40"/>
      <c r="H753" s="40"/>
    </row>
    <row r="754">
      <c r="G754" s="40"/>
      <c r="H754" s="40"/>
    </row>
    <row r="755">
      <c r="G755" s="40"/>
      <c r="H755" s="40"/>
    </row>
    <row r="756">
      <c r="G756" s="40"/>
      <c r="H756" s="40"/>
    </row>
    <row r="757">
      <c r="G757" s="40"/>
      <c r="H757" s="40"/>
    </row>
    <row r="758">
      <c r="G758" s="40"/>
      <c r="H758" s="40"/>
    </row>
    <row r="759">
      <c r="G759" s="40"/>
      <c r="H759" s="40"/>
    </row>
    <row r="760">
      <c r="G760" s="40"/>
      <c r="H760" s="40"/>
    </row>
    <row r="761">
      <c r="G761" s="40"/>
      <c r="H761" s="40"/>
    </row>
    <row r="762">
      <c r="G762" s="40"/>
      <c r="H762" s="40"/>
    </row>
    <row r="763">
      <c r="G763" s="40"/>
      <c r="H763" s="40"/>
    </row>
    <row r="764">
      <c r="G764" s="40"/>
      <c r="H764" s="40"/>
    </row>
    <row r="765">
      <c r="G765" s="40"/>
      <c r="H765" s="40"/>
    </row>
    <row r="766">
      <c r="G766" s="40"/>
      <c r="H766" s="40"/>
    </row>
    <row r="767">
      <c r="G767" s="40"/>
      <c r="H767" s="40"/>
    </row>
    <row r="768">
      <c r="G768" s="40"/>
      <c r="H768" s="40"/>
    </row>
    <row r="769">
      <c r="G769" s="40"/>
      <c r="H769" s="40"/>
    </row>
    <row r="770">
      <c r="G770" s="40"/>
      <c r="H770" s="40"/>
    </row>
    <row r="771">
      <c r="G771" s="40"/>
      <c r="H771" s="40"/>
    </row>
    <row r="772">
      <c r="G772" s="40"/>
      <c r="H772" s="40"/>
    </row>
    <row r="773">
      <c r="G773" s="40"/>
      <c r="H773" s="40"/>
    </row>
    <row r="774">
      <c r="G774" s="40"/>
      <c r="H774" s="40"/>
    </row>
    <row r="775">
      <c r="G775" s="40"/>
      <c r="H775" s="40"/>
    </row>
    <row r="776">
      <c r="G776" s="40"/>
      <c r="H776" s="40"/>
    </row>
    <row r="777">
      <c r="G777" s="40"/>
      <c r="H777" s="40"/>
    </row>
    <row r="778">
      <c r="G778" s="40"/>
      <c r="H778" s="40"/>
    </row>
    <row r="779">
      <c r="G779" s="40"/>
      <c r="H779" s="40"/>
    </row>
    <row r="780">
      <c r="G780" s="40"/>
      <c r="H780" s="40"/>
    </row>
    <row r="781">
      <c r="G781" s="40"/>
      <c r="H781" s="40"/>
    </row>
    <row r="782">
      <c r="G782" s="40"/>
      <c r="H782" s="40"/>
    </row>
    <row r="783">
      <c r="G783" s="40"/>
      <c r="H783" s="40"/>
    </row>
    <row r="784">
      <c r="G784" s="40"/>
      <c r="H784" s="40"/>
    </row>
    <row r="785">
      <c r="G785" s="40"/>
      <c r="H785" s="40"/>
    </row>
    <row r="786">
      <c r="G786" s="40"/>
      <c r="H786" s="40"/>
    </row>
    <row r="787">
      <c r="G787" s="40"/>
      <c r="H787" s="40"/>
    </row>
    <row r="788">
      <c r="G788" s="40"/>
      <c r="H788" s="40"/>
    </row>
    <row r="789">
      <c r="G789" s="40"/>
      <c r="H789" s="40"/>
    </row>
    <row r="790">
      <c r="G790" s="40"/>
      <c r="H790" s="40"/>
    </row>
    <row r="791">
      <c r="G791" s="40"/>
      <c r="H791" s="40"/>
    </row>
    <row r="792">
      <c r="G792" s="40"/>
      <c r="H792" s="40"/>
    </row>
    <row r="793">
      <c r="G793" s="40"/>
      <c r="H793" s="40"/>
    </row>
    <row r="794">
      <c r="G794" s="40"/>
      <c r="H794" s="40"/>
    </row>
    <row r="795">
      <c r="G795" s="40"/>
      <c r="H795" s="40"/>
    </row>
    <row r="796">
      <c r="G796" s="40"/>
      <c r="H796" s="40"/>
    </row>
    <row r="797">
      <c r="G797" s="40"/>
      <c r="H797" s="40"/>
    </row>
    <row r="798">
      <c r="G798" s="40"/>
      <c r="H798" s="40"/>
    </row>
    <row r="799">
      <c r="G799" s="40"/>
      <c r="H799" s="40"/>
    </row>
    <row r="800">
      <c r="G800" s="40"/>
      <c r="H800" s="40"/>
    </row>
    <row r="801">
      <c r="G801" s="40"/>
      <c r="H801" s="40"/>
    </row>
    <row r="802">
      <c r="G802" s="40"/>
      <c r="H802" s="40"/>
    </row>
    <row r="803">
      <c r="G803" s="40"/>
      <c r="H803" s="40"/>
    </row>
    <row r="804">
      <c r="G804" s="40"/>
      <c r="H804" s="40"/>
    </row>
    <row r="805">
      <c r="G805" s="40"/>
      <c r="H805" s="40"/>
    </row>
    <row r="806">
      <c r="G806" s="40"/>
      <c r="H806" s="40"/>
    </row>
    <row r="807">
      <c r="G807" s="40"/>
      <c r="H807" s="40"/>
    </row>
    <row r="808">
      <c r="G808" s="40"/>
      <c r="H808" s="40"/>
    </row>
    <row r="809">
      <c r="G809" s="40"/>
      <c r="H809" s="40"/>
    </row>
    <row r="810">
      <c r="G810" s="40"/>
      <c r="H810" s="40"/>
    </row>
    <row r="811">
      <c r="G811" s="40"/>
      <c r="H811" s="40"/>
    </row>
    <row r="812">
      <c r="G812" s="40"/>
      <c r="H812" s="40"/>
    </row>
    <row r="813">
      <c r="G813" s="40"/>
      <c r="H813" s="40"/>
    </row>
    <row r="814">
      <c r="G814" s="40"/>
      <c r="H814" s="40"/>
    </row>
    <row r="815">
      <c r="G815" s="40"/>
      <c r="H815" s="40"/>
    </row>
    <row r="816">
      <c r="G816" s="40"/>
      <c r="H816" s="40"/>
    </row>
    <row r="817">
      <c r="G817" s="40"/>
      <c r="H817" s="40"/>
    </row>
    <row r="818">
      <c r="G818" s="40"/>
      <c r="H818" s="40"/>
    </row>
    <row r="819">
      <c r="G819" s="40"/>
      <c r="H819" s="40"/>
    </row>
    <row r="820">
      <c r="G820" s="40"/>
      <c r="H820" s="40"/>
    </row>
    <row r="821">
      <c r="G821" s="40"/>
      <c r="H821" s="40"/>
    </row>
    <row r="822">
      <c r="G822" s="40"/>
      <c r="H822" s="40"/>
    </row>
    <row r="823">
      <c r="G823" s="40"/>
      <c r="H823" s="40"/>
    </row>
    <row r="824">
      <c r="G824" s="40"/>
      <c r="H824" s="40"/>
    </row>
    <row r="825">
      <c r="G825" s="40"/>
      <c r="H825" s="40"/>
    </row>
    <row r="826">
      <c r="G826" s="40"/>
      <c r="H826" s="40"/>
    </row>
    <row r="827">
      <c r="G827" s="40"/>
      <c r="H827" s="40"/>
    </row>
    <row r="828">
      <c r="G828" s="40"/>
      <c r="H828" s="40"/>
    </row>
    <row r="829">
      <c r="G829" s="40"/>
      <c r="H829" s="40"/>
    </row>
    <row r="830">
      <c r="G830" s="40"/>
      <c r="H830" s="40"/>
    </row>
    <row r="831">
      <c r="G831" s="40"/>
      <c r="H831" s="40"/>
    </row>
    <row r="832">
      <c r="G832" s="40"/>
      <c r="H832" s="40"/>
    </row>
    <row r="833">
      <c r="G833" s="40"/>
      <c r="H833" s="40"/>
    </row>
    <row r="834">
      <c r="G834" s="40"/>
      <c r="H834" s="40"/>
    </row>
    <row r="835">
      <c r="G835" s="40"/>
      <c r="H835" s="40"/>
    </row>
    <row r="836">
      <c r="G836" s="40"/>
      <c r="H836" s="40"/>
    </row>
    <row r="837">
      <c r="G837" s="40"/>
      <c r="H837" s="40"/>
    </row>
    <row r="838">
      <c r="G838" s="40"/>
      <c r="H838" s="40"/>
    </row>
    <row r="839">
      <c r="G839" s="40"/>
      <c r="H839" s="40"/>
    </row>
    <row r="840">
      <c r="G840" s="40"/>
      <c r="H840" s="40"/>
    </row>
    <row r="841">
      <c r="G841" s="40"/>
      <c r="H841" s="40"/>
    </row>
    <row r="842">
      <c r="G842" s="40"/>
      <c r="H842" s="40"/>
    </row>
    <row r="843">
      <c r="G843" s="40"/>
      <c r="H843" s="40"/>
    </row>
    <row r="844">
      <c r="G844" s="40"/>
      <c r="H844" s="40"/>
    </row>
    <row r="845">
      <c r="G845" s="40"/>
      <c r="H845" s="40"/>
    </row>
    <row r="846">
      <c r="G846" s="40"/>
      <c r="H846" s="40"/>
    </row>
    <row r="847">
      <c r="G847" s="40"/>
      <c r="H847" s="40"/>
    </row>
    <row r="848">
      <c r="G848" s="40"/>
      <c r="H848" s="40"/>
    </row>
    <row r="849">
      <c r="G849" s="40"/>
      <c r="H849" s="40"/>
    </row>
    <row r="850">
      <c r="G850" s="40"/>
      <c r="H850" s="40"/>
    </row>
    <row r="851">
      <c r="G851" s="40"/>
      <c r="H851" s="40"/>
    </row>
    <row r="852">
      <c r="G852" s="40"/>
      <c r="H852" s="40"/>
    </row>
    <row r="853">
      <c r="G853" s="40"/>
      <c r="H853" s="40"/>
    </row>
    <row r="854">
      <c r="G854" s="40"/>
      <c r="H854" s="40"/>
    </row>
    <row r="855">
      <c r="G855" s="40"/>
      <c r="H855" s="40"/>
    </row>
    <row r="856">
      <c r="G856" s="40"/>
      <c r="H856" s="40"/>
    </row>
    <row r="857">
      <c r="G857" s="40"/>
      <c r="H857" s="40"/>
    </row>
    <row r="858">
      <c r="G858" s="40"/>
      <c r="H858" s="40"/>
    </row>
    <row r="859">
      <c r="G859" s="40"/>
      <c r="H859" s="40"/>
    </row>
    <row r="860">
      <c r="G860" s="40"/>
      <c r="H860" s="40"/>
    </row>
    <row r="861">
      <c r="G861" s="40"/>
      <c r="H861" s="40"/>
    </row>
    <row r="862">
      <c r="G862" s="40"/>
      <c r="H862" s="40"/>
    </row>
    <row r="863">
      <c r="G863" s="40"/>
      <c r="H863" s="40"/>
    </row>
    <row r="864">
      <c r="G864" s="40"/>
      <c r="H864" s="40"/>
    </row>
    <row r="865">
      <c r="G865" s="40"/>
      <c r="H865" s="40"/>
    </row>
    <row r="866">
      <c r="G866" s="40"/>
      <c r="H866" s="40"/>
    </row>
    <row r="867">
      <c r="G867" s="40"/>
      <c r="H867" s="40"/>
    </row>
    <row r="868">
      <c r="G868" s="40"/>
      <c r="H868" s="40"/>
    </row>
    <row r="869">
      <c r="G869" s="40"/>
      <c r="H869" s="40"/>
    </row>
    <row r="870">
      <c r="G870" s="40"/>
      <c r="H870" s="40"/>
    </row>
    <row r="871">
      <c r="G871" s="40"/>
      <c r="H871" s="40"/>
    </row>
    <row r="872">
      <c r="G872" s="40"/>
      <c r="H872" s="40"/>
    </row>
    <row r="873">
      <c r="G873" s="40"/>
      <c r="H873" s="40"/>
    </row>
    <row r="874">
      <c r="G874" s="40"/>
      <c r="H874" s="40"/>
    </row>
    <row r="875">
      <c r="G875" s="40"/>
      <c r="H875" s="40"/>
    </row>
    <row r="876">
      <c r="G876" s="40"/>
      <c r="H876" s="40"/>
    </row>
    <row r="877">
      <c r="G877" s="40"/>
      <c r="H877" s="40"/>
    </row>
    <row r="878">
      <c r="G878" s="40"/>
      <c r="H878" s="40"/>
    </row>
    <row r="879">
      <c r="G879" s="40"/>
      <c r="H879" s="40"/>
    </row>
    <row r="880">
      <c r="G880" s="40"/>
      <c r="H880" s="40"/>
    </row>
    <row r="881">
      <c r="G881" s="40"/>
      <c r="H881" s="40"/>
    </row>
    <row r="882">
      <c r="G882" s="40"/>
      <c r="H882" s="40"/>
    </row>
    <row r="883">
      <c r="G883" s="40"/>
      <c r="H883" s="40"/>
    </row>
    <row r="884">
      <c r="G884" s="40"/>
      <c r="H884" s="40"/>
    </row>
    <row r="885">
      <c r="G885" s="40"/>
      <c r="H885" s="40"/>
    </row>
    <row r="886">
      <c r="G886" s="40"/>
      <c r="H886" s="40"/>
    </row>
    <row r="887">
      <c r="G887" s="40"/>
      <c r="H887" s="40"/>
    </row>
    <row r="888">
      <c r="G888" s="40"/>
      <c r="H888" s="40"/>
    </row>
    <row r="889">
      <c r="G889" s="40"/>
      <c r="H889" s="40"/>
    </row>
    <row r="890">
      <c r="G890" s="40"/>
      <c r="H890" s="40"/>
    </row>
    <row r="891">
      <c r="G891" s="40"/>
      <c r="H891" s="40"/>
    </row>
    <row r="892">
      <c r="G892" s="40"/>
      <c r="H892" s="40"/>
    </row>
    <row r="893">
      <c r="G893" s="40"/>
      <c r="H893" s="40"/>
    </row>
    <row r="894">
      <c r="G894" s="40"/>
      <c r="H894" s="40"/>
    </row>
    <row r="895">
      <c r="G895" s="40"/>
      <c r="H895" s="40"/>
    </row>
    <row r="896">
      <c r="G896" s="40"/>
      <c r="H896" s="40"/>
    </row>
    <row r="897">
      <c r="G897" s="40"/>
      <c r="H897" s="40"/>
    </row>
    <row r="898">
      <c r="G898" s="40"/>
      <c r="H898" s="40"/>
    </row>
    <row r="899">
      <c r="G899" s="40"/>
      <c r="H899" s="40"/>
    </row>
    <row r="900">
      <c r="G900" s="40"/>
      <c r="H900" s="40"/>
    </row>
    <row r="901">
      <c r="G901" s="40"/>
      <c r="H901" s="40"/>
    </row>
    <row r="902">
      <c r="G902" s="40"/>
      <c r="H902" s="40"/>
    </row>
    <row r="903">
      <c r="G903" s="40"/>
      <c r="H903" s="40"/>
    </row>
    <row r="904">
      <c r="G904" s="40"/>
      <c r="H904" s="40"/>
    </row>
    <row r="905">
      <c r="G905" s="40"/>
      <c r="H905" s="40"/>
    </row>
    <row r="906">
      <c r="G906" s="40"/>
      <c r="H906" s="40"/>
    </row>
    <row r="907">
      <c r="G907" s="40"/>
      <c r="H907" s="40"/>
    </row>
    <row r="908">
      <c r="G908" s="40"/>
      <c r="H908" s="40"/>
    </row>
    <row r="909">
      <c r="G909" s="40"/>
      <c r="H909" s="40"/>
    </row>
    <row r="910">
      <c r="G910" s="40"/>
      <c r="H910" s="40"/>
    </row>
    <row r="911">
      <c r="G911" s="40"/>
      <c r="H911" s="40"/>
    </row>
    <row r="912">
      <c r="G912" s="40"/>
      <c r="H912" s="40"/>
    </row>
    <row r="913">
      <c r="G913" s="40"/>
      <c r="H913" s="40"/>
    </row>
    <row r="914">
      <c r="G914" s="40"/>
      <c r="H914" s="40"/>
    </row>
    <row r="915">
      <c r="G915" s="40"/>
      <c r="H915" s="40"/>
    </row>
    <row r="916">
      <c r="G916" s="40"/>
      <c r="H916" s="40"/>
    </row>
    <row r="917">
      <c r="G917" s="40"/>
      <c r="H917" s="40"/>
    </row>
    <row r="918">
      <c r="G918" s="40"/>
      <c r="H918" s="40"/>
    </row>
    <row r="919">
      <c r="G919" s="40"/>
      <c r="H919" s="40"/>
    </row>
    <row r="920">
      <c r="G920" s="40"/>
      <c r="H920" s="40"/>
    </row>
    <row r="921">
      <c r="G921" s="40"/>
      <c r="H921" s="40"/>
    </row>
    <row r="922">
      <c r="G922" s="40"/>
      <c r="H922" s="40"/>
    </row>
    <row r="923">
      <c r="G923" s="40"/>
      <c r="H923" s="40"/>
    </row>
    <row r="924">
      <c r="G924" s="40"/>
      <c r="H924" s="40"/>
    </row>
    <row r="925">
      <c r="G925" s="40"/>
      <c r="H925" s="40"/>
    </row>
    <row r="926">
      <c r="G926" s="40"/>
      <c r="H926" s="40"/>
    </row>
    <row r="927">
      <c r="G927" s="40"/>
      <c r="H927" s="40"/>
    </row>
    <row r="928">
      <c r="G928" s="40"/>
      <c r="H928" s="40"/>
    </row>
    <row r="929">
      <c r="G929" s="40"/>
      <c r="H929" s="40"/>
    </row>
    <row r="930">
      <c r="G930" s="40"/>
      <c r="H930" s="40"/>
    </row>
    <row r="931">
      <c r="G931" s="40"/>
      <c r="H931" s="40"/>
    </row>
    <row r="932">
      <c r="G932" s="40"/>
      <c r="H932" s="40"/>
    </row>
    <row r="933">
      <c r="G933" s="40"/>
      <c r="H933" s="40"/>
    </row>
    <row r="934">
      <c r="G934" s="40"/>
      <c r="H934" s="40"/>
    </row>
    <row r="935">
      <c r="G935" s="40"/>
      <c r="H935" s="40"/>
    </row>
    <row r="936">
      <c r="G936" s="40"/>
      <c r="H936" s="40"/>
    </row>
    <row r="937">
      <c r="G937" s="40"/>
      <c r="H937" s="40"/>
    </row>
    <row r="938">
      <c r="G938" s="40"/>
      <c r="H938" s="40"/>
    </row>
    <row r="939">
      <c r="G939" s="40"/>
      <c r="H939" s="40"/>
    </row>
    <row r="940">
      <c r="G940" s="40"/>
      <c r="H940" s="40"/>
    </row>
    <row r="941">
      <c r="G941" s="40"/>
      <c r="H941" s="40"/>
    </row>
    <row r="942">
      <c r="G942" s="40"/>
      <c r="H942" s="40"/>
    </row>
    <row r="943">
      <c r="G943" s="40"/>
      <c r="H943" s="40"/>
    </row>
    <row r="944">
      <c r="G944" s="40"/>
      <c r="H944" s="40"/>
    </row>
    <row r="945">
      <c r="G945" s="40"/>
      <c r="H945" s="40"/>
    </row>
    <row r="946">
      <c r="G946" s="40"/>
      <c r="H946" s="40"/>
    </row>
    <row r="947">
      <c r="G947" s="40"/>
      <c r="H947" s="40"/>
    </row>
    <row r="948">
      <c r="G948" s="40"/>
      <c r="H948" s="40"/>
    </row>
    <row r="949">
      <c r="G949" s="40"/>
      <c r="H949" s="40"/>
    </row>
    <row r="950">
      <c r="G950" s="40"/>
      <c r="H950" s="40"/>
    </row>
    <row r="951">
      <c r="G951" s="40"/>
      <c r="H951" s="40"/>
    </row>
    <row r="952">
      <c r="G952" s="40"/>
      <c r="H952" s="40"/>
    </row>
    <row r="953">
      <c r="G953" s="40"/>
      <c r="H953" s="40"/>
    </row>
    <row r="954">
      <c r="G954" s="40"/>
      <c r="H954" s="40"/>
    </row>
    <row r="955">
      <c r="G955" s="40"/>
      <c r="H955" s="40"/>
    </row>
    <row r="956">
      <c r="G956" s="40"/>
      <c r="H956" s="40"/>
    </row>
    <row r="957">
      <c r="G957" s="40"/>
      <c r="H957" s="40"/>
    </row>
    <row r="958">
      <c r="G958" s="40"/>
      <c r="H958" s="40"/>
    </row>
    <row r="959">
      <c r="G959" s="40"/>
      <c r="H959" s="40"/>
    </row>
    <row r="960">
      <c r="G960" s="40"/>
      <c r="H960" s="40"/>
    </row>
    <row r="961">
      <c r="G961" s="40"/>
      <c r="H961" s="40"/>
    </row>
    <row r="962">
      <c r="G962" s="40"/>
      <c r="H962" s="40"/>
    </row>
    <row r="963">
      <c r="G963" s="40"/>
      <c r="H963" s="40"/>
    </row>
    <row r="964">
      <c r="G964" s="40"/>
      <c r="H964" s="40"/>
    </row>
    <row r="965">
      <c r="G965" s="40"/>
      <c r="H965" s="40"/>
    </row>
    <row r="966">
      <c r="G966" s="40"/>
      <c r="H966" s="40"/>
    </row>
    <row r="967">
      <c r="G967" s="40"/>
      <c r="H967" s="40"/>
    </row>
    <row r="968">
      <c r="G968" s="40"/>
      <c r="H968" s="40"/>
    </row>
    <row r="969">
      <c r="G969" s="40"/>
      <c r="H969" s="40"/>
    </row>
    <row r="970">
      <c r="G970" s="40"/>
      <c r="H970" s="40"/>
    </row>
    <row r="971">
      <c r="G971" s="40"/>
      <c r="H971" s="40"/>
    </row>
    <row r="972">
      <c r="G972" s="40"/>
      <c r="H972" s="40"/>
    </row>
    <row r="973">
      <c r="G973" s="40"/>
      <c r="H973" s="40"/>
    </row>
    <row r="974">
      <c r="G974" s="40"/>
      <c r="H974" s="40"/>
    </row>
    <row r="975">
      <c r="G975" s="40"/>
      <c r="H975" s="40"/>
    </row>
    <row r="976">
      <c r="G976" s="40"/>
      <c r="H976" s="40"/>
    </row>
    <row r="977">
      <c r="G977" s="40"/>
      <c r="H977" s="40"/>
    </row>
    <row r="978">
      <c r="G978" s="40"/>
      <c r="H978" s="40"/>
    </row>
    <row r="979">
      <c r="G979" s="40"/>
      <c r="H979" s="40"/>
    </row>
    <row r="980">
      <c r="G980" s="40"/>
      <c r="H980" s="40"/>
    </row>
    <row r="981">
      <c r="G981" s="40"/>
      <c r="H981" s="40"/>
    </row>
    <row r="982">
      <c r="G982" s="40"/>
      <c r="H982" s="40"/>
    </row>
    <row r="983">
      <c r="G983" s="40"/>
      <c r="H983" s="40"/>
    </row>
    <row r="984">
      <c r="G984" s="40"/>
      <c r="H984" s="40"/>
    </row>
    <row r="985">
      <c r="G985" s="40"/>
      <c r="H985" s="40"/>
    </row>
    <row r="986">
      <c r="G986" s="40"/>
      <c r="H986" s="40"/>
    </row>
    <row r="987">
      <c r="G987" s="40"/>
      <c r="H987" s="40"/>
    </row>
    <row r="988">
      <c r="G988" s="40"/>
      <c r="H988" s="40"/>
    </row>
    <row r="989">
      <c r="G989" s="40"/>
      <c r="H989" s="40"/>
    </row>
    <row r="990">
      <c r="G990" s="40"/>
      <c r="H990" s="40"/>
    </row>
    <row r="991">
      <c r="G991" s="40"/>
      <c r="H991" s="40"/>
    </row>
    <row r="992">
      <c r="G992" s="40"/>
      <c r="H992" s="40"/>
    </row>
    <row r="993">
      <c r="G993" s="40"/>
      <c r="H993" s="40"/>
    </row>
    <row r="994">
      <c r="G994" s="40"/>
      <c r="H994" s="40"/>
    </row>
    <row r="995">
      <c r="G995" s="40"/>
      <c r="H995" s="40"/>
    </row>
    <row r="996">
      <c r="G996" s="40"/>
      <c r="H996" s="40"/>
    </row>
    <row r="997">
      <c r="G997" s="40"/>
      <c r="H997" s="40"/>
    </row>
    <row r="998">
      <c r="G998" s="40"/>
      <c r="H998" s="40"/>
    </row>
    <row r="999">
      <c r="G999" s="40"/>
      <c r="H999" s="40"/>
    </row>
    <row r="1000">
      <c r="G1000" s="40"/>
      <c r="H1000" s="40"/>
    </row>
    <row r="1001">
      <c r="G1001" s="40"/>
      <c r="H1001" s="40"/>
    </row>
    <row r="1002">
      <c r="G1002" s="40"/>
      <c r="H1002" s="40"/>
    </row>
    <row r="1003">
      <c r="G1003" s="40"/>
      <c r="H1003" s="40"/>
    </row>
    <row r="1004">
      <c r="G1004" s="40"/>
      <c r="H1004" s="40"/>
    </row>
    <row r="1005">
      <c r="G1005" s="40"/>
      <c r="H1005" s="40"/>
    </row>
  </sheetData>
  <mergeCells count="3">
    <mergeCell ref="A1:J1"/>
    <mergeCell ref="A2:J2"/>
    <mergeCell ref="A3:J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0.0"/>
    <col customWidth="1" min="4" max="7" width="16.0"/>
    <col customWidth="1" min="8" max="26" width="8.71"/>
  </cols>
  <sheetData>
    <row r="1" ht="27.75" customHeight="1">
      <c r="A1" s="154" t="s">
        <v>1507</v>
      </c>
      <c r="B1" s="155"/>
      <c r="C1" s="155"/>
      <c r="D1" s="155"/>
      <c r="E1" s="155"/>
      <c r="F1" s="155"/>
      <c r="G1" s="156"/>
    </row>
    <row r="2" ht="15.0" customHeight="1">
      <c r="A2" s="157" t="s">
        <v>1508</v>
      </c>
      <c r="B2" s="155"/>
      <c r="C2" s="155"/>
      <c r="D2" s="155"/>
      <c r="E2" s="155"/>
      <c r="F2" s="155"/>
      <c r="G2" s="156"/>
    </row>
    <row r="3" ht="21.75" customHeight="1">
      <c r="A3" s="158" t="s">
        <v>1509</v>
      </c>
      <c r="B3" s="158" t="s">
        <v>1510</v>
      </c>
      <c r="C3" s="158" t="s">
        <v>1511</v>
      </c>
      <c r="D3" s="158" t="s">
        <v>1512</v>
      </c>
      <c r="E3" s="158" t="s">
        <v>1513</v>
      </c>
      <c r="F3" s="158" t="s">
        <v>1514</v>
      </c>
      <c r="G3" s="158" t="s">
        <v>1515</v>
      </c>
    </row>
    <row r="4" ht="15.75" customHeight="1">
      <c r="A4" s="159">
        <v>1.0</v>
      </c>
      <c r="B4" s="160" t="s">
        <v>1516</v>
      </c>
      <c r="C4" s="159" t="s">
        <v>109</v>
      </c>
      <c r="D4" s="161">
        <v>90000.0</v>
      </c>
      <c r="E4" s="161">
        <v>92000.0</v>
      </c>
      <c r="F4" s="162">
        <f t="shared" ref="F4:F101" si="1">IF(AND(D4&lt;&gt;"",E4&lt;&gt;""),E4-D4,"")</f>
        <v>2000</v>
      </c>
      <c r="G4" s="163">
        <f t="shared" ref="G4:G101" si="2">IF(AND(D4&lt;&gt;"",E4&lt;&gt;"",D4&lt;&gt;0),(E4-D4)/D4,"")</f>
        <v>0.02222222222</v>
      </c>
    </row>
    <row r="5" ht="15.75" customHeight="1">
      <c r="A5" s="164">
        <v>2.0</v>
      </c>
      <c r="B5" s="165" t="s">
        <v>1517</v>
      </c>
      <c r="C5" s="164" t="s">
        <v>69</v>
      </c>
      <c r="D5" s="161">
        <v>26000.0</v>
      </c>
      <c r="E5" s="161">
        <v>30000.0</v>
      </c>
      <c r="F5" s="166">
        <f t="shared" si="1"/>
        <v>4000</v>
      </c>
      <c r="G5" s="167">
        <f t="shared" si="2"/>
        <v>0.1538461538</v>
      </c>
    </row>
    <row r="6" ht="15.75" customHeight="1">
      <c r="A6" s="159">
        <v>3.0</v>
      </c>
      <c r="B6" s="160" t="s">
        <v>1518</v>
      </c>
      <c r="C6" s="159" t="s">
        <v>109</v>
      </c>
      <c r="D6" s="161"/>
      <c r="E6" s="161"/>
      <c r="F6" s="162" t="str">
        <f t="shared" si="1"/>
        <v/>
      </c>
      <c r="G6" s="163" t="str">
        <f t="shared" si="2"/>
        <v/>
      </c>
    </row>
    <row r="7" ht="15.75" customHeight="1">
      <c r="A7" s="164">
        <v>4.0</v>
      </c>
      <c r="B7" s="165" t="s">
        <v>1519</v>
      </c>
      <c r="C7" s="164" t="s">
        <v>109</v>
      </c>
      <c r="D7" s="161">
        <v>46500.0</v>
      </c>
      <c r="E7" s="161">
        <v>52000.0</v>
      </c>
      <c r="F7" s="166">
        <f t="shared" si="1"/>
        <v>5500</v>
      </c>
      <c r="G7" s="167">
        <f t="shared" si="2"/>
        <v>0.1182795699</v>
      </c>
    </row>
    <row r="8" ht="15.75" customHeight="1">
      <c r="A8" s="159">
        <v>5.0</v>
      </c>
      <c r="B8" s="160" t="s">
        <v>1117</v>
      </c>
      <c r="C8" s="159" t="s">
        <v>109</v>
      </c>
      <c r="D8" s="161">
        <v>48000.0</v>
      </c>
      <c r="E8" s="161">
        <v>54000.0</v>
      </c>
      <c r="F8" s="162">
        <f t="shared" si="1"/>
        <v>6000</v>
      </c>
      <c r="G8" s="163">
        <f t="shared" si="2"/>
        <v>0.125</v>
      </c>
    </row>
    <row r="9" ht="15.75" customHeight="1">
      <c r="A9" s="164">
        <v>6.0</v>
      </c>
      <c r="B9" s="165" t="s">
        <v>1116</v>
      </c>
      <c r="C9" s="164" t="s">
        <v>109</v>
      </c>
      <c r="D9" s="161">
        <v>36500.0</v>
      </c>
      <c r="E9" s="161">
        <v>38000.0</v>
      </c>
      <c r="F9" s="166">
        <f t="shared" si="1"/>
        <v>1500</v>
      </c>
      <c r="G9" s="167">
        <f t="shared" si="2"/>
        <v>0.04109589041</v>
      </c>
    </row>
    <row r="10" ht="15.75" customHeight="1">
      <c r="A10" s="159">
        <v>7.0</v>
      </c>
      <c r="B10" s="160" t="s">
        <v>1520</v>
      </c>
      <c r="C10" s="159" t="s">
        <v>109</v>
      </c>
      <c r="D10" s="161">
        <v>36500.0</v>
      </c>
      <c r="E10" s="161">
        <v>38000.0</v>
      </c>
      <c r="F10" s="162">
        <f t="shared" si="1"/>
        <v>1500</v>
      </c>
      <c r="G10" s="163">
        <f t="shared" si="2"/>
        <v>0.04109589041</v>
      </c>
    </row>
    <row r="11" ht="15.75" customHeight="1">
      <c r="A11" s="164">
        <v>8.0</v>
      </c>
      <c r="B11" s="165" t="s">
        <v>1521</v>
      </c>
      <c r="C11" s="164" t="s">
        <v>69</v>
      </c>
      <c r="D11" s="161"/>
      <c r="E11" s="161"/>
      <c r="F11" s="166" t="str">
        <f t="shared" si="1"/>
        <v/>
      </c>
      <c r="G11" s="167" t="str">
        <f t="shared" si="2"/>
        <v/>
      </c>
    </row>
    <row r="12" ht="15.75" customHeight="1">
      <c r="A12" s="159">
        <v>9.0</v>
      </c>
      <c r="B12" s="160" t="s">
        <v>1522</v>
      </c>
      <c r="C12" s="159" t="s">
        <v>109</v>
      </c>
      <c r="D12" s="161">
        <v>30000.0</v>
      </c>
      <c r="E12" s="161">
        <v>40000.0</v>
      </c>
      <c r="F12" s="162">
        <f t="shared" si="1"/>
        <v>10000</v>
      </c>
      <c r="G12" s="163">
        <f t="shared" si="2"/>
        <v>0.3333333333</v>
      </c>
    </row>
    <row r="13" ht="15.75" customHeight="1">
      <c r="A13" s="164">
        <v>10.0</v>
      </c>
      <c r="B13" s="165" t="s">
        <v>1523</v>
      </c>
      <c r="C13" s="164" t="s">
        <v>109</v>
      </c>
      <c r="D13" s="161">
        <v>28000.0</v>
      </c>
      <c r="E13" s="161">
        <v>30000.0</v>
      </c>
      <c r="F13" s="166">
        <f t="shared" si="1"/>
        <v>2000</v>
      </c>
      <c r="G13" s="167">
        <f t="shared" si="2"/>
        <v>0.07142857143</v>
      </c>
    </row>
    <row r="14" ht="15.75" customHeight="1">
      <c r="A14" s="159">
        <v>11.0</v>
      </c>
      <c r="B14" s="160" t="s">
        <v>1524</v>
      </c>
      <c r="C14" s="159" t="s">
        <v>109</v>
      </c>
      <c r="D14" s="161">
        <v>40000.0</v>
      </c>
      <c r="E14" s="161">
        <v>45000.0</v>
      </c>
      <c r="F14" s="162">
        <f t="shared" si="1"/>
        <v>5000</v>
      </c>
      <c r="G14" s="163">
        <f t="shared" si="2"/>
        <v>0.125</v>
      </c>
    </row>
    <row r="15" ht="15.75" customHeight="1">
      <c r="A15" s="164">
        <v>12.0</v>
      </c>
      <c r="B15" s="165" t="s">
        <v>1525</v>
      </c>
      <c r="C15" s="164" t="s">
        <v>109</v>
      </c>
      <c r="D15" s="161">
        <v>33000.0</v>
      </c>
      <c r="E15" s="161">
        <v>36000.0</v>
      </c>
      <c r="F15" s="166">
        <f t="shared" si="1"/>
        <v>3000</v>
      </c>
      <c r="G15" s="167">
        <f t="shared" si="2"/>
        <v>0.09090909091</v>
      </c>
    </row>
    <row r="16" ht="15.75" customHeight="1">
      <c r="A16" s="159">
        <v>13.0</v>
      </c>
      <c r="B16" s="160" t="s">
        <v>1526</v>
      </c>
      <c r="C16" s="159" t="s">
        <v>109</v>
      </c>
      <c r="D16" s="161">
        <v>33000.0</v>
      </c>
      <c r="E16" s="161">
        <v>45000.0</v>
      </c>
      <c r="F16" s="162">
        <f t="shared" si="1"/>
        <v>12000</v>
      </c>
      <c r="G16" s="163">
        <f t="shared" si="2"/>
        <v>0.3636363636</v>
      </c>
    </row>
    <row r="17" ht="15.75" customHeight="1">
      <c r="A17" s="164">
        <v>14.0</v>
      </c>
      <c r="B17" s="165" t="s">
        <v>1527</v>
      </c>
      <c r="C17" s="164" t="s">
        <v>109</v>
      </c>
      <c r="D17" s="161">
        <v>15500.0</v>
      </c>
      <c r="E17" s="161">
        <v>15500.0</v>
      </c>
      <c r="F17" s="166">
        <f t="shared" si="1"/>
        <v>0</v>
      </c>
      <c r="G17" s="167">
        <f t="shared" si="2"/>
        <v>0</v>
      </c>
    </row>
    <row r="18" ht="15.75" customHeight="1">
      <c r="A18" s="159">
        <v>15.0</v>
      </c>
      <c r="B18" s="160" t="s">
        <v>1528</v>
      </c>
      <c r="C18" s="159" t="s">
        <v>109</v>
      </c>
      <c r="D18" s="161"/>
      <c r="E18" s="161"/>
      <c r="F18" s="162" t="str">
        <f t="shared" si="1"/>
        <v/>
      </c>
      <c r="G18" s="163" t="str">
        <f t="shared" si="2"/>
        <v/>
      </c>
    </row>
    <row r="19" ht="15.75" customHeight="1">
      <c r="A19" s="164">
        <v>16.0</v>
      </c>
      <c r="B19" s="165" t="s">
        <v>1529</v>
      </c>
      <c r="C19" s="164" t="s">
        <v>69</v>
      </c>
      <c r="D19" s="161">
        <v>22500.0</v>
      </c>
      <c r="E19" s="161">
        <v>23500.0</v>
      </c>
      <c r="F19" s="166">
        <f t="shared" si="1"/>
        <v>1000</v>
      </c>
      <c r="G19" s="167">
        <f t="shared" si="2"/>
        <v>0.04444444444</v>
      </c>
    </row>
    <row r="20" ht="15.75" customHeight="1">
      <c r="A20" s="159">
        <v>17.0</v>
      </c>
      <c r="B20" s="160" t="s">
        <v>1530</v>
      </c>
      <c r="C20" s="159" t="s">
        <v>261</v>
      </c>
      <c r="D20" s="161">
        <v>22500.0</v>
      </c>
      <c r="E20" s="161">
        <v>23500.0</v>
      </c>
      <c r="F20" s="162">
        <f t="shared" si="1"/>
        <v>1000</v>
      </c>
      <c r="G20" s="163">
        <f t="shared" si="2"/>
        <v>0.04444444444</v>
      </c>
    </row>
    <row r="21" ht="15.75" customHeight="1">
      <c r="A21" s="164">
        <v>18.0</v>
      </c>
      <c r="B21" s="165" t="s">
        <v>1531</v>
      </c>
      <c r="C21" s="164" t="s">
        <v>109</v>
      </c>
      <c r="D21" s="161">
        <v>170000.0</v>
      </c>
      <c r="E21" s="161">
        <v>180000.0</v>
      </c>
      <c r="F21" s="166">
        <f t="shared" si="1"/>
        <v>10000</v>
      </c>
      <c r="G21" s="167">
        <f t="shared" si="2"/>
        <v>0.05882352941</v>
      </c>
    </row>
    <row r="22" ht="15.75" customHeight="1">
      <c r="A22" s="159">
        <v>19.0</v>
      </c>
      <c r="B22" s="160" t="s">
        <v>1532</v>
      </c>
      <c r="C22" s="159" t="s">
        <v>109</v>
      </c>
      <c r="D22" s="161">
        <v>170000.0</v>
      </c>
      <c r="E22" s="161">
        <v>180000.0</v>
      </c>
      <c r="F22" s="162">
        <f t="shared" si="1"/>
        <v>10000</v>
      </c>
      <c r="G22" s="163">
        <f t="shared" si="2"/>
        <v>0.05882352941</v>
      </c>
    </row>
    <row r="23" ht="15.75" customHeight="1">
      <c r="A23" s="164">
        <v>20.0</v>
      </c>
      <c r="B23" s="165" t="s">
        <v>1533</v>
      </c>
      <c r="C23" s="164" t="s">
        <v>109</v>
      </c>
      <c r="D23" s="161">
        <v>170000.0</v>
      </c>
      <c r="E23" s="161">
        <v>180000.0</v>
      </c>
      <c r="F23" s="166">
        <f t="shared" si="1"/>
        <v>10000</v>
      </c>
      <c r="G23" s="167">
        <f t="shared" si="2"/>
        <v>0.05882352941</v>
      </c>
    </row>
    <row r="24" ht="15.75" customHeight="1">
      <c r="A24" s="159">
        <v>21.0</v>
      </c>
      <c r="B24" s="160" t="s">
        <v>1534</v>
      </c>
      <c r="C24" s="159" t="s">
        <v>109</v>
      </c>
      <c r="D24" s="161">
        <v>13000.0</v>
      </c>
      <c r="E24" s="161">
        <v>16000.0</v>
      </c>
      <c r="F24" s="162">
        <f t="shared" si="1"/>
        <v>3000</v>
      </c>
      <c r="G24" s="163">
        <f t="shared" si="2"/>
        <v>0.2307692308</v>
      </c>
    </row>
    <row r="25" ht="15.75" customHeight="1">
      <c r="A25" s="164">
        <v>22.0</v>
      </c>
      <c r="B25" s="165" t="s">
        <v>1535</v>
      </c>
      <c r="C25" s="164" t="s">
        <v>109</v>
      </c>
      <c r="D25" s="161">
        <v>47000.0</v>
      </c>
      <c r="E25" s="161">
        <v>52000.0</v>
      </c>
      <c r="F25" s="166">
        <f t="shared" si="1"/>
        <v>5000</v>
      </c>
      <c r="G25" s="167">
        <f t="shared" si="2"/>
        <v>0.1063829787</v>
      </c>
    </row>
    <row r="26" ht="15.75" customHeight="1">
      <c r="A26" s="159">
        <v>23.0</v>
      </c>
      <c r="B26" s="160" t="s">
        <v>1536</v>
      </c>
      <c r="C26" s="159" t="s">
        <v>109</v>
      </c>
      <c r="D26" s="161">
        <v>47000.0</v>
      </c>
      <c r="E26" s="161">
        <v>52000.0</v>
      </c>
      <c r="F26" s="162">
        <f t="shared" si="1"/>
        <v>5000</v>
      </c>
      <c r="G26" s="163">
        <f t="shared" si="2"/>
        <v>0.1063829787</v>
      </c>
    </row>
    <row r="27" ht="15.75" customHeight="1">
      <c r="A27" s="164">
        <v>24.0</v>
      </c>
      <c r="B27" s="165" t="s">
        <v>1537</v>
      </c>
      <c r="C27" s="164" t="s">
        <v>109</v>
      </c>
      <c r="D27" s="161">
        <v>80000.0</v>
      </c>
      <c r="E27" s="161">
        <v>90000.0</v>
      </c>
      <c r="F27" s="166">
        <f t="shared" si="1"/>
        <v>10000</v>
      </c>
      <c r="G27" s="167">
        <f t="shared" si="2"/>
        <v>0.125</v>
      </c>
    </row>
    <row r="28" ht="15.75" customHeight="1">
      <c r="A28" s="159">
        <v>25.0</v>
      </c>
      <c r="B28" s="160" t="s">
        <v>1538</v>
      </c>
      <c r="C28" s="159" t="s">
        <v>109</v>
      </c>
      <c r="D28" s="161">
        <v>52000.0</v>
      </c>
      <c r="E28" s="161">
        <v>65000.0</v>
      </c>
      <c r="F28" s="162">
        <f t="shared" si="1"/>
        <v>13000</v>
      </c>
      <c r="G28" s="163">
        <f t="shared" si="2"/>
        <v>0.25</v>
      </c>
    </row>
    <row r="29" ht="15.75" customHeight="1">
      <c r="A29" s="164">
        <v>26.0</v>
      </c>
      <c r="B29" s="165" t="s">
        <v>1539</v>
      </c>
      <c r="C29" s="164" t="s">
        <v>109</v>
      </c>
      <c r="D29" s="161">
        <v>10000.0</v>
      </c>
      <c r="E29" s="161">
        <v>12000.0</v>
      </c>
      <c r="F29" s="166">
        <f t="shared" si="1"/>
        <v>2000</v>
      </c>
      <c r="G29" s="167">
        <f t="shared" si="2"/>
        <v>0.2</v>
      </c>
    </row>
    <row r="30" ht="15.75" customHeight="1">
      <c r="A30" s="159">
        <v>27.0</v>
      </c>
      <c r="B30" s="160" t="s">
        <v>1540</v>
      </c>
      <c r="C30" s="159" t="s">
        <v>109</v>
      </c>
      <c r="D30" s="161">
        <v>27000.0</v>
      </c>
      <c r="E30" s="161">
        <v>35000.0</v>
      </c>
      <c r="F30" s="162">
        <f t="shared" si="1"/>
        <v>8000</v>
      </c>
      <c r="G30" s="163">
        <f t="shared" si="2"/>
        <v>0.2962962963</v>
      </c>
    </row>
    <row r="31" ht="15.75" customHeight="1">
      <c r="A31" s="164">
        <v>28.0</v>
      </c>
      <c r="B31" s="165" t="s">
        <v>1541</v>
      </c>
      <c r="C31" s="164" t="s">
        <v>109</v>
      </c>
      <c r="D31" s="161">
        <v>40000.0</v>
      </c>
      <c r="E31" s="161">
        <v>45000.0</v>
      </c>
      <c r="F31" s="166">
        <f t="shared" si="1"/>
        <v>5000</v>
      </c>
      <c r="G31" s="167">
        <f t="shared" si="2"/>
        <v>0.125</v>
      </c>
    </row>
    <row r="32" ht="15.75" customHeight="1">
      <c r="A32" s="159">
        <v>29.0</v>
      </c>
      <c r="B32" s="160" t="s">
        <v>1542</v>
      </c>
      <c r="C32" s="159" t="s">
        <v>109</v>
      </c>
      <c r="D32" s="161">
        <v>21600.0</v>
      </c>
      <c r="E32" s="161">
        <v>15000.0</v>
      </c>
      <c r="F32" s="162">
        <f t="shared" si="1"/>
        <v>-6600</v>
      </c>
      <c r="G32" s="163">
        <f t="shared" si="2"/>
        <v>-0.3055555556</v>
      </c>
    </row>
    <row r="33" ht="15.75" customHeight="1">
      <c r="A33" s="164">
        <v>30.0</v>
      </c>
      <c r="B33" s="165" t="s">
        <v>1354</v>
      </c>
      <c r="C33" s="164" t="s">
        <v>109</v>
      </c>
      <c r="D33" s="161"/>
      <c r="E33" s="161"/>
      <c r="F33" s="166" t="str">
        <f t="shared" si="1"/>
        <v/>
      </c>
      <c r="G33" s="167" t="str">
        <f t="shared" si="2"/>
        <v/>
      </c>
    </row>
    <row r="34" ht="15.75" customHeight="1">
      <c r="A34" s="159">
        <v>31.0</v>
      </c>
      <c r="B34" s="160" t="s">
        <v>1543</v>
      </c>
      <c r="C34" s="159" t="s">
        <v>109</v>
      </c>
      <c r="D34" s="161">
        <v>9000.0</v>
      </c>
      <c r="E34" s="161">
        <v>10500.0</v>
      </c>
      <c r="F34" s="162">
        <f t="shared" si="1"/>
        <v>1500</v>
      </c>
      <c r="G34" s="163">
        <f t="shared" si="2"/>
        <v>0.1666666667</v>
      </c>
    </row>
    <row r="35" ht="15.75" customHeight="1">
      <c r="A35" s="164">
        <v>32.0</v>
      </c>
      <c r="B35" s="165" t="s">
        <v>1544</v>
      </c>
      <c r="C35" s="164" t="s">
        <v>109</v>
      </c>
      <c r="D35" s="161">
        <v>17000.0</v>
      </c>
      <c r="E35" s="161">
        <v>22000.0</v>
      </c>
      <c r="F35" s="166">
        <f t="shared" si="1"/>
        <v>5000</v>
      </c>
      <c r="G35" s="167">
        <f t="shared" si="2"/>
        <v>0.2941176471</v>
      </c>
    </row>
    <row r="36" ht="15.75" customHeight="1">
      <c r="A36" s="159">
        <v>33.0</v>
      </c>
      <c r="B36" s="160" t="s">
        <v>1545</v>
      </c>
      <c r="C36" s="159" t="s">
        <v>109</v>
      </c>
      <c r="D36" s="161">
        <v>19000.0</v>
      </c>
      <c r="E36" s="161">
        <v>20000.0</v>
      </c>
      <c r="F36" s="162">
        <f t="shared" si="1"/>
        <v>1000</v>
      </c>
      <c r="G36" s="163">
        <f t="shared" si="2"/>
        <v>0.05263157895</v>
      </c>
    </row>
    <row r="37" ht="15.75" customHeight="1">
      <c r="A37" s="164">
        <v>34.0</v>
      </c>
      <c r="B37" s="165" t="s">
        <v>1546</v>
      </c>
      <c r="C37" s="164" t="s">
        <v>109</v>
      </c>
      <c r="D37" s="161">
        <v>6500.0</v>
      </c>
      <c r="E37" s="161">
        <v>14000.0</v>
      </c>
      <c r="F37" s="166">
        <f t="shared" si="1"/>
        <v>7500</v>
      </c>
      <c r="G37" s="167">
        <f t="shared" si="2"/>
        <v>1.153846154</v>
      </c>
    </row>
    <row r="38" ht="15.75" customHeight="1">
      <c r="A38" s="159">
        <v>35.0</v>
      </c>
      <c r="B38" s="160" t="s">
        <v>1547</v>
      </c>
      <c r="C38" s="159" t="s">
        <v>109</v>
      </c>
      <c r="D38" s="161">
        <v>24000.0</v>
      </c>
      <c r="E38" s="161">
        <v>24000.0</v>
      </c>
      <c r="F38" s="162">
        <f t="shared" si="1"/>
        <v>0</v>
      </c>
      <c r="G38" s="163">
        <f t="shared" si="2"/>
        <v>0</v>
      </c>
    </row>
    <row r="39" ht="15.75" customHeight="1">
      <c r="A39" s="164">
        <v>36.0</v>
      </c>
      <c r="B39" s="165" t="s">
        <v>1548</v>
      </c>
      <c r="C39" s="164" t="s">
        <v>109</v>
      </c>
      <c r="D39" s="161">
        <v>20000.0</v>
      </c>
      <c r="E39" s="161">
        <v>260000.0</v>
      </c>
      <c r="F39" s="166">
        <f t="shared" si="1"/>
        <v>240000</v>
      </c>
      <c r="G39" s="167">
        <f t="shared" si="2"/>
        <v>12</v>
      </c>
    </row>
    <row r="40" ht="15.75" customHeight="1">
      <c r="A40" s="159">
        <v>37.0</v>
      </c>
      <c r="B40" s="160" t="s">
        <v>1549</v>
      </c>
      <c r="C40" s="159" t="s">
        <v>69</v>
      </c>
      <c r="D40" s="161">
        <v>29000.0</v>
      </c>
      <c r="E40" s="161">
        <v>32000.0</v>
      </c>
      <c r="F40" s="162">
        <f t="shared" si="1"/>
        <v>3000</v>
      </c>
      <c r="G40" s="163">
        <f t="shared" si="2"/>
        <v>0.1034482759</v>
      </c>
    </row>
    <row r="41" ht="15.75" customHeight="1">
      <c r="A41" s="164">
        <v>38.0</v>
      </c>
      <c r="B41" s="165" t="s">
        <v>1550</v>
      </c>
      <c r="C41" s="164" t="s">
        <v>109</v>
      </c>
      <c r="D41" s="161">
        <v>29000.0</v>
      </c>
      <c r="E41" s="161">
        <v>32000.0</v>
      </c>
      <c r="F41" s="166">
        <f t="shared" si="1"/>
        <v>3000</v>
      </c>
      <c r="G41" s="167">
        <f t="shared" si="2"/>
        <v>0.1034482759</v>
      </c>
    </row>
    <row r="42" ht="15.75" customHeight="1">
      <c r="A42" s="159">
        <v>39.0</v>
      </c>
      <c r="B42" s="160" t="s">
        <v>1171</v>
      </c>
      <c r="C42" s="159" t="s">
        <v>109</v>
      </c>
      <c r="D42" s="161">
        <v>27500.0</v>
      </c>
      <c r="E42" s="161">
        <v>29000.0</v>
      </c>
      <c r="F42" s="162">
        <f t="shared" si="1"/>
        <v>1500</v>
      </c>
      <c r="G42" s="163">
        <f t="shared" si="2"/>
        <v>0.05454545455</v>
      </c>
    </row>
    <row r="43" ht="15.75" customHeight="1">
      <c r="A43" s="164">
        <v>40.0</v>
      </c>
      <c r="B43" s="165" t="s">
        <v>1236</v>
      </c>
      <c r="C43" s="164" t="s">
        <v>109</v>
      </c>
      <c r="D43" s="161">
        <v>28000.0</v>
      </c>
      <c r="E43" s="161">
        <v>30500.0</v>
      </c>
      <c r="F43" s="166">
        <f t="shared" si="1"/>
        <v>2500</v>
      </c>
      <c r="G43" s="167">
        <f t="shared" si="2"/>
        <v>0.08928571429</v>
      </c>
    </row>
    <row r="44" ht="15.75" customHeight="1">
      <c r="A44" s="159">
        <v>41.0</v>
      </c>
      <c r="B44" s="160" t="s">
        <v>1551</v>
      </c>
      <c r="C44" s="159" t="s">
        <v>109</v>
      </c>
      <c r="D44" s="161"/>
      <c r="E44" s="161">
        <v>100000.0</v>
      </c>
      <c r="F44" s="162" t="str">
        <f t="shared" si="1"/>
        <v/>
      </c>
      <c r="G44" s="163" t="str">
        <f t="shared" si="2"/>
        <v/>
      </c>
    </row>
    <row r="45" ht="15.75" customHeight="1">
      <c r="A45" s="164">
        <v>42.0</v>
      </c>
      <c r="B45" s="165" t="s">
        <v>1552</v>
      </c>
      <c r="C45" s="164" t="s">
        <v>109</v>
      </c>
      <c r="D45" s="161">
        <v>10000.0</v>
      </c>
      <c r="E45" s="161">
        <v>14000.0</v>
      </c>
      <c r="F45" s="166">
        <f t="shared" si="1"/>
        <v>4000</v>
      </c>
      <c r="G45" s="167">
        <f t="shared" si="2"/>
        <v>0.4</v>
      </c>
    </row>
    <row r="46" ht="15.75" customHeight="1">
      <c r="A46" s="159">
        <v>43.0</v>
      </c>
      <c r="B46" s="160" t="s">
        <v>1553</v>
      </c>
      <c r="C46" s="159" t="s">
        <v>109</v>
      </c>
      <c r="D46" s="161">
        <v>10000.0</v>
      </c>
      <c r="E46" s="161">
        <v>14000.0</v>
      </c>
      <c r="F46" s="162">
        <f t="shared" si="1"/>
        <v>4000</v>
      </c>
      <c r="G46" s="163">
        <f t="shared" si="2"/>
        <v>0.4</v>
      </c>
    </row>
    <row r="47" ht="15.75" customHeight="1">
      <c r="A47" s="164">
        <v>44.0</v>
      </c>
      <c r="B47" s="165" t="s">
        <v>1554</v>
      </c>
      <c r="C47" s="164" t="s">
        <v>109</v>
      </c>
      <c r="D47" s="161">
        <v>35000.0</v>
      </c>
      <c r="E47" s="161">
        <v>40000.0</v>
      </c>
      <c r="F47" s="166">
        <f t="shared" si="1"/>
        <v>5000</v>
      </c>
      <c r="G47" s="167">
        <f t="shared" si="2"/>
        <v>0.1428571429</v>
      </c>
    </row>
    <row r="48" ht="15.75" customHeight="1">
      <c r="A48" s="159">
        <v>45.0</v>
      </c>
      <c r="B48" s="160" t="s">
        <v>1555</v>
      </c>
      <c r="C48" s="159" t="s">
        <v>109</v>
      </c>
      <c r="D48" s="161">
        <v>120000.0</v>
      </c>
      <c r="E48" s="161">
        <v>180000.0</v>
      </c>
      <c r="F48" s="162">
        <f t="shared" si="1"/>
        <v>60000</v>
      </c>
      <c r="G48" s="163">
        <f t="shared" si="2"/>
        <v>0.5</v>
      </c>
    </row>
    <row r="49" ht="15.75" customHeight="1">
      <c r="A49" s="164">
        <v>46.0</v>
      </c>
      <c r="B49" s="165" t="s">
        <v>1556</v>
      </c>
      <c r="C49" s="164" t="s">
        <v>1557</v>
      </c>
      <c r="D49" s="161">
        <v>47000.0</v>
      </c>
      <c r="E49" s="161">
        <v>55000.0</v>
      </c>
      <c r="F49" s="166">
        <f t="shared" si="1"/>
        <v>8000</v>
      </c>
      <c r="G49" s="167">
        <f t="shared" si="2"/>
        <v>0.170212766</v>
      </c>
    </row>
    <row r="50" ht="15.75" customHeight="1">
      <c r="A50" s="159">
        <v>47.0</v>
      </c>
      <c r="B50" s="160" t="s">
        <v>1558</v>
      </c>
      <c r="C50" s="159" t="s">
        <v>1559</v>
      </c>
      <c r="D50" s="161">
        <v>190000.0</v>
      </c>
      <c r="E50" s="161">
        <v>215000.0</v>
      </c>
      <c r="F50" s="162">
        <f t="shared" si="1"/>
        <v>25000</v>
      </c>
      <c r="G50" s="163">
        <f t="shared" si="2"/>
        <v>0.1315789474</v>
      </c>
    </row>
    <row r="51" ht="15.75" customHeight="1">
      <c r="A51" s="164">
        <v>48.0</v>
      </c>
      <c r="B51" s="165" t="s">
        <v>1560</v>
      </c>
      <c r="C51" s="164" t="s">
        <v>69</v>
      </c>
      <c r="D51" s="161"/>
      <c r="E51" s="161"/>
      <c r="F51" s="166" t="str">
        <f t="shared" si="1"/>
        <v/>
      </c>
      <c r="G51" s="167" t="str">
        <f t="shared" si="2"/>
        <v/>
      </c>
    </row>
    <row r="52" ht="15.75" customHeight="1">
      <c r="A52" s="159">
        <v>49.0</v>
      </c>
      <c r="B52" s="160" t="s">
        <v>1561</v>
      </c>
      <c r="C52" s="159" t="s">
        <v>109</v>
      </c>
      <c r="D52" s="161">
        <v>22000.0</v>
      </c>
      <c r="E52" s="161">
        <v>30000.0</v>
      </c>
      <c r="F52" s="162">
        <f t="shared" si="1"/>
        <v>8000</v>
      </c>
      <c r="G52" s="163">
        <f t="shared" si="2"/>
        <v>0.3636363636</v>
      </c>
    </row>
    <row r="53" ht="15.75" customHeight="1">
      <c r="A53" s="164">
        <v>50.0</v>
      </c>
      <c r="B53" s="165" t="s">
        <v>1562</v>
      </c>
      <c r="C53" s="164" t="s">
        <v>109</v>
      </c>
      <c r="D53" s="161"/>
      <c r="E53" s="161">
        <v>63000.0</v>
      </c>
      <c r="F53" s="166" t="str">
        <f t="shared" si="1"/>
        <v/>
      </c>
      <c r="G53" s="167" t="str">
        <f t="shared" si="2"/>
        <v/>
      </c>
    </row>
    <row r="54" ht="15.75" customHeight="1">
      <c r="A54" s="159">
        <v>51.0</v>
      </c>
      <c r="B54" s="160" t="s">
        <v>1563</v>
      </c>
      <c r="C54" s="159" t="s">
        <v>109</v>
      </c>
      <c r="D54" s="161">
        <v>45000.0</v>
      </c>
      <c r="E54" s="161">
        <v>55000.0</v>
      </c>
      <c r="F54" s="162">
        <f t="shared" si="1"/>
        <v>10000</v>
      </c>
      <c r="G54" s="163">
        <f t="shared" si="2"/>
        <v>0.2222222222</v>
      </c>
    </row>
    <row r="55" ht="15.75" customHeight="1">
      <c r="A55" s="164">
        <v>52.0</v>
      </c>
      <c r="B55" s="165" t="s">
        <v>1564</v>
      </c>
      <c r="C55" s="164" t="s">
        <v>109</v>
      </c>
      <c r="D55" s="161"/>
      <c r="E55" s="161"/>
      <c r="F55" s="166" t="str">
        <f t="shared" si="1"/>
        <v/>
      </c>
      <c r="G55" s="167" t="str">
        <f t="shared" si="2"/>
        <v/>
      </c>
    </row>
    <row r="56" ht="15.75" customHeight="1">
      <c r="A56" s="159">
        <v>53.0</v>
      </c>
      <c r="B56" s="160" t="s">
        <v>1565</v>
      </c>
      <c r="C56" s="159" t="s">
        <v>109</v>
      </c>
      <c r="D56" s="161">
        <v>30000.0</v>
      </c>
      <c r="E56" s="161">
        <v>40000.0</v>
      </c>
      <c r="F56" s="162">
        <f t="shared" si="1"/>
        <v>10000</v>
      </c>
      <c r="G56" s="163">
        <f t="shared" si="2"/>
        <v>0.3333333333</v>
      </c>
    </row>
    <row r="57" ht="15.75" customHeight="1">
      <c r="A57" s="164">
        <v>54.0</v>
      </c>
      <c r="B57" s="165" t="s">
        <v>1566</v>
      </c>
      <c r="C57" s="164" t="s">
        <v>109</v>
      </c>
      <c r="D57" s="161">
        <v>95000.0</v>
      </c>
      <c r="E57" s="161">
        <v>100000.0</v>
      </c>
      <c r="F57" s="166">
        <f t="shared" si="1"/>
        <v>5000</v>
      </c>
      <c r="G57" s="167">
        <f t="shared" si="2"/>
        <v>0.05263157895</v>
      </c>
    </row>
    <row r="58" ht="15.75" customHeight="1">
      <c r="A58" s="159">
        <v>55.0</v>
      </c>
      <c r="B58" s="160" t="s">
        <v>1567</v>
      </c>
      <c r="C58" s="159" t="s">
        <v>109</v>
      </c>
      <c r="D58" s="161">
        <v>6500.0</v>
      </c>
      <c r="E58" s="161">
        <v>14000.0</v>
      </c>
      <c r="F58" s="162">
        <f t="shared" si="1"/>
        <v>7500</v>
      </c>
      <c r="G58" s="163">
        <f t="shared" si="2"/>
        <v>1.153846154</v>
      </c>
    </row>
    <row r="59" ht="15.75" customHeight="1">
      <c r="A59" s="164">
        <v>56.0</v>
      </c>
      <c r="B59" s="165" t="s">
        <v>1568</v>
      </c>
      <c r="C59" s="164" t="s">
        <v>69</v>
      </c>
      <c r="D59" s="161">
        <v>25000.0</v>
      </c>
      <c r="E59" s="161">
        <v>32500.0</v>
      </c>
      <c r="F59" s="166">
        <f t="shared" si="1"/>
        <v>7500</v>
      </c>
      <c r="G59" s="167">
        <f t="shared" si="2"/>
        <v>0.3</v>
      </c>
    </row>
    <row r="60" ht="15.75" customHeight="1">
      <c r="A60" s="159">
        <v>57.0</v>
      </c>
      <c r="B60" s="160" t="s">
        <v>1569</v>
      </c>
      <c r="C60" s="159" t="s">
        <v>109</v>
      </c>
      <c r="D60" s="161">
        <v>12000.0</v>
      </c>
      <c r="E60" s="161">
        <v>15000.0</v>
      </c>
      <c r="F60" s="162">
        <f t="shared" si="1"/>
        <v>3000</v>
      </c>
      <c r="G60" s="163">
        <f t="shared" si="2"/>
        <v>0.25</v>
      </c>
    </row>
    <row r="61" ht="15.75" customHeight="1">
      <c r="A61" s="164">
        <v>58.0</v>
      </c>
      <c r="B61" s="165" t="s">
        <v>1570</v>
      </c>
      <c r="C61" s="164" t="s">
        <v>109</v>
      </c>
      <c r="D61" s="161">
        <v>9000.0</v>
      </c>
      <c r="E61" s="161">
        <v>12000.0</v>
      </c>
      <c r="F61" s="166">
        <f t="shared" si="1"/>
        <v>3000</v>
      </c>
      <c r="G61" s="167">
        <f t="shared" si="2"/>
        <v>0.3333333333</v>
      </c>
    </row>
    <row r="62" ht="15.75" customHeight="1">
      <c r="A62" s="159">
        <v>59.0</v>
      </c>
      <c r="B62" s="160" t="s">
        <v>1571</v>
      </c>
      <c r="C62" s="159" t="s">
        <v>109</v>
      </c>
      <c r="D62" s="161">
        <v>170000.0</v>
      </c>
      <c r="E62" s="161">
        <v>180000.0</v>
      </c>
      <c r="F62" s="162">
        <f t="shared" si="1"/>
        <v>10000</v>
      </c>
      <c r="G62" s="163">
        <f t="shared" si="2"/>
        <v>0.05882352941</v>
      </c>
    </row>
    <row r="63" ht="15.75" customHeight="1">
      <c r="A63" s="164">
        <v>60.0</v>
      </c>
      <c r="B63" s="165" t="s">
        <v>1572</v>
      </c>
      <c r="C63" s="164" t="s">
        <v>109</v>
      </c>
      <c r="D63" s="161">
        <v>170000.0</v>
      </c>
      <c r="E63" s="161">
        <v>180000.0</v>
      </c>
      <c r="F63" s="166">
        <f t="shared" si="1"/>
        <v>10000</v>
      </c>
      <c r="G63" s="167">
        <f t="shared" si="2"/>
        <v>0.05882352941</v>
      </c>
    </row>
    <row r="64" ht="15.75" customHeight="1">
      <c r="A64" s="159">
        <v>61.0</v>
      </c>
      <c r="B64" s="160" t="s">
        <v>1573</v>
      </c>
      <c r="C64" s="159" t="s">
        <v>109</v>
      </c>
      <c r="D64" s="161">
        <v>140000.0</v>
      </c>
      <c r="E64" s="161">
        <v>180000.0</v>
      </c>
      <c r="F64" s="162">
        <f t="shared" si="1"/>
        <v>40000</v>
      </c>
      <c r="G64" s="163">
        <f t="shared" si="2"/>
        <v>0.2857142857</v>
      </c>
    </row>
    <row r="65" ht="15.75" customHeight="1">
      <c r="A65" s="164">
        <v>62.0</v>
      </c>
      <c r="B65" s="165" t="s">
        <v>1574</v>
      </c>
      <c r="C65" s="164" t="s">
        <v>109</v>
      </c>
      <c r="D65" s="161">
        <v>16000.0</v>
      </c>
      <c r="E65" s="161">
        <v>15000.0</v>
      </c>
      <c r="F65" s="166">
        <f t="shared" si="1"/>
        <v>-1000</v>
      </c>
      <c r="G65" s="167">
        <f t="shared" si="2"/>
        <v>-0.0625</v>
      </c>
    </row>
    <row r="66" ht="15.75" customHeight="1">
      <c r="A66" s="159">
        <v>63.0</v>
      </c>
      <c r="B66" s="160" t="s">
        <v>1575</v>
      </c>
      <c r="C66" s="159" t="s">
        <v>109</v>
      </c>
      <c r="D66" s="161">
        <v>24000.0</v>
      </c>
      <c r="E66" s="161">
        <v>26000.0</v>
      </c>
      <c r="F66" s="162">
        <f t="shared" si="1"/>
        <v>2000</v>
      </c>
      <c r="G66" s="163">
        <f t="shared" si="2"/>
        <v>0.08333333333</v>
      </c>
    </row>
    <row r="67" ht="15.75" customHeight="1">
      <c r="A67" s="164">
        <v>64.0</v>
      </c>
      <c r="B67" s="165" t="s">
        <v>1576</v>
      </c>
      <c r="C67" s="164" t="s">
        <v>109</v>
      </c>
      <c r="D67" s="161"/>
      <c r="E67" s="161"/>
      <c r="F67" s="166" t="str">
        <f t="shared" si="1"/>
        <v/>
      </c>
      <c r="G67" s="167" t="str">
        <f t="shared" si="2"/>
        <v/>
      </c>
    </row>
    <row r="68" ht="15.75" customHeight="1">
      <c r="A68" s="159">
        <v>65.0</v>
      </c>
      <c r="B68" s="160" t="s">
        <v>1577</v>
      </c>
      <c r="C68" s="159" t="s">
        <v>109</v>
      </c>
      <c r="D68" s="161"/>
      <c r="E68" s="161"/>
      <c r="F68" s="162" t="str">
        <f t="shared" si="1"/>
        <v/>
      </c>
      <c r="G68" s="163" t="str">
        <f t="shared" si="2"/>
        <v/>
      </c>
    </row>
    <row r="69" ht="15.75" customHeight="1">
      <c r="A69" s="164">
        <v>66.0</v>
      </c>
      <c r="B69" s="165" t="s">
        <v>1578</v>
      </c>
      <c r="C69" s="164" t="s">
        <v>1579</v>
      </c>
      <c r="D69" s="161">
        <v>205000.0</v>
      </c>
      <c r="E69" s="161">
        <v>270000.0</v>
      </c>
      <c r="F69" s="166">
        <f t="shared" si="1"/>
        <v>65000</v>
      </c>
      <c r="G69" s="167">
        <f t="shared" si="2"/>
        <v>0.3170731707</v>
      </c>
    </row>
    <row r="70" ht="15.75" customHeight="1">
      <c r="A70" s="159">
        <v>67.0</v>
      </c>
      <c r="B70" s="160" t="s">
        <v>1580</v>
      </c>
      <c r="C70" s="159" t="s">
        <v>1557</v>
      </c>
      <c r="D70" s="161">
        <v>47000.0</v>
      </c>
      <c r="E70" s="161">
        <v>55000.0</v>
      </c>
      <c r="F70" s="162">
        <f t="shared" si="1"/>
        <v>8000</v>
      </c>
      <c r="G70" s="163">
        <f t="shared" si="2"/>
        <v>0.170212766</v>
      </c>
    </row>
    <row r="71" ht="15.75" customHeight="1">
      <c r="A71" s="164">
        <v>68.0</v>
      </c>
      <c r="B71" s="165" t="s">
        <v>1152</v>
      </c>
      <c r="C71" s="164" t="s">
        <v>69</v>
      </c>
      <c r="D71" s="161">
        <v>1900.0</v>
      </c>
      <c r="E71" s="161">
        <v>2000.0</v>
      </c>
      <c r="F71" s="166">
        <f t="shared" si="1"/>
        <v>100</v>
      </c>
      <c r="G71" s="167">
        <f t="shared" si="2"/>
        <v>0.05263157895</v>
      </c>
    </row>
    <row r="72" ht="15.75" customHeight="1">
      <c r="A72" s="159">
        <v>69.0</v>
      </c>
      <c r="B72" s="160" t="s">
        <v>1581</v>
      </c>
      <c r="C72" s="159" t="s">
        <v>69</v>
      </c>
      <c r="D72" s="161"/>
      <c r="E72" s="161"/>
      <c r="F72" s="162" t="str">
        <f t="shared" si="1"/>
        <v/>
      </c>
      <c r="G72" s="163" t="str">
        <f t="shared" si="2"/>
        <v/>
      </c>
    </row>
    <row r="73" ht="15.75" customHeight="1">
      <c r="A73" s="164">
        <v>70.0</v>
      </c>
      <c r="B73" s="165" t="s">
        <v>1582</v>
      </c>
      <c r="C73" s="164" t="s">
        <v>1583</v>
      </c>
      <c r="D73" s="161"/>
      <c r="E73" s="161"/>
      <c r="F73" s="166" t="str">
        <f t="shared" si="1"/>
        <v/>
      </c>
      <c r="G73" s="167" t="str">
        <f t="shared" si="2"/>
        <v/>
      </c>
    </row>
    <row r="74" ht="15.75" customHeight="1">
      <c r="A74" s="159">
        <v>71.0</v>
      </c>
      <c r="B74" s="160" t="s">
        <v>1584</v>
      </c>
      <c r="C74" s="159" t="s">
        <v>109</v>
      </c>
      <c r="D74" s="161">
        <v>42000.0</v>
      </c>
      <c r="E74" s="161">
        <v>46000.0</v>
      </c>
      <c r="F74" s="162">
        <f t="shared" si="1"/>
        <v>4000</v>
      </c>
      <c r="G74" s="163">
        <f t="shared" si="2"/>
        <v>0.09523809524</v>
      </c>
    </row>
    <row r="75" ht="15.75" customHeight="1">
      <c r="A75" s="164">
        <v>72.0</v>
      </c>
      <c r="B75" s="165" t="s">
        <v>1585</v>
      </c>
      <c r="C75" s="164" t="s">
        <v>109</v>
      </c>
      <c r="D75" s="161"/>
      <c r="E75" s="161">
        <v>32500.0</v>
      </c>
      <c r="F75" s="166" t="str">
        <f t="shared" si="1"/>
        <v/>
      </c>
      <c r="G75" s="167" t="str">
        <f t="shared" si="2"/>
        <v/>
      </c>
    </row>
    <row r="76" ht="15.75" customHeight="1">
      <c r="A76" s="159">
        <v>73.0</v>
      </c>
      <c r="B76" s="160" t="s">
        <v>1586</v>
      </c>
      <c r="C76" s="159" t="s">
        <v>1557</v>
      </c>
      <c r="D76" s="161">
        <v>115000.0</v>
      </c>
      <c r="E76" s="161">
        <v>125000.0</v>
      </c>
      <c r="F76" s="162">
        <f t="shared" si="1"/>
        <v>10000</v>
      </c>
      <c r="G76" s="163">
        <f t="shared" si="2"/>
        <v>0.08695652174</v>
      </c>
    </row>
    <row r="77" ht="15.75" customHeight="1">
      <c r="A77" s="164">
        <v>74.0</v>
      </c>
      <c r="B77" s="165" t="s">
        <v>1587</v>
      </c>
      <c r="C77" s="164" t="s">
        <v>1559</v>
      </c>
      <c r="D77" s="161">
        <v>135000.0</v>
      </c>
      <c r="E77" s="161">
        <v>155000.0</v>
      </c>
      <c r="F77" s="166">
        <f t="shared" si="1"/>
        <v>20000</v>
      </c>
      <c r="G77" s="167">
        <f t="shared" si="2"/>
        <v>0.1481481481</v>
      </c>
    </row>
    <row r="78" ht="15.75" customHeight="1">
      <c r="A78" s="159">
        <v>75.0</v>
      </c>
      <c r="B78" s="160" t="s">
        <v>1588</v>
      </c>
      <c r="C78" s="159" t="s">
        <v>261</v>
      </c>
      <c r="D78" s="161">
        <v>115000.0</v>
      </c>
      <c r="E78" s="161">
        <v>125000.0</v>
      </c>
      <c r="F78" s="162">
        <f t="shared" si="1"/>
        <v>10000</v>
      </c>
      <c r="G78" s="163">
        <f t="shared" si="2"/>
        <v>0.08695652174</v>
      </c>
    </row>
    <row r="79" ht="15.75" customHeight="1">
      <c r="A79" s="164">
        <v>76.0</v>
      </c>
      <c r="B79" s="165" t="s">
        <v>1589</v>
      </c>
      <c r="C79" s="164" t="s">
        <v>1557</v>
      </c>
      <c r="D79" s="161">
        <v>52000.0</v>
      </c>
      <c r="E79" s="161">
        <v>57000.0</v>
      </c>
      <c r="F79" s="166">
        <f t="shared" si="1"/>
        <v>5000</v>
      </c>
      <c r="G79" s="167">
        <f t="shared" si="2"/>
        <v>0.09615384615</v>
      </c>
    </row>
    <row r="80" ht="15.75" customHeight="1">
      <c r="A80" s="159">
        <v>77.0</v>
      </c>
      <c r="B80" s="160" t="s">
        <v>1590</v>
      </c>
      <c r="C80" s="159" t="s">
        <v>1559</v>
      </c>
      <c r="D80" s="161">
        <v>95000.0</v>
      </c>
      <c r="E80" s="161">
        <v>100000.0</v>
      </c>
      <c r="F80" s="162">
        <f t="shared" si="1"/>
        <v>5000</v>
      </c>
      <c r="G80" s="163">
        <f t="shared" si="2"/>
        <v>0.05263157895</v>
      </c>
    </row>
    <row r="81" ht="15.75" customHeight="1">
      <c r="A81" s="164">
        <v>78.0</v>
      </c>
      <c r="B81" s="165" t="s">
        <v>1591</v>
      </c>
      <c r="C81" s="164" t="s">
        <v>69</v>
      </c>
      <c r="D81" s="161">
        <v>5750.0</v>
      </c>
      <c r="E81" s="161">
        <v>7500.0</v>
      </c>
      <c r="F81" s="166">
        <f t="shared" si="1"/>
        <v>1750</v>
      </c>
      <c r="G81" s="167">
        <f t="shared" si="2"/>
        <v>0.3043478261</v>
      </c>
    </row>
    <row r="82" ht="15.75" customHeight="1">
      <c r="A82" s="159">
        <v>79.0</v>
      </c>
      <c r="B82" s="160" t="s">
        <v>1592</v>
      </c>
      <c r="C82" s="159" t="s">
        <v>109</v>
      </c>
      <c r="D82" s="161">
        <v>9000.0</v>
      </c>
      <c r="E82" s="161">
        <v>12000.0</v>
      </c>
      <c r="F82" s="162">
        <f t="shared" si="1"/>
        <v>3000</v>
      </c>
      <c r="G82" s="163">
        <f t="shared" si="2"/>
        <v>0.3333333333</v>
      </c>
    </row>
    <row r="83" ht="15.75" customHeight="1">
      <c r="A83" s="164">
        <v>80.0</v>
      </c>
      <c r="B83" s="165" t="s">
        <v>1593</v>
      </c>
      <c r="C83" s="164" t="s">
        <v>109</v>
      </c>
      <c r="D83" s="161">
        <v>9000.0</v>
      </c>
      <c r="E83" s="161">
        <v>15000.0</v>
      </c>
      <c r="F83" s="166">
        <f t="shared" si="1"/>
        <v>6000</v>
      </c>
      <c r="G83" s="167">
        <f t="shared" si="2"/>
        <v>0.6666666667</v>
      </c>
    </row>
    <row r="84" ht="15.75" customHeight="1">
      <c r="A84" s="159">
        <v>81.0</v>
      </c>
      <c r="B84" s="160" t="s">
        <v>1594</v>
      </c>
      <c r="C84" s="159" t="s">
        <v>109</v>
      </c>
      <c r="D84" s="161">
        <v>34000.0</v>
      </c>
      <c r="E84" s="161">
        <v>37000.0</v>
      </c>
      <c r="F84" s="162">
        <f t="shared" si="1"/>
        <v>3000</v>
      </c>
      <c r="G84" s="163">
        <f t="shared" si="2"/>
        <v>0.08823529412</v>
      </c>
    </row>
    <row r="85" ht="15.75" customHeight="1">
      <c r="A85" s="164">
        <v>82.0</v>
      </c>
      <c r="B85" s="165" t="s">
        <v>1112</v>
      </c>
      <c r="C85" s="164" t="s">
        <v>109</v>
      </c>
      <c r="D85" s="161">
        <v>18500.0</v>
      </c>
      <c r="E85" s="161">
        <v>21500.0</v>
      </c>
      <c r="F85" s="166">
        <f t="shared" si="1"/>
        <v>3000</v>
      </c>
      <c r="G85" s="167">
        <f t="shared" si="2"/>
        <v>0.1621621622</v>
      </c>
    </row>
    <row r="86" ht="15.75" customHeight="1">
      <c r="A86" s="159">
        <v>83.0</v>
      </c>
      <c r="B86" s="160" t="s">
        <v>1595</v>
      </c>
      <c r="C86" s="159" t="s">
        <v>109</v>
      </c>
      <c r="D86" s="161">
        <v>12000.0</v>
      </c>
      <c r="E86" s="161">
        <v>15000.0</v>
      </c>
      <c r="F86" s="162">
        <f t="shared" si="1"/>
        <v>3000</v>
      </c>
      <c r="G86" s="163">
        <f t="shared" si="2"/>
        <v>0.25</v>
      </c>
    </row>
    <row r="87" ht="15.75" customHeight="1">
      <c r="A87" s="164">
        <v>84.0</v>
      </c>
      <c r="B87" s="165" t="s">
        <v>1596</v>
      </c>
      <c r="C87" s="164" t="s">
        <v>69</v>
      </c>
      <c r="D87" s="161">
        <v>3264.0</v>
      </c>
      <c r="E87" s="161">
        <v>3700.0</v>
      </c>
      <c r="F87" s="166">
        <f t="shared" si="1"/>
        <v>436</v>
      </c>
      <c r="G87" s="167">
        <f t="shared" si="2"/>
        <v>0.1335784314</v>
      </c>
    </row>
    <row r="88" ht="15.75" customHeight="1">
      <c r="A88" s="159">
        <v>85.0</v>
      </c>
      <c r="B88" s="160" t="s">
        <v>1597</v>
      </c>
      <c r="C88" s="159" t="s">
        <v>69</v>
      </c>
      <c r="D88" s="161">
        <v>500.0</v>
      </c>
      <c r="E88" s="161">
        <v>700.0</v>
      </c>
      <c r="F88" s="162">
        <f t="shared" si="1"/>
        <v>200</v>
      </c>
      <c r="G88" s="163">
        <f t="shared" si="2"/>
        <v>0.4</v>
      </c>
    </row>
    <row r="89" ht="15.75" customHeight="1">
      <c r="A89" s="164">
        <v>86.0</v>
      </c>
      <c r="B89" s="165" t="s">
        <v>1598</v>
      </c>
      <c r="C89" s="164" t="s">
        <v>69</v>
      </c>
      <c r="D89" s="161">
        <v>500.0</v>
      </c>
      <c r="E89" s="161">
        <v>700.0</v>
      </c>
      <c r="F89" s="166">
        <f t="shared" si="1"/>
        <v>200</v>
      </c>
      <c r="G89" s="167">
        <f t="shared" si="2"/>
        <v>0.4</v>
      </c>
    </row>
    <row r="90" ht="15.75" customHeight="1">
      <c r="A90" s="159">
        <v>87.0</v>
      </c>
      <c r="B90" s="160" t="s">
        <v>1599</v>
      </c>
      <c r="C90" s="159" t="s">
        <v>69</v>
      </c>
      <c r="D90" s="161">
        <v>650.0</v>
      </c>
      <c r="E90" s="161">
        <v>800.0</v>
      </c>
      <c r="F90" s="162">
        <f t="shared" si="1"/>
        <v>150</v>
      </c>
      <c r="G90" s="163">
        <f t="shared" si="2"/>
        <v>0.2307692308</v>
      </c>
    </row>
    <row r="91" ht="15.75" customHeight="1">
      <c r="A91" s="164">
        <v>88.0</v>
      </c>
      <c r="B91" s="165" t="s">
        <v>1344</v>
      </c>
      <c r="C91" s="164" t="s">
        <v>69</v>
      </c>
      <c r="D91" s="161">
        <v>500.0</v>
      </c>
      <c r="E91" s="161">
        <v>700.0</v>
      </c>
      <c r="F91" s="166">
        <f t="shared" si="1"/>
        <v>200</v>
      </c>
      <c r="G91" s="167">
        <f t="shared" si="2"/>
        <v>0.4</v>
      </c>
    </row>
    <row r="92" ht="15.75" customHeight="1">
      <c r="A92" s="159">
        <v>89.0</v>
      </c>
      <c r="B92" s="160" t="s">
        <v>1600</v>
      </c>
      <c r="C92" s="159" t="s">
        <v>109</v>
      </c>
      <c r="D92" s="161">
        <v>28000.0</v>
      </c>
      <c r="E92" s="161">
        <v>30000.0</v>
      </c>
      <c r="F92" s="162">
        <f t="shared" si="1"/>
        <v>2000</v>
      </c>
      <c r="G92" s="163">
        <f t="shared" si="2"/>
        <v>0.07142857143</v>
      </c>
    </row>
    <row r="93" ht="15.75" customHeight="1">
      <c r="A93" s="164">
        <v>90.0</v>
      </c>
      <c r="B93" s="165" t="s">
        <v>1601</v>
      </c>
      <c r="C93" s="164" t="s">
        <v>67</v>
      </c>
      <c r="D93" s="161">
        <v>12000.0</v>
      </c>
      <c r="E93" s="161">
        <v>14000.0</v>
      </c>
      <c r="F93" s="166">
        <f t="shared" si="1"/>
        <v>2000</v>
      </c>
      <c r="G93" s="167">
        <f t="shared" si="2"/>
        <v>0.1666666667</v>
      </c>
    </row>
    <row r="94" ht="15.75" customHeight="1">
      <c r="A94" s="159">
        <v>91.0</v>
      </c>
      <c r="B94" s="160" t="s">
        <v>1602</v>
      </c>
      <c r="C94" s="159" t="s">
        <v>109</v>
      </c>
      <c r="D94" s="161"/>
      <c r="E94" s="161">
        <v>14000.0</v>
      </c>
      <c r="F94" s="162" t="str">
        <f t="shared" si="1"/>
        <v/>
      </c>
      <c r="G94" s="163" t="str">
        <f t="shared" si="2"/>
        <v/>
      </c>
    </row>
    <row r="95" ht="15.75" customHeight="1">
      <c r="A95" s="164">
        <v>92.0</v>
      </c>
      <c r="B95" s="165" t="s">
        <v>1603</v>
      </c>
      <c r="C95" s="164" t="s">
        <v>109</v>
      </c>
      <c r="D95" s="161">
        <v>23000.0</v>
      </c>
      <c r="E95" s="161">
        <v>26500.0</v>
      </c>
      <c r="F95" s="166">
        <f t="shared" si="1"/>
        <v>3500</v>
      </c>
      <c r="G95" s="167">
        <f t="shared" si="2"/>
        <v>0.152173913</v>
      </c>
    </row>
    <row r="96" ht="15.75" customHeight="1">
      <c r="A96" s="159">
        <v>93.0</v>
      </c>
      <c r="B96" s="160" t="s">
        <v>1604</v>
      </c>
      <c r="C96" s="159" t="s">
        <v>109</v>
      </c>
      <c r="D96" s="161">
        <v>12000.0</v>
      </c>
      <c r="E96" s="161">
        <v>14000.0</v>
      </c>
      <c r="F96" s="162">
        <f t="shared" si="1"/>
        <v>2000</v>
      </c>
      <c r="G96" s="163">
        <f t="shared" si="2"/>
        <v>0.1666666667</v>
      </c>
    </row>
    <row r="97" ht="15.75" customHeight="1">
      <c r="A97" s="164">
        <v>94.0</v>
      </c>
      <c r="B97" s="165" t="s">
        <v>1605</v>
      </c>
      <c r="C97" s="164" t="s">
        <v>109</v>
      </c>
      <c r="D97" s="161">
        <v>11500.0</v>
      </c>
      <c r="E97" s="161">
        <v>300000.0</v>
      </c>
      <c r="F97" s="166">
        <f t="shared" si="1"/>
        <v>288500</v>
      </c>
      <c r="G97" s="167">
        <f t="shared" si="2"/>
        <v>25.08695652</v>
      </c>
    </row>
    <row r="98" ht="15.75" customHeight="1">
      <c r="A98" s="159">
        <v>95.0</v>
      </c>
      <c r="B98" s="160" t="s">
        <v>1606</v>
      </c>
      <c r="C98" s="159" t="s">
        <v>109</v>
      </c>
      <c r="D98" s="161">
        <v>7000.0</v>
      </c>
      <c r="E98" s="161">
        <v>15000.0</v>
      </c>
      <c r="F98" s="162">
        <f t="shared" si="1"/>
        <v>8000</v>
      </c>
      <c r="G98" s="163">
        <f t="shared" si="2"/>
        <v>1.142857143</v>
      </c>
    </row>
    <row r="99" ht="15.75" customHeight="1">
      <c r="A99" s="164">
        <v>96.0</v>
      </c>
      <c r="B99" s="165" t="s">
        <v>1607</v>
      </c>
      <c r="C99" s="164" t="s">
        <v>109</v>
      </c>
      <c r="D99" s="161">
        <v>8000.0</v>
      </c>
      <c r="E99" s="161">
        <v>13000.0</v>
      </c>
      <c r="F99" s="166">
        <f t="shared" si="1"/>
        <v>5000</v>
      </c>
      <c r="G99" s="167">
        <f t="shared" si="2"/>
        <v>0.625</v>
      </c>
    </row>
    <row r="100" ht="15.75" customHeight="1">
      <c r="A100" s="159">
        <v>97.0</v>
      </c>
      <c r="B100" s="160" t="s">
        <v>1608</v>
      </c>
      <c r="C100" s="159" t="s">
        <v>109</v>
      </c>
      <c r="D100" s="161">
        <v>14000.0</v>
      </c>
      <c r="E100" s="161">
        <v>18000.0</v>
      </c>
      <c r="F100" s="162">
        <f t="shared" si="1"/>
        <v>4000</v>
      </c>
      <c r="G100" s="163">
        <f t="shared" si="2"/>
        <v>0.2857142857</v>
      </c>
    </row>
    <row r="101" ht="15.75" customHeight="1">
      <c r="A101" s="164">
        <v>98.0</v>
      </c>
      <c r="B101" s="165" t="s">
        <v>1609</v>
      </c>
      <c r="C101" s="164" t="s">
        <v>109</v>
      </c>
      <c r="D101" s="161">
        <v>9000.0</v>
      </c>
      <c r="E101" s="161">
        <v>14000.0</v>
      </c>
      <c r="F101" s="166">
        <f t="shared" si="1"/>
        <v>5000</v>
      </c>
      <c r="G101" s="167">
        <f t="shared" si="2"/>
        <v>0.5555555556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1610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169" t="s">
        <v>1611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160" t="s">
        <v>1521</v>
      </c>
      <c r="C7" s="159" t="s">
        <v>69</v>
      </c>
      <c r="D7" s="183">
        <v>2550.0</v>
      </c>
      <c r="E7" s="184" t="str">
        <f>'Daftar Harga'!D11</f>
        <v/>
      </c>
      <c r="F7" s="185" t="str">
        <f t="shared" ref="F7:F20" si="1">IF(E7&lt;&gt;"",D7*E7,"")</f>
        <v/>
      </c>
      <c r="G7" s="186">
        <v>3500.0</v>
      </c>
      <c r="H7" s="187">
        <f t="shared" ref="H7:H20" si="2">IF(G7&lt;&gt;"",D7*G7,"")</f>
        <v>8925000</v>
      </c>
      <c r="I7" s="188">
        <v>3800.0</v>
      </c>
      <c r="J7" s="189">
        <f t="shared" ref="J7:J20" si="3">IF(I7&lt;&gt;"",D7*I7,"")</f>
        <v>9690000</v>
      </c>
      <c r="K7" s="190">
        <f t="shared" ref="K7:K21" si="4">IF(J7&lt;&gt;"",IF(H7&lt;&gt;"",J7-H7,IF(F7&lt;&gt;"",J7-F7,"")),"")</f>
        <v>765000</v>
      </c>
      <c r="L7" s="191">
        <f t="shared" ref="L7:L21" si="5">IF(K7&lt;&gt;"",IF(H7&lt;&gt;"",IF(H7&lt;&gt;0,K7/H7,""),IF(F7&lt;&gt;"",IF(F7&lt;&gt;0,K7/F7,""),"")),"")</f>
        <v>0.08571428571</v>
      </c>
      <c r="M7" s="192"/>
    </row>
    <row r="8" ht="15.75" customHeight="1">
      <c r="A8" s="164">
        <v>2.0</v>
      </c>
      <c r="B8" s="165" t="s">
        <v>1524</v>
      </c>
      <c r="C8" s="164" t="s">
        <v>109</v>
      </c>
      <c r="D8" s="193">
        <v>3.0</v>
      </c>
      <c r="E8" s="184">
        <f>'Daftar Harga'!D14</f>
        <v>40000</v>
      </c>
      <c r="F8" s="185">
        <f t="shared" si="1"/>
        <v>120000</v>
      </c>
      <c r="G8" s="186">
        <v>40000.0</v>
      </c>
      <c r="H8" s="187">
        <f t="shared" si="2"/>
        <v>120000</v>
      </c>
      <c r="I8" s="188">
        <v>45000.0</v>
      </c>
      <c r="J8" s="189">
        <f t="shared" si="3"/>
        <v>135000</v>
      </c>
      <c r="K8" s="194">
        <f t="shared" si="4"/>
        <v>15000</v>
      </c>
      <c r="L8" s="195">
        <f t="shared" si="5"/>
        <v>0.125</v>
      </c>
      <c r="M8" s="196"/>
    </row>
    <row r="9" ht="15.75" customHeight="1">
      <c r="A9" s="159">
        <v>3.0</v>
      </c>
      <c r="B9" s="160" t="s">
        <v>1526</v>
      </c>
      <c r="C9" s="159" t="s">
        <v>109</v>
      </c>
      <c r="D9" s="183">
        <v>3.0</v>
      </c>
      <c r="E9" s="184">
        <f>'Daftar Harga'!D16</f>
        <v>33000</v>
      </c>
      <c r="F9" s="185">
        <f t="shared" si="1"/>
        <v>99000</v>
      </c>
      <c r="G9" s="186">
        <v>30000.0</v>
      </c>
      <c r="H9" s="187">
        <f t="shared" si="2"/>
        <v>90000</v>
      </c>
      <c r="I9" s="188">
        <v>44000.0</v>
      </c>
      <c r="J9" s="189">
        <f t="shared" si="3"/>
        <v>132000</v>
      </c>
      <c r="K9" s="190">
        <f t="shared" si="4"/>
        <v>42000</v>
      </c>
      <c r="L9" s="191">
        <f t="shared" si="5"/>
        <v>0.4666666667</v>
      </c>
      <c r="M9" s="192"/>
    </row>
    <row r="10" ht="15.75" customHeight="1">
      <c r="A10" s="164">
        <v>4.0</v>
      </c>
      <c r="B10" s="165" t="s">
        <v>1527</v>
      </c>
      <c r="C10" s="164" t="s">
        <v>109</v>
      </c>
      <c r="D10" s="193">
        <v>100.0</v>
      </c>
      <c r="E10" s="184">
        <f>'Daftar Harga'!D17</f>
        <v>15500</v>
      </c>
      <c r="F10" s="185">
        <f t="shared" si="1"/>
        <v>1550000</v>
      </c>
      <c r="G10" s="186">
        <v>14500.0</v>
      </c>
      <c r="H10" s="187">
        <f t="shared" si="2"/>
        <v>1450000</v>
      </c>
      <c r="I10" s="188">
        <v>15500.0</v>
      </c>
      <c r="J10" s="189">
        <f t="shared" si="3"/>
        <v>1550000</v>
      </c>
      <c r="K10" s="194">
        <f t="shared" si="4"/>
        <v>100000</v>
      </c>
      <c r="L10" s="195">
        <f t="shared" si="5"/>
        <v>0.06896551724</v>
      </c>
      <c r="M10" s="196"/>
    </row>
    <row r="11" ht="15.75" customHeight="1">
      <c r="A11" s="159">
        <v>5.0</v>
      </c>
      <c r="B11" s="160" t="s">
        <v>1545</v>
      </c>
      <c r="C11" s="159" t="s">
        <v>109</v>
      </c>
      <c r="D11" s="183">
        <v>5.0</v>
      </c>
      <c r="E11" s="184">
        <f>'Daftar Harga'!D36</f>
        <v>19000</v>
      </c>
      <c r="F11" s="185">
        <f t="shared" si="1"/>
        <v>95000</v>
      </c>
      <c r="G11" s="186">
        <v>18500.0</v>
      </c>
      <c r="H11" s="187">
        <f t="shared" si="2"/>
        <v>92500</v>
      </c>
      <c r="I11" s="188">
        <v>20000.0</v>
      </c>
      <c r="J11" s="189">
        <f t="shared" si="3"/>
        <v>100000</v>
      </c>
      <c r="K11" s="190">
        <f t="shared" si="4"/>
        <v>7500</v>
      </c>
      <c r="L11" s="191">
        <f t="shared" si="5"/>
        <v>0.08108108108</v>
      </c>
      <c r="M11" s="192"/>
    </row>
    <row r="12" ht="15.75" customHeight="1">
      <c r="A12" s="164">
        <v>6.0</v>
      </c>
      <c r="B12" s="165" t="s">
        <v>1566</v>
      </c>
      <c r="C12" s="164" t="s">
        <v>109</v>
      </c>
      <c r="D12" s="193">
        <v>5.0</v>
      </c>
      <c r="E12" s="184">
        <f>'Daftar Harga'!D57</f>
        <v>95000</v>
      </c>
      <c r="F12" s="185">
        <f t="shared" si="1"/>
        <v>475000</v>
      </c>
      <c r="G12" s="186">
        <v>94000.0</v>
      </c>
      <c r="H12" s="187">
        <f t="shared" si="2"/>
        <v>470000</v>
      </c>
      <c r="I12" s="188">
        <v>105000.0</v>
      </c>
      <c r="J12" s="189">
        <f t="shared" si="3"/>
        <v>525000</v>
      </c>
      <c r="K12" s="194">
        <f t="shared" si="4"/>
        <v>55000</v>
      </c>
      <c r="L12" s="195">
        <f t="shared" si="5"/>
        <v>0.1170212766</v>
      </c>
      <c r="M12" s="196"/>
    </row>
    <row r="13" ht="15.75" customHeight="1">
      <c r="A13" s="159">
        <v>7.0</v>
      </c>
      <c r="B13" s="160" t="s">
        <v>1567</v>
      </c>
      <c r="C13" s="159" t="s">
        <v>109</v>
      </c>
      <c r="D13" s="183">
        <v>60.0</v>
      </c>
      <c r="E13" s="184">
        <f>'Daftar Harga'!D58</f>
        <v>6500</v>
      </c>
      <c r="F13" s="185">
        <f t="shared" si="1"/>
        <v>390000</v>
      </c>
      <c r="G13" s="186">
        <v>7500.0</v>
      </c>
      <c r="H13" s="187">
        <f t="shared" si="2"/>
        <v>450000</v>
      </c>
      <c r="I13" s="188">
        <v>12000.0</v>
      </c>
      <c r="J13" s="189">
        <f t="shared" si="3"/>
        <v>720000</v>
      </c>
      <c r="K13" s="190">
        <f t="shared" si="4"/>
        <v>270000</v>
      </c>
      <c r="L13" s="191">
        <f t="shared" si="5"/>
        <v>0.6</v>
      </c>
      <c r="M13" s="192"/>
    </row>
    <row r="14" ht="15.75" customHeight="1">
      <c r="A14" s="164">
        <v>8.0</v>
      </c>
      <c r="B14" s="165" t="s">
        <v>1569</v>
      </c>
      <c r="C14" s="164" t="s">
        <v>109</v>
      </c>
      <c r="D14" s="193">
        <v>1.0</v>
      </c>
      <c r="E14" s="184">
        <f>'Daftar Harga'!D60</f>
        <v>12000</v>
      </c>
      <c r="F14" s="185">
        <f t="shared" si="1"/>
        <v>12000</v>
      </c>
      <c r="G14" s="186">
        <v>12000.0</v>
      </c>
      <c r="H14" s="187">
        <f t="shared" si="2"/>
        <v>12000</v>
      </c>
      <c r="I14" s="188">
        <v>16000.0</v>
      </c>
      <c r="J14" s="189">
        <f t="shared" si="3"/>
        <v>16000</v>
      </c>
      <c r="K14" s="194">
        <f t="shared" si="4"/>
        <v>4000</v>
      </c>
      <c r="L14" s="195">
        <f t="shared" si="5"/>
        <v>0.3333333333</v>
      </c>
      <c r="M14" s="196"/>
    </row>
    <row r="15" ht="15.75" customHeight="1">
      <c r="A15" s="159">
        <v>9.0</v>
      </c>
      <c r="B15" s="160" t="s">
        <v>1578</v>
      </c>
      <c r="C15" s="159" t="s">
        <v>1579</v>
      </c>
      <c r="D15" s="183">
        <v>60.0</v>
      </c>
      <c r="E15" s="184">
        <f>'Daftar Harga'!D69</f>
        <v>205000</v>
      </c>
      <c r="F15" s="185">
        <f t="shared" si="1"/>
        <v>12300000</v>
      </c>
      <c r="G15" s="186">
        <v>22000.0</v>
      </c>
      <c r="H15" s="187">
        <f t="shared" si="2"/>
        <v>1320000</v>
      </c>
      <c r="I15" s="188">
        <v>23000.0</v>
      </c>
      <c r="J15" s="189">
        <f t="shared" si="3"/>
        <v>1380000</v>
      </c>
      <c r="K15" s="190">
        <f t="shared" si="4"/>
        <v>60000</v>
      </c>
      <c r="L15" s="191">
        <f t="shared" si="5"/>
        <v>0.04545454545</v>
      </c>
      <c r="M15" s="192"/>
    </row>
    <row r="16" ht="15.75" customHeight="1">
      <c r="A16" s="164">
        <v>10.0</v>
      </c>
      <c r="B16" s="197" t="s">
        <v>1597</v>
      </c>
      <c r="C16" s="164" t="s">
        <v>69</v>
      </c>
      <c r="D16" s="198">
        <v>2600.0</v>
      </c>
      <c r="E16" s="184">
        <f>'Daftar Harga'!D71</f>
        <v>1900</v>
      </c>
      <c r="F16" s="185">
        <f t="shared" si="1"/>
        <v>4940000</v>
      </c>
      <c r="G16" s="199">
        <v>480.0</v>
      </c>
      <c r="H16" s="187">
        <f t="shared" si="2"/>
        <v>1248000</v>
      </c>
      <c r="I16" s="200">
        <v>700.0</v>
      </c>
      <c r="J16" s="189">
        <f t="shared" si="3"/>
        <v>1820000</v>
      </c>
      <c r="K16" s="194">
        <f t="shared" si="4"/>
        <v>572000</v>
      </c>
      <c r="L16" s="195">
        <f t="shared" si="5"/>
        <v>0.4583333333</v>
      </c>
      <c r="M16" s="196"/>
    </row>
    <row r="17" ht="15.75" customHeight="1">
      <c r="A17" s="159">
        <v>11.0</v>
      </c>
      <c r="B17" s="160" t="s">
        <v>1592</v>
      </c>
      <c r="C17" s="159" t="s">
        <v>109</v>
      </c>
      <c r="D17" s="183">
        <v>20.0</v>
      </c>
      <c r="E17" s="184">
        <f>'Daftar Harga'!D82</f>
        <v>9000</v>
      </c>
      <c r="F17" s="185">
        <f t="shared" si="1"/>
        <v>180000</v>
      </c>
      <c r="G17" s="186">
        <v>6000.0</v>
      </c>
      <c r="H17" s="187">
        <f t="shared" si="2"/>
        <v>120000</v>
      </c>
      <c r="I17" s="188">
        <v>12000.0</v>
      </c>
      <c r="J17" s="189">
        <f t="shared" si="3"/>
        <v>240000</v>
      </c>
      <c r="K17" s="190">
        <f t="shared" si="4"/>
        <v>120000</v>
      </c>
      <c r="L17" s="191">
        <f t="shared" si="5"/>
        <v>1</v>
      </c>
      <c r="M17" s="192"/>
    </row>
    <row r="18" ht="15.75" customHeight="1">
      <c r="A18" s="164">
        <v>12.0</v>
      </c>
      <c r="B18" s="165" t="s">
        <v>1609</v>
      </c>
      <c r="C18" s="164" t="s">
        <v>109</v>
      </c>
      <c r="D18" s="193">
        <v>30.0</v>
      </c>
      <c r="E18" s="184">
        <f>'Daftar Harga'!D101</f>
        <v>9000</v>
      </c>
      <c r="F18" s="185">
        <f t="shared" si="1"/>
        <v>270000</v>
      </c>
      <c r="G18" s="186">
        <v>12000.0</v>
      </c>
      <c r="H18" s="187">
        <f t="shared" si="2"/>
        <v>360000</v>
      </c>
      <c r="I18" s="188">
        <v>14000.0</v>
      </c>
      <c r="J18" s="189">
        <f t="shared" si="3"/>
        <v>420000</v>
      </c>
      <c r="K18" s="194">
        <f t="shared" si="4"/>
        <v>60000</v>
      </c>
      <c r="L18" s="195">
        <f t="shared" si="5"/>
        <v>0.1666666667</v>
      </c>
      <c r="M18" s="196"/>
    </row>
    <row r="19" ht="15.75" customHeight="1">
      <c r="A19" s="159">
        <v>13.0</v>
      </c>
      <c r="B19" s="201" t="s">
        <v>1112</v>
      </c>
      <c r="C19" s="202" t="s">
        <v>109</v>
      </c>
      <c r="D19" s="203">
        <v>220.0</v>
      </c>
      <c r="E19" s="184" t="str">
        <f>'Daftar Harga'!D102</f>
        <v/>
      </c>
      <c r="F19" s="185" t="str">
        <f t="shared" si="1"/>
        <v/>
      </c>
      <c r="G19" s="199">
        <v>18500.0</v>
      </c>
      <c r="H19" s="187">
        <f t="shared" si="2"/>
        <v>4070000</v>
      </c>
      <c r="I19" s="188">
        <v>20500.0</v>
      </c>
      <c r="J19" s="189">
        <f t="shared" si="3"/>
        <v>4510000</v>
      </c>
      <c r="K19" s="194">
        <f t="shared" si="4"/>
        <v>440000</v>
      </c>
      <c r="L19" s="195">
        <f t="shared" si="5"/>
        <v>0.1081081081</v>
      </c>
      <c r="M19" s="196"/>
    </row>
    <row r="20" ht="15.75" customHeight="1">
      <c r="A20" s="164">
        <v>14.0</v>
      </c>
      <c r="B20" s="201" t="s">
        <v>1517</v>
      </c>
      <c r="C20" s="202" t="s">
        <v>1208</v>
      </c>
      <c r="D20" s="203">
        <v>7.0</v>
      </c>
      <c r="E20" s="184" t="str">
        <f>'Daftar Harga'!D103</f>
        <v/>
      </c>
      <c r="F20" s="185" t="str">
        <f t="shared" si="1"/>
        <v/>
      </c>
      <c r="G20" s="186">
        <v>590000.0</v>
      </c>
      <c r="H20" s="187">
        <f t="shared" si="2"/>
        <v>4130000</v>
      </c>
      <c r="I20" s="188">
        <v>605000.0</v>
      </c>
      <c r="J20" s="204">
        <f t="shared" si="3"/>
        <v>4235000</v>
      </c>
      <c r="K20" s="194">
        <f t="shared" si="4"/>
        <v>105000</v>
      </c>
      <c r="L20" s="195">
        <f t="shared" si="5"/>
        <v>0.02542372881</v>
      </c>
      <c r="M20" s="196"/>
    </row>
    <row r="21" ht="19.5" customHeight="1">
      <c r="A21" s="205" t="s">
        <v>1628</v>
      </c>
      <c r="B21" s="206"/>
      <c r="C21" s="206"/>
      <c r="D21" s="174"/>
      <c r="E21" s="207"/>
      <c r="F21" s="208">
        <f>SUMIF(F7:F20,"&lt;&gt;",F7:F20)</f>
        <v>20431000</v>
      </c>
      <c r="G21" s="207"/>
      <c r="H21" s="208">
        <f>SUMIF(H7:H20,"&lt;&gt;",H7:H20)</f>
        <v>22857500</v>
      </c>
      <c r="I21" s="209"/>
      <c r="J21" s="210">
        <f>SUMIF(J7:J20,"&lt;&gt;",J7:J20)</f>
        <v>25473000</v>
      </c>
      <c r="K21" s="211">
        <f t="shared" si="4"/>
        <v>2615500</v>
      </c>
      <c r="L21" s="212">
        <f t="shared" si="5"/>
        <v>0.1144263371</v>
      </c>
      <c r="M21" s="207"/>
    </row>
    <row r="23" ht="21.75" customHeight="1">
      <c r="A23" s="171" t="s">
        <v>1629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ht="19.5" customHeight="1">
      <c r="A24" s="172" t="s">
        <v>1509</v>
      </c>
      <c r="B24" s="172" t="s">
        <v>1510</v>
      </c>
      <c r="C24" s="172" t="s">
        <v>1511</v>
      </c>
      <c r="D24" s="172" t="s">
        <v>1614</v>
      </c>
      <c r="E24" s="173" t="s">
        <v>1615</v>
      </c>
      <c r="F24" s="174"/>
      <c r="G24" s="175" t="s">
        <v>1616</v>
      </c>
      <c r="H24" s="174"/>
      <c r="I24" s="176" t="s">
        <v>1617</v>
      </c>
      <c r="J24" s="174"/>
      <c r="K24" s="177" t="s">
        <v>1618</v>
      </c>
      <c r="L24" s="174"/>
      <c r="M24" s="172" t="s">
        <v>1619</v>
      </c>
    </row>
    <row r="25" ht="27.75" customHeight="1">
      <c r="A25" s="178" t="s">
        <v>1509</v>
      </c>
      <c r="B25" s="178" t="s">
        <v>1510</v>
      </c>
      <c r="C25" s="178" t="s">
        <v>1511</v>
      </c>
      <c r="D25" s="178" t="s">
        <v>1614</v>
      </c>
      <c r="E25" s="179" t="s">
        <v>1620</v>
      </c>
      <c r="F25" s="179" t="s">
        <v>1621</v>
      </c>
      <c r="G25" s="180" t="s">
        <v>1622</v>
      </c>
      <c r="H25" s="180" t="s">
        <v>1623</v>
      </c>
      <c r="I25" s="181" t="s">
        <v>1624</v>
      </c>
      <c r="J25" s="181" t="s">
        <v>1625</v>
      </c>
      <c r="K25" s="182" t="s">
        <v>1626</v>
      </c>
      <c r="L25" s="182" t="s">
        <v>1627</v>
      </c>
      <c r="M25" s="178" t="s">
        <v>1619</v>
      </c>
    </row>
    <row r="26" ht="15.75" customHeight="1">
      <c r="A26" s="159">
        <v>1.0</v>
      </c>
      <c r="B26" s="160" t="s">
        <v>1116</v>
      </c>
      <c r="C26" s="159" t="s">
        <v>109</v>
      </c>
      <c r="D26" s="213">
        <v>265.0</v>
      </c>
      <c r="E26" s="184">
        <f>'Daftar Harga'!D9</f>
        <v>36500</v>
      </c>
      <c r="F26" s="185">
        <f t="shared" ref="F26:F41" si="6">IF(E26&lt;&gt;"",D26*E26,"")</f>
        <v>9672500</v>
      </c>
      <c r="G26" s="214">
        <v>34000.0</v>
      </c>
      <c r="H26" s="187">
        <f t="shared" ref="H26:H41" si="7">IF(G26&lt;&gt;"",D26*G26,"")</f>
        <v>9010000</v>
      </c>
      <c r="I26" s="188">
        <v>38000.0</v>
      </c>
      <c r="J26" s="215">
        <f t="shared" ref="J26:J41" si="8">IF(I26&lt;&gt;"",D26*I26,"")</f>
        <v>10070000</v>
      </c>
      <c r="K26" s="190">
        <f t="shared" ref="K26:K42" si="9">IF(J26&lt;&gt;"",IF(H26&lt;&gt;"",J26-H26,IF(F26&lt;&gt;"",J26-F26,"")),"")</f>
        <v>1060000</v>
      </c>
      <c r="L26" s="191">
        <f t="shared" ref="L26:L42" si="10">IF(K26&lt;&gt;"",IF(H26&lt;&gt;"",IF(H26&lt;&gt;0,K26/H26,""),IF(F26&lt;&gt;"",IF(F26&lt;&gt;0,K26/F26,""),"")),"")</f>
        <v>0.1176470588</v>
      </c>
      <c r="M26" s="192"/>
    </row>
    <row r="27" ht="15.75" customHeight="1">
      <c r="A27" s="164">
        <v>2.0</v>
      </c>
      <c r="B27" s="165" t="s">
        <v>1524</v>
      </c>
      <c r="C27" s="164" t="s">
        <v>109</v>
      </c>
      <c r="D27" s="216">
        <v>3.0</v>
      </c>
      <c r="E27" s="184">
        <f>'Daftar Harga'!D14</f>
        <v>40000</v>
      </c>
      <c r="F27" s="185">
        <f t="shared" si="6"/>
        <v>120000</v>
      </c>
      <c r="G27" s="214">
        <v>40000.0</v>
      </c>
      <c r="H27" s="187">
        <f t="shared" si="7"/>
        <v>120000</v>
      </c>
      <c r="I27" s="188">
        <v>45000.0</v>
      </c>
      <c r="J27" s="215">
        <f t="shared" si="8"/>
        <v>135000</v>
      </c>
      <c r="K27" s="194">
        <f t="shared" si="9"/>
        <v>15000</v>
      </c>
      <c r="L27" s="195">
        <f t="shared" si="10"/>
        <v>0.125</v>
      </c>
      <c r="M27" s="196"/>
    </row>
    <row r="28" ht="15.75" customHeight="1">
      <c r="A28" s="159">
        <v>3.0</v>
      </c>
      <c r="B28" s="160" t="s">
        <v>1526</v>
      </c>
      <c r="C28" s="159" t="s">
        <v>109</v>
      </c>
      <c r="D28" s="213">
        <v>3.0</v>
      </c>
      <c r="E28" s="184">
        <f>'Daftar Harga'!D16</f>
        <v>33000</v>
      </c>
      <c r="F28" s="185">
        <f t="shared" si="6"/>
        <v>99000</v>
      </c>
      <c r="G28" s="214">
        <v>30000.0</v>
      </c>
      <c r="H28" s="187">
        <f t="shared" si="7"/>
        <v>90000</v>
      </c>
      <c r="I28" s="188">
        <v>40000.0</v>
      </c>
      <c r="J28" s="215">
        <f t="shared" si="8"/>
        <v>120000</v>
      </c>
      <c r="K28" s="190">
        <f t="shared" si="9"/>
        <v>30000</v>
      </c>
      <c r="L28" s="191">
        <f t="shared" si="10"/>
        <v>0.3333333333</v>
      </c>
      <c r="M28" s="192"/>
    </row>
    <row r="29" ht="15.75" customHeight="1">
      <c r="A29" s="164">
        <v>4.0</v>
      </c>
      <c r="B29" s="165" t="s">
        <v>1527</v>
      </c>
      <c r="C29" s="164" t="s">
        <v>109</v>
      </c>
      <c r="D29" s="216">
        <v>125.0</v>
      </c>
      <c r="E29" s="184">
        <f>'Daftar Harga'!D17</f>
        <v>15500</v>
      </c>
      <c r="F29" s="185">
        <f t="shared" si="6"/>
        <v>1937500</v>
      </c>
      <c r="G29" s="214">
        <v>14500.0</v>
      </c>
      <c r="H29" s="187">
        <f t="shared" si="7"/>
        <v>1812500</v>
      </c>
      <c r="I29" s="188">
        <v>15500.0</v>
      </c>
      <c r="J29" s="215">
        <f t="shared" si="8"/>
        <v>1937500</v>
      </c>
      <c r="K29" s="194">
        <f t="shared" si="9"/>
        <v>125000</v>
      </c>
      <c r="L29" s="195">
        <f t="shared" si="10"/>
        <v>0.06896551724</v>
      </c>
      <c r="M29" s="196"/>
    </row>
    <row r="30" ht="15.75" customHeight="1">
      <c r="A30" s="159">
        <v>5.0</v>
      </c>
      <c r="B30" s="160" t="s">
        <v>1528</v>
      </c>
      <c r="C30" s="159" t="s">
        <v>109</v>
      </c>
      <c r="D30" s="213">
        <v>67.0</v>
      </c>
      <c r="E30" s="184" t="str">
        <f>'Daftar Harga'!D18</f>
        <v/>
      </c>
      <c r="F30" s="185" t="str">
        <f t="shared" si="6"/>
        <v/>
      </c>
      <c r="G30" s="214">
        <v>15000.0</v>
      </c>
      <c r="H30" s="187">
        <f t="shared" si="7"/>
        <v>1005000</v>
      </c>
      <c r="I30" s="188">
        <v>20000.0</v>
      </c>
      <c r="J30" s="215">
        <f t="shared" si="8"/>
        <v>1340000</v>
      </c>
      <c r="K30" s="190">
        <f t="shared" si="9"/>
        <v>335000</v>
      </c>
      <c r="L30" s="191">
        <f t="shared" si="10"/>
        <v>0.3333333333</v>
      </c>
      <c r="M30" s="192"/>
    </row>
    <row r="31" ht="15.75" customHeight="1">
      <c r="A31" s="164">
        <v>6.0</v>
      </c>
      <c r="B31" s="165" t="s">
        <v>1545</v>
      </c>
      <c r="C31" s="164" t="s">
        <v>109</v>
      </c>
      <c r="D31" s="216">
        <v>10.0</v>
      </c>
      <c r="E31" s="184">
        <f>'Daftar Harga'!D36</f>
        <v>19000</v>
      </c>
      <c r="F31" s="185">
        <f t="shared" si="6"/>
        <v>190000</v>
      </c>
      <c r="G31" s="214">
        <v>18500.0</v>
      </c>
      <c r="H31" s="187">
        <f t="shared" si="7"/>
        <v>185000</v>
      </c>
      <c r="I31" s="188">
        <v>20000.0</v>
      </c>
      <c r="J31" s="215">
        <f t="shared" si="8"/>
        <v>200000</v>
      </c>
      <c r="K31" s="194">
        <f t="shared" si="9"/>
        <v>15000</v>
      </c>
      <c r="L31" s="195">
        <f t="shared" si="10"/>
        <v>0.08108108108</v>
      </c>
      <c r="M31" s="196"/>
    </row>
    <row r="32" ht="15.75" customHeight="1">
      <c r="A32" s="159">
        <v>7.0</v>
      </c>
      <c r="B32" s="160" t="s">
        <v>1566</v>
      </c>
      <c r="C32" s="159" t="s">
        <v>109</v>
      </c>
      <c r="D32" s="213">
        <v>2.0</v>
      </c>
      <c r="E32" s="184">
        <f>'Daftar Harga'!D57</f>
        <v>95000</v>
      </c>
      <c r="F32" s="185">
        <f t="shared" si="6"/>
        <v>190000</v>
      </c>
      <c r="G32" s="214">
        <v>94500.0</v>
      </c>
      <c r="H32" s="187">
        <f t="shared" si="7"/>
        <v>189000</v>
      </c>
      <c r="I32" s="188">
        <v>110000.0</v>
      </c>
      <c r="J32" s="215">
        <f t="shared" si="8"/>
        <v>220000</v>
      </c>
      <c r="K32" s="190">
        <f t="shared" si="9"/>
        <v>31000</v>
      </c>
      <c r="L32" s="191">
        <f t="shared" si="10"/>
        <v>0.164021164</v>
      </c>
      <c r="M32" s="192"/>
    </row>
    <row r="33" ht="15.75" customHeight="1">
      <c r="A33" s="164">
        <v>8.0</v>
      </c>
      <c r="B33" s="165" t="s">
        <v>1569</v>
      </c>
      <c r="C33" s="164" t="s">
        <v>109</v>
      </c>
      <c r="D33" s="216">
        <v>2.0</v>
      </c>
      <c r="E33" s="184">
        <f>'Daftar Harga'!D60</f>
        <v>12000</v>
      </c>
      <c r="F33" s="185">
        <f t="shared" si="6"/>
        <v>24000</v>
      </c>
      <c r="G33" s="214">
        <v>11667.0</v>
      </c>
      <c r="H33" s="187">
        <f t="shared" si="7"/>
        <v>23334</v>
      </c>
      <c r="I33" s="188">
        <v>15000.0</v>
      </c>
      <c r="J33" s="215">
        <f t="shared" si="8"/>
        <v>30000</v>
      </c>
      <c r="K33" s="194">
        <f t="shared" si="9"/>
        <v>6666</v>
      </c>
      <c r="L33" s="195">
        <f t="shared" si="10"/>
        <v>0.2856775521</v>
      </c>
      <c r="M33" s="196"/>
    </row>
    <row r="34" ht="15.75" customHeight="1">
      <c r="A34" s="159">
        <v>9.0</v>
      </c>
      <c r="B34" s="160" t="s">
        <v>1578</v>
      </c>
      <c r="C34" s="159" t="s">
        <v>1579</v>
      </c>
      <c r="D34" s="213">
        <v>50.0</v>
      </c>
      <c r="E34" s="184">
        <f>'Daftar Harga'!D69</f>
        <v>205000</v>
      </c>
      <c r="F34" s="185">
        <f t="shared" si="6"/>
        <v>10250000</v>
      </c>
      <c r="G34" s="214">
        <v>22000.0</v>
      </c>
      <c r="H34" s="187">
        <f t="shared" si="7"/>
        <v>1100000</v>
      </c>
      <c r="I34" s="188">
        <v>25000.0</v>
      </c>
      <c r="J34" s="215">
        <f t="shared" si="8"/>
        <v>1250000</v>
      </c>
      <c r="K34" s="190">
        <f t="shared" si="9"/>
        <v>150000</v>
      </c>
      <c r="L34" s="191">
        <f t="shared" si="10"/>
        <v>0.1363636364</v>
      </c>
      <c r="M34" s="192"/>
    </row>
    <row r="35" ht="15.75" customHeight="1">
      <c r="A35" s="164">
        <v>10.0</v>
      </c>
      <c r="B35" s="165" t="s">
        <v>1112</v>
      </c>
      <c r="C35" s="164" t="s">
        <v>109</v>
      </c>
      <c r="D35" s="216">
        <v>230.0</v>
      </c>
      <c r="E35" s="184">
        <f>'Daftar Harga'!D85</f>
        <v>18500</v>
      </c>
      <c r="F35" s="185">
        <f t="shared" si="6"/>
        <v>4255000</v>
      </c>
      <c r="G35" s="214">
        <v>18500.0</v>
      </c>
      <c r="H35" s="187">
        <f t="shared" si="7"/>
        <v>4255000</v>
      </c>
      <c r="I35" s="188">
        <v>21500.0</v>
      </c>
      <c r="J35" s="215">
        <f t="shared" si="8"/>
        <v>4945000</v>
      </c>
      <c r="K35" s="194">
        <f t="shared" si="9"/>
        <v>690000</v>
      </c>
      <c r="L35" s="195">
        <f t="shared" si="10"/>
        <v>0.1621621622</v>
      </c>
      <c r="M35" s="196"/>
    </row>
    <row r="36" ht="15.75" customHeight="1">
      <c r="A36" s="159">
        <v>11.0</v>
      </c>
      <c r="B36" s="160" t="s">
        <v>1601</v>
      </c>
      <c r="C36" s="159" t="s">
        <v>67</v>
      </c>
      <c r="D36" s="213">
        <v>130.0</v>
      </c>
      <c r="E36" s="184">
        <f>'Daftar Harga'!D93</f>
        <v>12000</v>
      </c>
      <c r="F36" s="185">
        <f t="shared" si="6"/>
        <v>1560000</v>
      </c>
      <c r="G36" s="214">
        <v>12000.0</v>
      </c>
      <c r="H36" s="187">
        <f t="shared" si="7"/>
        <v>1560000</v>
      </c>
      <c r="I36" s="188">
        <v>14000.0</v>
      </c>
      <c r="J36" s="215">
        <f t="shared" si="8"/>
        <v>1820000</v>
      </c>
      <c r="K36" s="190">
        <f t="shared" si="9"/>
        <v>260000</v>
      </c>
      <c r="L36" s="191">
        <f t="shared" si="10"/>
        <v>0.1666666667</v>
      </c>
      <c r="M36" s="192"/>
    </row>
    <row r="37" ht="15.75" customHeight="1">
      <c r="A37" s="164">
        <v>12.0</v>
      </c>
      <c r="B37" s="165" t="s">
        <v>1603</v>
      </c>
      <c r="C37" s="164" t="s">
        <v>109</v>
      </c>
      <c r="D37" s="216">
        <v>30.0</v>
      </c>
      <c r="E37" s="184">
        <f>'Daftar Harga'!D95</f>
        <v>23000</v>
      </c>
      <c r="F37" s="185">
        <f t="shared" si="6"/>
        <v>690000</v>
      </c>
      <c r="G37" s="214">
        <v>22500.0</v>
      </c>
      <c r="H37" s="187">
        <f t="shared" si="7"/>
        <v>675000</v>
      </c>
      <c r="I37" s="188">
        <v>26500.0</v>
      </c>
      <c r="J37" s="215">
        <f t="shared" si="8"/>
        <v>795000</v>
      </c>
      <c r="K37" s="194">
        <f t="shared" si="9"/>
        <v>120000</v>
      </c>
      <c r="L37" s="195">
        <f t="shared" si="10"/>
        <v>0.1777777778</v>
      </c>
      <c r="M37" s="196"/>
    </row>
    <row r="38" ht="15.75" customHeight="1">
      <c r="A38" s="159">
        <v>13.0</v>
      </c>
      <c r="B38" s="160" t="s">
        <v>1607</v>
      </c>
      <c r="C38" s="159" t="s">
        <v>109</v>
      </c>
      <c r="D38" s="213">
        <v>90.0</v>
      </c>
      <c r="E38" s="184">
        <f>'Daftar Harga'!D99</f>
        <v>8000</v>
      </c>
      <c r="F38" s="185">
        <f t="shared" si="6"/>
        <v>720000</v>
      </c>
      <c r="G38" s="214">
        <v>9000.0</v>
      </c>
      <c r="H38" s="187">
        <f t="shared" si="7"/>
        <v>810000</v>
      </c>
      <c r="I38" s="188">
        <v>13000.0</v>
      </c>
      <c r="J38" s="215">
        <f t="shared" si="8"/>
        <v>1170000</v>
      </c>
      <c r="K38" s="190">
        <f t="shared" si="9"/>
        <v>360000</v>
      </c>
      <c r="L38" s="191">
        <f t="shared" si="10"/>
        <v>0.4444444444</v>
      </c>
      <c r="M38" s="192"/>
    </row>
    <row r="39" ht="15.75" customHeight="1">
      <c r="A39" s="164">
        <v>14.0</v>
      </c>
      <c r="B39" s="165" t="s">
        <v>1609</v>
      </c>
      <c r="C39" s="164" t="s">
        <v>109</v>
      </c>
      <c r="D39" s="216">
        <v>30.0</v>
      </c>
      <c r="E39" s="184">
        <f>'Daftar Harga'!D101</f>
        <v>9000</v>
      </c>
      <c r="F39" s="185">
        <f t="shared" si="6"/>
        <v>270000</v>
      </c>
      <c r="G39" s="214">
        <v>12000.0</v>
      </c>
      <c r="H39" s="187">
        <f t="shared" si="7"/>
        <v>360000</v>
      </c>
      <c r="I39" s="188">
        <v>14000.0</v>
      </c>
      <c r="J39" s="215">
        <f t="shared" si="8"/>
        <v>420000</v>
      </c>
      <c r="K39" s="194">
        <f t="shared" si="9"/>
        <v>60000</v>
      </c>
      <c r="L39" s="195">
        <f t="shared" si="10"/>
        <v>0.1666666667</v>
      </c>
      <c r="M39" s="196"/>
    </row>
    <row r="40" ht="15.75" customHeight="1">
      <c r="A40" s="202">
        <v>15.0</v>
      </c>
      <c r="B40" s="217" t="s">
        <v>1630</v>
      </c>
      <c r="C40" s="202" t="s">
        <v>69</v>
      </c>
      <c r="D40" s="218">
        <v>4.0</v>
      </c>
      <c r="E40" s="184"/>
      <c r="F40" s="185" t="str">
        <f t="shared" si="6"/>
        <v/>
      </c>
      <c r="G40" s="214">
        <v>26900.0</v>
      </c>
      <c r="H40" s="187">
        <f t="shared" si="7"/>
        <v>107600</v>
      </c>
      <c r="I40" s="188">
        <v>30000.0</v>
      </c>
      <c r="J40" s="215">
        <f t="shared" si="8"/>
        <v>120000</v>
      </c>
      <c r="K40" s="194">
        <f t="shared" si="9"/>
        <v>12400</v>
      </c>
      <c r="L40" s="195">
        <f t="shared" si="10"/>
        <v>0.1152416357</v>
      </c>
      <c r="M40" s="196"/>
    </row>
    <row r="41" ht="15.75" customHeight="1">
      <c r="A41" s="202">
        <v>16.0</v>
      </c>
      <c r="B41" s="217" t="s">
        <v>1631</v>
      </c>
      <c r="C41" s="202" t="s">
        <v>69</v>
      </c>
      <c r="D41" s="218">
        <v>3.0</v>
      </c>
      <c r="E41" s="184"/>
      <c r="F41" s="185" t="str">
        <f t="shared" si="6"/>
        <v/>
      </c>
      <c r="G41" s="214">
        <v>26900.0</v>
      </c>
      <c r="H41" s="187">
        <f t="shared" si="7"/>
        <v>80700</v>
      </c>
      <c r="I41" s="188">
        <v>30000.0</v>
      </c>
      <c r="J41" s="219">
        <f t="shared" si="8"/>
        <v>90000</v>
      </c>
      <c r="K41" s="194">
        <f t="shared" si="9"/>
        <v>9300</v>
      </c>
      <c r="L41" s="195">
        <f t="shared" si="10"/>
        <v>0.1152416357</v>
      </c>
      <c r="M41" s="196"/>
    </row>
    <row r="42" ht="19.5" customHeight="1">
      <c r="A42" s="205" t="s">
        <v>1632</v>
      </c>
      <c r="B42" s="206"/>
      <c r="C42" s="206"/>
      <c r="D42" s="174"/>
      <c r="E42" s="207"/>
      <c r="F42" s="208">
        <f>SUMIF(F26:F41,"&lt;&gt;",F26:F41)</f>
        <v>29978000</v>
      </c>
      <c r="G42" s="207"/>
      <c r="H42" s="208">
        <f>SUMIF(H26:H41,"&lt;&gt;",H26:H41)</f>
        <v>21383134</v>
      </c>
      <c r="I42" s="209"/>
      <c r="J42" s="210">
        <f>SUMIF(J26:J41,"&lt;&gt;",J26:J41)</f>
        <v>24662500</v>
      </c>
      <c r="K42" s="211">
        <f t="shared" si="9"/>
        <v>3279366</v>
      </c>
      <c r="L42" s="212">
        <f t="shared" si="10"/>
        <v>0.1533622714</v>
      </c>
      <c r="M42" s="207"/>
    </row>
    <row r="43" ht="15.75" customHeight="1"/>
    <row r="44" ht="21.75" customHeight="1">
      <c r="A44" s="171" t="s">
        <v>1633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6"/>
    </row>
    <row r="45" ht="19.5" customHeight="1">
      <c r="A45" s="172" t="s">
        <v>1509</v>
      </c>
      <c r="B45" s="172" t="s">
        <v>1510</v>
      </c>
      <c r="C45" s="172" t="s">
        <v>1511</v>
      </c>
      <c r="D45" s="172" t="s">
        <v>1614</v>
      </c>
      <c r="E45" s="173" t="s">
        <v>1615</v>
      </c>
      <c r="F45" s="174"/>
      <c r="G45" s="175" t="s">
        <v>1616</v>
      </c>
      <c r="H45" s="174"/>
      <c r="I45" s="176" t="s">
        <v>1617</v>
      </c>
      <c r="J45" s="174"/>
      <c r="K45" s="177" t="s">
        <v>1618</v>
      </c>
      <c r="L45" s="174"/>
      <c r="M45" s="172" t="s">
        <v>1619</v>
      </c>
    </row>
    <row r="46" ht="27.75" customHeight="1">
      <c r="A46" s="178" t="s">
        <v>1509</v>
      </c>
      <c r="B46" s="178" t="s">
        <v>1510</v>
      </c>
      <c r="C46" s="178" t="s">
        <v>1511</v>
      </c>
      <c r="D46" s="178" t="s">
        <v>1614</v>
      </c>
      <c r="E46" s="179" t="s">
        <v>1620</v>
      </c>
      <c r="F46" s="179" t="s">
        <v>1621</v>
      </c>
      <c r="G46" s="180" t="s">
        <v>1622</v>
      </c>
      <c r="H46" s="180" t="s">
        <v>1623</v>
      </c>
      <c r="I46" s="181" t="s">
        <v>1624</v>
      </c>
      <c r="J46" s="181" t="s">
        <v>1625</v>
      </c>
      <c r="K46" s="182" t="s">
        <v>1626</v>
      </c>
      <c r="L46" s="182" t="s">
        <v>1627</v>
      </c>
      <c r="M46" s="178" t="s">
        <v>1619</v>
      </c>
    </row>
    <row r="47" ht="15.75" customHeight="1">
      <c r="A47" s="220">
        <v>1.0</v>
      </c>
      <c r="B47" s="165" t="s">
        <v>1519</v>
      </c>
      <c r="C47" s="164" t="s">
        <v>109</v>
      </c>
      <c r="D47" s="193">
        <v>110.0</v>
      </c>
      <c r="E47" s="184">
        <f>'Daftar Harga'!D7</f>
        <v>46500</v>
      </c>
      <c r="F47" s="185">
        <f t="shared" ref="F47:F57" si="11">IF(E47&lt;&gt;"",D47*E47,"")</f>
        <v>5115000</v>
      </c>
      <c r="G47" s="221">
        <v>46500.0</v>
      </c>
      <c r="H47" s="187">
        <f t="shared" ref="H47:H57" si="12">IF(G47&lt;&gt;"",D47*G47,"")</f>
        <v>5115000</v>
      </c>
      <c r="I47" s="222">
        <v>48500.0</v>
      </c>
      <c r="J47" s="215">
        <f t="shared" ref="J47:J57" si="13">IF(I47&lt;&gt;"",D47*I47,"")</f>
        <v>5335000</v>
      </c>
      <c r="K47" s="194">
        <f t="shared" ref="K47:K58" si="14">IF(J47&lt;&gt;"",IF(H47&lt;&gt;"",J47-H47,IF(F47&lt;&gt;"",J47-F47,"")),"")</f>
        <v>220000</v>
      </c>
      <c r="L47" s="195">
        <f t="shared" ref="L47:L58" si="15">IF(K47&lt;&gt;"",IF(H47&lt;&gt;"",IF(H47&lt;&gt;0,K47/H47,""),IF(F47&lt;&gt;"",IF(F47&lt;&gt;0,K47/F47,""),"")),"")</f>
        <v>0.04301075269</v>
      </c>
      <c r="M47" s="196"/>
    </row>
    <row r="48" ht="15.75" customHeight="1">
      <c r="A48" s="223">
        <v>2.0</v>
      </c>
      <c r="B48" s="160" t="s">
        <v>1526</v>
      </c>
      <c r="C48" s="159" t="s">
        <v>109</v>
      </c>
      <c r="D48" s="183">
        <v>2.0</v>
      </c>
      <c r="E48" s="184">
        <f>'Daftar Harga'!D16</f>
        <v>33000</v>
      </c>
      <c r="F48" s="185">
        <f t="shared" si="11"/>
        <v>66000</v>
      </c>
      <c r="G48" s="221">
        <v>30000.0</v>
      </c>
      <c r="H48" s="187">
        <f t="shared" si="12"/>
        <v>60000</v>
      </c>
      <c r="I48" s="222">
        <v>40000.0</v>
      </c>
      <c r="J48" s="215">
        <f t="shared" si="13"/>
        <v>80000</v>
      </c>
      <c r="K48" s="190">
        <f t="shared" si="14"/>
        <v>20000</v>
      </c>
      <c r="L48" s="191">
        <f t="shared" si="15"/>
        <v>0.3333333333</v>
      </c>
      <c r="M48" s="192"/>
    </row>
    <row r="49" ht="15.75" customHeight="1">
      <c r="A49" s="220">
        <v>3.0</v>
      </c>
      <c r="B49" s="165" t="s">
        <v>1354</v>
      </c>
      <c r="C49" s="164" t="s">
        <v>109</v>
      </c>
      <c r="D49" s="198">
        <v>116.85</v>
      </c>
      <c r="E49" s="184" t="str">
        <f>'Daftar Harga'!D33</f>
        <v/>
      </c>
      <c r="F49" s="185" t="str">
        <f t="shared" si="11"/>
        <v/>
      </c>
      <c r="G49" s="221">
        <v>34000.0</v>
      </c>
      <c r="H49" s="187">
        <f t="shared" si="12"/>
        <v>3972900</v>
      </c>
      <c r="I49" s="222">
        <v>36000.0</v>
      </c>
      <c r="J49" s="215">
        <f t="shared" si="13"/>
        <v>4206600</v>
      </c>
      <c r="K49" s="194">
        <f t="shared" si="14"/>
        <v>233700</v>
      </c>
      <c r="L49" s="195">
        <f t="shared" si="15"/>
        <v>0.05882352941</v>
      </c>
      <c r="M49" s="196"/>
    </row>
    <row r="50" ht="15.75" customHeight="1">
      <c r="A50" s="223">
        <v>4.0</v>
      </c>
      <c r="B50" s="160" t="s">
        <v>1578</v>
      </c>
      <c r="C50" s="159" t="s">
        <v>1579</v>
      </c>
      <c r="D50" s="183">
        <v>50.0</v>
      </c>
      <c r="E50" s="184">
        <f>'Daftar Harga'!D69</f>
        <v>205000</v>
      </c>
      <c r="F50" s="185">
        <f t="shared" si="11"/>
        <v>10250000</v>
      </c>
      <c r="G50" s="221">
        <v>22000.0</v>
      </c>
      <c r="H50" s="187">
        <f t="shared" si="12"/>
        <v>1100000</v>
      </c>
      <c r="I50" s="222">
        <v>23000.0</v>
      </c>
      <c r="J50" s="215">
        <f t="shared" si="13"/>
        <v>1150000</v>
      </c>
      <c r="K50" s="190">
        <f t="shared" si="14"/>
        <v>50000</v>
      </c>
      <c r="L50" s="191">
        <f t="shared" si="15"/>
        <v>0.04545454545</v>
      </c>
      <c r="M50" s="192"/>
    </row>
    <row r="51" ht="15.75" customHeight="1">
      <c r="A51" s="223">
        <v>5.0</v>
      </c>
      <c r="B51" s="160" t="s">
        <v>1581</v>
      </c>
      <c r="C51" s="159" t="s">
        <v>69</v>
      </c>
      <c r="D51" s="183">
        <v>2550.0</v>
      </c>
      <c r="E51" s="184" t="str">
        <f>'Daftar Harga'!D72</f>
        <v/>
      </c>
      <c r="F51" s="185" t="str">
        <f t="shared" si="11"/>
        <v/>
      </c>
      <c r="G51" s="221">
        <v>2000.0</v>
      </c>
      <c r="H51" s="187">
        <f t="shared" si="12"/>
        <v>5100000</v>
      </c>
      <c r="I51" s="222">
        <v>2200.0</v>
      </c>
      <c r="J51" s="215">
        <f t="shared" si="13"/>
        <v>5610000</v>
      </c>
      <c r="K51" s="190">
        <f t="shared" si="14"/>
        <v>510000</v>
      </c>
      <c r="L51" s="191">
        <f t="shared" si="15"/>
        <v>0.1</v>
      </c>
      <c r="M51" s="192"/>
    </row>
    <row r="52" ht="15.75" customHeight="1">
      <c r="A52" s="223">
        <v>7.0</v>
      </c>
      <c r="B52" s="160" t="s">
        <v>1594</v>
      </c>
      <c r="C52" s="159" t="s">
        <v>109</v>
      </c>
      <c r="D52" s="183">
        <v>30.0</v>
      </c>
      <c r="E52" s="184">
        <f>'Daftar Harga'!D84</f>
        <v>34000</v>
      </c>
      <c r="F52" s="185">
        <f t="shared" si="11"/>
        <v>1020000</v>
      </c>
      <c r="G52" s="221">
        <v>35000.0</v>
      </c>
      <c r="H52" s="187">
        <f t="shared" si="12"/>
        <v>1050000</v>
      </c>
      <c r="I52" s="222">
        <v>36000.0</v>
      </c>
      <c r="J52" s="215">
        <f t="shared" si="13"/>
        <v>1080000</v>
      </c>
      <c r="K52" s="190">
        <f t="shared" si="14"/>
        <v>30000</v>
      </c>
      <c r="L52" s="191">
        <f t="shared" si="15"/>
        <v>0.02857142857</v>
      </c>
      <c r="M52" s="192"/>
    </row>
    <row r="53" ht="15.75" customHeight="1">
      <c r="A53" s="223">
        <v>9.0</v>
      </c>
      <c r="B53" s="160" t="s">
        <v>1602</v>
      </c>
      <c r="C53" s="159" t="s">
        <v>109</v>
      </c>
      <c r="D53" s="183">
        <v>25.0</v>
      </c>
      <c r="E53" s="184" t="str">
        <f>'Daftar Harga'!D94</f>
        <v/>
      </c>
      <c r="F53" s="185" t="str">
        <f t="shared" si="11"/>
        <v/>
      </c>
      <c r="G53" s="221">
        <v>11750.0</v>
      </c>
      <c r="H53" s="187">
        <f t="shared" si="12"/>
        <v>293750</v>
      </c>
      <c r="I53" s="222">
        <v>13000.0</v>
      </c>
      <c r="J53" s="215">
        <f t="shared" si="13"/>
        <v>325000</v>
      </c>
      <c r="K53" s="190">
        <f t="shared" si="14"/>
        <v>31250</v>
      </c>
      <c r="L53" s="191">
        <f t="shared" si="15"/>
        <v>0.1063829787</v>
      </c>
      <c r="M53" s="192"/>
    </row>
    <row r="54" ht="15.75" customHeight="1">
      <c r="A54" s="220">
        <v>10.0</v>
      </c>
      <c r="B54" s="165" t="s">
        <v>1603</v>
      </c>
      <c r="C54" s="164" t="s">
        <v>109</v>
      </c>
      <c r="D54" s="193">
        <v>30.0</v>
      </c>
      <c r="E54" s="184">
        <f>'Daftar Harga'!D95</f>
        <v>23000</v>
      </c>
      <c r="F54" s="185">
        <f t="shared" si="11"/>
        <v>690000</v>
      </c>
      <c r="G54" s="221">
        <v>22700.0</v>
      </c>
      <c r="H54" s="187">
        <f t="shared" si="12"/>
        <v>681000</v>
      </c>
      <c r="I54" s="222">
        <v>25000.0</v>
      </c>
      <c r="J54" s="215">
        <f t="shared" si="13"/>
        <v>750000</v>
      </c>
      <c r="K54" s="194">
        <f t="shared" si="14"/>
        <v>69000</v>
      </c>
      <c r="L54" s="195">
        <f t="shared" si="15"/>
        <v>0.1013215859</v>
      </c>
      <c r="M54" s="196"/>
      <c r="P54" s="224">
        <f>J58+J67</f>
        <v>48234800</v>
      </c>
    </row>
    <row r="55" ht="15.75" customHeight="1">
      <c r="A55" s="223">
        <v>11.0</v>
      </c>
      <c r="B55" s="160" t="s">
        <v>1605</v>
      </c>
      <c r="C55" s="159" t="s">
        <v>109</v>
      </c>
      <c r="D55" s="183">
        <v>50.0</v>
      </c>
      <c r="E55" s="184">
        <f>'Daftar Harga'!D97</f>
        <v>11500</v>
      </c>
      <c r="F55" s="185">
        <f t="shared" si="11"/>
        <v>575000</v>
      </c>
      <c r="G55" s="221">
        <v>11500.0</v>
      </c>
      <c r="H55" s="187">
        <f t="shared" si="12"/>
        <v>575000</v>
      </c>
      <c r="I55" s="222">
        <v>12000.0</v>
      </c>
      <c r="J55" s="215">
        <f t="shared" si="13"/>
        <v>600000</v>
      </c>
      <c r="K55" s="190">
        <f t="shared" si="14"/>
        <v>25000</v>
      </c>
      <c r="L55" s="191">
        <f t="shared" si="15"/>
        <v>0.04347826087</v>
      </c>
      <c r="M55" s="192"/>
    </row>
    <row r="56" ht="15.75" customHeight="1">
      <c r="A56" s="220">
        <v>12.0</v>
      </c>
      <c r="B56" s="165" t="s">
        <v>1607</v>
      </c>
      <c r="C56" s="164" t="s">
        <v>109</v>
      </c>
      <c r="D56" s="193">
        <v>80.0</v>
      </c>
      <c r="E56" s="184">
        <f>'Daftar Harga'!D99</f>
        <v>8000</v>
      </c>
      <c r="F56" s="185">
        <f t="shared" si="11"/>
        <v>640000</v>
      </c>
      <c r="G56" s="221">
        <v>8000.0</v>
      </c>
      <c r="H56" s="187">
        <f t="shared" si="12"/>
        <v>640000</v>
      </c>
      <c r="I56" s="222">
        <v>10000.0</v>
      </c>
      <c r="J56" s="215">
        <f t="shared" si="13"/>
        <v>800000</v>
      </c>
      <c r="K56" s="194">
        <f t="shared" si="14"/>
        <v>160000</v>
      </c>
      <c r="L56" s="195">
        <f t="shared" si="15"/>
        <v>0.25</v>
      </c>
      <c r="M56" s="196"/>
    </row>
    <row r="57" ht="15.75" customHeight="1">
      <c r="A57" s="202">
        <v>13.0</v>
      </c>
      <c r="B57" s="201" t="s">
        <v>1634</v>
      </c>
      <c r="C57" s="202" t="s">
        <v>69</v>
      </c>
      <c r="D57" s="203">
        <v>2600.0</v>
      </c>
      <c r="E57" s="184"/>
      <c r="F57" s="185" t="str">
        <f t="shared" si="11"/>
        <v/>
      </c>
      <c r="G57" s="221">
        <v>1800.0</v>
      </c>
      <c r="H57" s="187">
        <f t="shared" si="12"/>
        <v>4680000</v>
      </c>
      <c r="I57" s="222">
        <v>2000.0</v>
      </c>
      <c r="J57" s="219">
        <f t="shared" si="13"/>
        <v>5200000</v>
      </c>
      <c r="K57" s="194">
        <f t="shared" si="14"/>
        <v>520000</v>
      </c>
      <c r="L57" s="195">
        <f t="shared" si="15"/>
        <v>0.1111111111</v>
      </c>
      <c r="M57" s="196"/>
    </row>
    <row r="58" ht="19.5" customHeight="1">
      <c r="A58" s="205" t="s">
        <v>1635</v>
      </c>
      <c r="B58" s="206"/>
      <c r="C58" s="206"/>
      <c r="D58" s="174"/>
      <c r="E58" s="207"/>
      <c r="F58" s="208">
        <f>SUMIF(F47:F56,"&lt;&gt;",F47:F56)</f>
        <v>18356000</v>
      </c>
      <c r="G58" s="207"/>
      <c r="H58" s="208">
        <f>SUMIF(H47:H57,"&lt;&gt;",H47:H57)</f>
        <v>23267650</v>
      </c>
      <c r="I58" s="209"/>
      <c r="J58" s="210">
        <f>SUMIF(J47:J57,"&lt;&gt;",J47:J57)</f>
        <v>25136600</v>
      </c>
      <c r="K58" s="211">
        <f t="shared" si="14"/>
        <v>1868950</v>
      </c>
      <c r="L58" s="212">
        <f t="shared" si="15"/>
        <v>0.08032396912</v>
      </c>
      <c r="M58" s="207"/>
    </row>
    <row r="59" ht="15.75" customHeight="1"/>
    <row r="60" ht="15.75" customHeight="1">
      <c r="A60" s="225" t="s">
        <v>1636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6"/>
    </row>
    <row r="61" ht="15.75" customHeight="1">
      <c r="A61" s="172" t="s">
        <v>1509</v>
      </c>
      <c r="B61" s="172" t="s">
        <v>1510</v>
      </c>
      <c r="C61" s="172" t="s">
        <v>1511</v>
      </c>
      <c r="D61" s="172" t="s">
        <v>1614</v>
      </c>
      <c r="E61" s="173" t="s">
        <v>1615</v>
      </c>
      <c r="F61" s="174"/>
      <c r="G61" s="175" t="s">
        <v>1616</v>
      </c>
      <c r="H61" s="174"/>
      <c r="I61" s="176" t="s">
        <v>1617</v>
      </c>
      <c r="J61" s="174"/>
      <c r="K61" s="177" t="s">
        <v>1618</v>
      </c>
      <c r="L61" s="174"/>
      <c r="M61" s="172" t="s">
        <v>1619</v>
      </c>
    </row>
    <row r="62" ht="15.75" customHeight="1">
      <c r="A62" s="178" t="s">
        <v>1509</v>
      </c>
      <c r="B62" s="178" t="s">
        <v>1510</v>
      </c>
      <c r="C62" s="178" t="s">
        <v>1511</v>
      </c>
      <c r="D62" s="178" t="s">
        <v>1614</v>
      </c>
      <c r="E62" s="179" t="s">
        <v>1620</v>
      </c>
      <c r="F62" s="179" t="s">
        <v>1621</v>
      </c>
      <c r="G62" s="180" t="s">
        <v>1622</v>
      </c>
      <c r="H62" s="180" t="s">
        <v>1623</v>
      </c>
      <c r="I62" s="181" t="s">
        <v>1624</v>
      </c>
      <c r="J62" s="181" t="s">
        <v>1625</v>
      </c>
      <c r="K62" s="182" t="s">
        <v>1626</v>
      </c>
      <c r="L62" s="182" t="s">
        <v>1627</v>
      </c>
      <c r="M62" s="178" t="s">
        <v>1619</v>
      </c>
    </row>
    <row r="63" ht="15.75" customHeight="1">
      <c r="A63" s="220">
        <v>1.0</v>
      </c>
      <c r="B63" s="197" t="s">
        <v>1517</v>
      </c>
      <c r="C63" s="164" t="s">
        <v>109</v>
      </c>
      <c r="D63" s="198">
        <v>21.0</v>
      </c>
      <c r="E63" s="184"/>
      <c r="F63" s="185" t="str">
        <f t="shared" ref="F63:F65" si="16">IF(E63&lt;&gt;"",D63*E63,"")</f>
        <v/>
      </c>
      <c r="G63" s="221">
        <v>590000.0</v>
      </c>
      <c r="H63" s="187">
        <f t="shared" ref="H63:H66" si="17">IF(G63&lt;&gt;"",D63*G63,"")</f>
        <v>12390000</v>
      </c>
      <c r="I63" s="222">
        <v>600000.0</v>
      </c>
      <c r="J63" s="215">
        <f t="shared" ref="J63:J66" si="18">IF(I63&lt;&gt;"",D63*I63,"")</f>
        <v>12600000</v>
      </c>
      <c r="K63" s="194">
        <f t="shared" ref="K63:K67" si="19">IF(J63&lt;&gt;"",IF(H63&lt;&gt;"",J63-H63,IF(F63&lt;&gt;"",J63-F63,"")),"")</f>
        <v>210000</v>
      </c>
      <c r="L63" s="195">
        <f t="shared" ref="L63:L67" si="20">IF(K63&lt;&gt;"",IF(H63&lt;&gt;"",IF(H63&lt;&gt;0,K63/H63,""),IF(F63&lt;&gt;"",IF(F63&lt;&gt;0,K63/F63,""),"")),"")</f>
        <v>0.01694915254</v>
      </c>
      <c r="M63" s="196"/>
    </row>
    <row r="64" ht="15.75" customHeight="1">
      <c r="A64" s="223">
        <v>2.0</v>
      </c>
      <c r="B64" s="226" t="s">
        <v>1600</v>
      </c>
      <c r="C64" s="159" t="s">
        <v>109</v>
      </c>
      <c r="D64" s="227">
        <v>40.0</v>
      </c>
      <c r="E64" s="184"/>
      <c r="F64" s="185" t="str">
        <f t="shared" si="16"/>
        <v/>
      </c>
      <c r="G64" s="221">
        <v>25500.0</v>
      </c>
      <c r="H64" s="187">
        <f t="shared" si="17"/>
        <v>1020000</v>
      </c>
      <c r="I64" s="222">
        <v>27000.0</v>
      </c>
      <c r="J64" s="215">
        <f t="shared" si="18"/>
        <v>1080000</v>
      </c>
      <c r="K64" s="190">
        <f t="shared" si="19"/>
        <v>60000</v>
      </c>
      <c r="L64" s="191">
        <f t="shared" si="20"/>
        <v>0.05882352941</v>
      </c>
      <c r="M64" s="192"/>
    </row>
    <row r="65" ht="15.75" customHeight="1">
      <c r="A65" s="220">
        <v>3.0</v>
      </c>
      <c r="B65" s="197" t="s">
        <v>1637</v>
      </c>
      <c r="C65" s="220" t="s">
        <v>69</v>
      </c>
      <c r="D65" s="198">
        <v>2000.0</v>
      </c>
      <c r="E65" s="184"/>
      <c r="F65" s="185" t="str">
        <f t="shared" si="16"/>
        <v/>
      </c>
      <c r="G65" s="221">
        <v>240.0</v>
      </c>
      <c r="H65" s="187">
        <f t="shared" si="17"/>
        <v>480000</v>
      </c>
      <c r="I65" s="222">
        <v>300.0</v>
      </c>
      <c r="J65" s="215">
        <f t="shared" si="18"/>
        <v>600000</v>
      </c>
      <c r="K65" s="194">
        <f t="shared" si="19"/>
        <v>120000</v>
      </c>
      <c r="L65" s="195">
        <f t="shared" si="20"/>
        <v>0.25</v>
      </c>
      <c r="M65" s="196"/>
    </row>
    <row r="66" ht="15.75" customHeight="1">
      <c r="A66" s="202">
        <v>4.0</v>
      </c>
      <c r="B66" s="201" t="s">
        <v>1638</v>
      </c>
      <c r="C66" s="202" t="s">
        <v>69</v>
      </c>
      <c r="D66" s="203">
        <v>2556.0</v>
      </c>
      <c r="E66" s="184"/>
      <c r="F66" s="185"/>
      <c r="G66" s="221">
        <v>3167.0</v>
      </c>
      <c r="H66" s="187">
        <f t="shared" si="17"/>
        <v>8094852</v>
      </c>
      <c r="I66" s="222">
        <v>3450.0</v>
      </c>
      <c r="J66" s="219">
        <f t="shared" si="18"/>
        <v>8818200</v>
      </c>
      <c r="K66" s="194">
        <f t="shared" si="19"/>
        <v>723348</v>
      </c>
      <c r="L66" s="195">
        <f t="shared" si="20"/>
        <v>0.08935901484</v>
      </c>
      <c r="M66" s="196"/>
    </row>
    <row r="67" ht="15.75" customHeight="1">
      <c r="A67" s="205" t="s">
        <v>1635</v>
      </c>
      <c r="B67" s="206"/>
      <c r="C67" s="206"/>
      <c r="D67" s="174"/>
      <c r="E67" s="207"/>
      <c r="F67" s="208">
        <f>SUMIF(F63:F65,"&lt;&gt;",F63:F65)</f>
        <v>0</v>
      </c>
      <c r="G67" s="207"/>
      <c r="H67" s="208">
        <f>SUMIF(H63:H66,"&lt;&gt;",H63:H66)</f>
        <v>21984852</v>
      </c>
      <c r="I67" s="209"/>
      <c r="J67" s="210">
        <f>SUMIF(J63:J66,"&lt;&gt;",J63:J66)</f>
        <v>23098200</v>
      </c>
      <c r="K67" s="211">
        <f t="shared" si="19"/>
        <v>1113348</v>
      </c>
      <c r="L67" s="212">
        <f t="shared" si="20"/>
        <v>0.05064159631</v>
      </c>
      <c r="M67" s="207"/>
    </row>
    <row r="68" ht="15.75" customHeight="1"/>
    <row r="69" ht="15.75" customHeight="1">
      <c r="A69" s="228" t="s">
        <v>1639</v>
      </c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6"/>
    </row>
    <row r="70" ht="15.75" customHeight="1">
      <c r="A70" s="229" t="s">
        <v>1509</v>
      </c>
      <c r="B70" s="229" t="s">
        <v>1510</v>
      </c>
      <c r="C70" s="229" t="s">
        <v>1511</v>
      </c>
      <c r="D70" s="229" t="s">
        <v>1614</v>
      </c>
      <c r="E70" s="230" t="s">
        <v>1615</v>
      </c>
      <c r="F70" s="174"/>
      <c r="G70" s="231" t="s">
        <v>1616</v>
      </c>
      <c r="H70" s="174"/>
      <c r="I70" s="232" t="s">
        <v>1617</v>
      </c>
      <c r="J70" s="174"/>
      <c r="K70" s="233" t="s">
        <v>1618</v>
      </c>
      <c r="L70" s="174"/>
      <c r="M70" s="229" t="s">
        <v>1619</v>
      </c>
    </row>
    <row r="71" ht="15.75" customHeight="1">
      <c r="A71" s="234" t="s">
        <v>1509</v>
      </c>
      <c r="B71" s="234" t="s">
        <v>1510</v>
      </c>
      <c r="C71" s="234" t="s">
        <v>1511</v>
      </c>
      <c r="D71" s="234" t="s">
        <v>1614</v>
      </c>
      <c r="E71" s="235" t="s">
        <v>1620</v>
      </c>
      <c r="F71" s="235" t="s">
        <v>1621</v>
      </c>
      <c r="G71" s="236" t="s">
        <v>1622</v>
      </c>
      <c r="H71" s="236" t="s">
        <v>1623</v>
      </c>
      <c r="I71" s="237" t="s">
        <v>1624</v>
      </c>
      <c r="J71" s="237" t="s">
        <v>1625</v>
      </c>
      <c r="K71" s="238" t="s">
        <v>1626</v>
      </c>
      <c r="L71" s="238" t="s">
        <v>1627</v>
      </c>
      <c r="M71" s="234" t="s">
        <v>1619</v>
      </c>
    </row>
    <row r="72" ht="15.75" customHeight="1">
      <c r="A72" s="239">
        <v>1.0</v>
      </c>
      <c r="B72" s="240" t="s">
        <v>1640</v>
      </c>
      <c r="C72" s="239" t="s">
        <v>109</v>
      </c>
      <c r="D72" s="213">
        <v>3.0</v>
      </c>
      <c r="E72" s="241"/>
      <c r="F72" s="242" t="str">
        <f t="shared" ref="F72:F87" si="21">IF(E72&lt;&gt;"",D72*E72,"")</f>
        <v/>
      </c>
      <c r="G72" s="186">
        <v>40000.0</v>
      </c>
      <c r="H72" s="243">
        <f t="shared" ref="H72:H87" si="22">IF(G72&lt;&gt;"",D72*G72,"")</f>
        <v>120000</v>
      </c>
      <c r="I72" s="188">
        <v>45000.0</v>
      </c>
      <c r="J72" s="244">
        <f t="shared" ref="J72:J87" si="23">IF(I72&lt;&gt;"",D72*I72,"")</f>
        <v>135000</v>
      </c>
      <c r="K72" s="245">
        <f t="shared" ref="K72:K88" si="24">IF(J72&lt;&gt;"",IF(H72&lt;&gt;"",J72-H72,IF(F72&lt;&gt;"",J72-F72,"")),"")</f>
        <v>15000</v>
      </c>
      <c r="L72" s="246">
        <f t="shared" ref="L72:L88" si="25">IF(K72&lt;&gt;"",IF(H72&lt;&gt;"",IF(H72&lt;&gt;0,K72/H72,""),IF(F72&lt;&gt;"",IF(F72&lt;&gt;0,K72/F72,""),"")),"")</f>
        <v>0.125</v>
      </c>
      <c r="M72" s="247"/>
    </row>
    <row r="73" ht="15.75" customHeight="1">
      <c r="A73" s="248">
        <v>2.0</v>
      </c>
      <c r="B73" s="249" t="s">
        <v>1641</v>
      </c>
      <c r="C73" s="248" t="s">
        <v>109</v>
      </c>
      <c r="D73" s="216">
        <v>3.0</v>
      </c>
      <c r="E73" s="241"/>
      <c r="F73" s="242" t="str">
        <f t="shared" si="21"/>
        <v/>
      </c>
      <c r="G73" s="186">
        <v>30000.0</v>
      </c>
      <c r="H73" s="243">
        <f t="shared" si="22"/>
        <v>90000</v>
      </c>
      <c r="I73" s="188">
        <v>44000.0</v>
      </c>
      <c r="J73" s="244">
        <f t="shared" si="23"/>
        <v>132000</v>
      </c>
      <c r="K73" s="250">
        <f t="shared" si="24"/>
        <v>42000</v>
      </c>
      <c r="L73" s="251">
        <f t="shared" si="25"/>
        <v>0.4666666667</v>
      </c>
      <c r="M73" s="252"/>
    </row>
    <row r="74" ht="15.75" customHeight="1">
      <c r="A74" s="239">
        <v>3.0</v>
      </c>
      <c r="B74" s="240" t="s">
        <v>1527</v>
      </c>
      <c r="C74" s="239" t="s">
        <v>109</v>
      </c>
      <c r="D74" s="213">
        <v>125.0</v>
      </c>
      <c r="E74" s="241"/>
      <c r="F74" s="242" t="str">
        <f t="shared" si="21"/>
        <v/>
      </c>
      <c r="G74" s="186">
        <v>14500.0</v>
      </c>
      <c r="H74" s="243">
        <f t="shared" si="22"/>
        <v>1812500</v>
      </c>
      <c r="I74" s="188">
        <v>15500.0</v>
      </c>
      <c r="J74" s="253">
        <f t="shared" si="23"/>
        <v>1937500</v>
      </c>
      <c r="K74" s="245">
        <f t="shared" si="24"/>
        <v>125000</v>
      </c>
      <c r="L74" s="246">
        <f t="shared" si="25"/>
        <v>0.06896551724</v>
      </c>
      <c r="M74" s="247"/>
    </row>
    <row r="75" ht="15.75" customHeight="1">
      <c r="A75" s="248">
        <v>4.0</v>
      </c>
      <c r="B75" s="249" t="s">
        <v>1642</v>
      </c>
      <c r="C75" s="248" t="s">
        <v>109</v>
      </c>
      <c r="D75" s="216">
        <v>3.0</v>
      </c>
      <c r="E75" s="241"/>
      <c r="F75" s="242" t="str">
        <f t="shared" si="21"/>
        <v/>
      </c>
      <c r="G75" s="186">
        <v>15000.0</v>
      </c>
      <c r="H75" s="243">
        <f t="shared" si="22"/>
        <v>45000</v>
      </c>
      <c r="I75" s="188">
        <v>12000.0</v>
      </c>
      <c r="J75" s="253">
        <f t="shared" si="23"/>
        <v>36000</v>
      </c>
      <c r="K75" s="250">
        <f t="shared" si="24"/>
        <v>-9000</v>
      </c>
      <c r="L75" s="251">
        <f t="shared" si="25"/>
        <v>-0.2</v>
      </c>
      <c r="M75" s="252"/>
    </row>
    <row r="76" ht="15.75" customHeight="1">
      <c r="A76" s="239">
        <v>5.0</v>
      </c>
      <c r="B76" s="240" t="s">
        <v>1643</v>
      </c>
      <c r="C76" s="239" t="s">
        <v>1559</v>
      </c>
      <c r="D76" s="213">
        <v>2.0</v>
      </c>
      <c r="E76" s="241"/>
      <c r="F76" s="242" t="str">
        <f t="shared" si="21"/>
        <v/>
      </c>
      <c r="G76" s="186">
        <v>190000.0</v>
      </c>
      <c r="H76" s="243">
        <f t="shared" si="22"/>
        <v>380000</v>
      </c>
      <c r="I76" s="188">
        <v>210000.0</v>
      </c>
      <c r="J76" s="253">
        <f t="shared" si="23"/>
        <v>420000</v>
      </c>
      <c r="K76" s="245">
        <f t="shared" si="24"/>
        <v>40000</v>
      </c>
      <c r="L76" s="246">
        <f t="shared" si="25"/>
        <v>0.1052631579</v>
      </c>
      <c r="M76" s="247"/>
    </row>
    <row r="77" ht="15.75" customHeight="1">
      <c r="A77" s="248">
        <v>6.0</v>
      </c>
      <c r="B77" s="249" t="s">
        <v>1566</v>
      </c>
      <c r="C77" s="248" t="s">
        <v>109</v>
      </c>
      <c r="D77" s="216">
        <v>1.0</v>
      </c>
      <c r="E77" s="241"/>
      <c r="F77" s="242" t="str">
        <f t="shared" si="21"/>
        <v/>
      </c>
      <c r="G77" s="186">
        <v>94000.0</v>
      </c>
      <c r="H77" s="243">
        <f t="shared" si="22"/>
        <v>94000</v>
      </c>
      <c r="I77" s="188">
        <v>105000.0</v>
      </c>
      <c r="J77" s="244">
        <f t="shared" si="23"/>
        <v>105000</v>
      </c>
      <c r="K77" s="250">
        <f t="shared" si="24"/>
        <v>11000</v>
      </c>
      <c r="L77" s="251">
        <f t="shared" si="25"/>
        <v>0.1170212766</v>
      </c>
      <c r="M77" s="252"/>
    </row>
    <row r="78" ht="15.75" customHeight="1">
      <c r="A78" s="239">
        <v>7.0</v>
      </c>
      <c r="B78" s="240" t="s">
        <v>1567</v>
      </c>
      <c r="C78" s="239" t="s">
        <v>109</v>
      </c>
      <c r="D78" s="213">
        <v>80.0</v>
      </c>
      <c r="E78" s="241"/>
      <c r="F78" s="242" t="str">
        <f t="shared" si="21"/>
        <v/>
      </c>
      <c r="G78" s="186">
        <v>7000.0</v>
      </c>
      <c r="H78" s="243">
        <f t="shared" si="22"/>
        <v>560000</v>
      </c>
      <c r="I78" s="188">
        <v>14000.0</v>
      </c>
      <c r="J78" s="253">
        <f t="shared" si="23"/>
        <v>1120000</v>
      </c>
      <c r="K78" s="245">
        <f t="shared" si="24"/>
        <v>560000</v>
      </c>
      <c r="L78" s="246">
        <f t="shared" si="25"/>
        <v>1</v>
      </c>
      <c r="M78" s="247"/>
    </row>
    <row r="79" ht="15.75" customHeight="1">
      <c r="A79" s="248">
        <v>8.0</v>
      </c>
      <c r="B79" s="249" t="s">
        <v>1578</v>
      </c>
      <c r="C79" s="248" t="s">
        <v>1579</v>
      </c>
      <c r="D79" s="216">
        <v>60.0</v>
      </c>
      <c r="E79" s="241"/>
      <c r="F79" s="242" t="str">
        <f t="shared" si="21"/>
        <v/>
      </c>
      <c r="G79" s="186">
        <v>21500.0</v>
      </c>
      <c r="H79" s="243">
        <f t="shared" si="22"/>
        <v>1290000</v>
      </c>
      <c r="I79" s="188">
        <v>23000.0</v>
      </c>
      <c r="J79" s="244">
        <f t="shared" si="23"/>
        <v>1380000</v>
      </c>
      <c r="K79" s="250">
        <f t="shared" si="24"/>
        <v>90000</v>
      </c>
      <c r="L79" s="251">
        <f t="shared" si="25"/>
        <v>0.06976744186</v>
      </c>
      <c r="M79" s="252"/>
    </row>
    <row r="80" ht="15.75" customHeight="1">
      <c r="A80" s="239">
        <v>9.0</v>
      </c>
      <c r="B80" s="240" t="s">
        <v>1152</v>
      </c>
      <c r="C80" s="239" t="s">
        <v>69</v>
      </c>
      <c r="D80" s="254">
        <v>2550.0</v>
      </c>
      <c r="E80" s="241"/>
      <c r="F80" s="242" t="str">
        <f t="shared" si="21"/>
        <v/>
      </c>
      <c r="G80" s="186">
        <v>1800.0</v>
      </c>
      <c r="H80" s="243">
        <f t="shared" si="22"/>
        <v>4590000</v>
      </c>
      <c r="I80" s="188">
        <v>2000.0</v>
      </c>
      <c r="J80" s="244">
        <f t="shared" si="23"/>
        <v>5100000</v>
      </c>
      <c r="K80" s="245">
        <f t="shared" si="24"/>
        <v>510000</v>
      </c>
      <c r="L80" s="246">
        <f t="shared" si="25"/>
        <v>0.1111111111</v>
      </c>
      <c r="M80" s="247"/>
    </row>
    <row r="81" ht="15.75" customHeight="1">
      <c r="A81" s="248">
        <v>10.0</v>
      </c>
      <c r="B81" s="249" t="s">
        <v>1591</v>
      </c>
      <c r="C81" s="248" t="s">
        <v>69</v>
      </c>
      <c r="D81" s="216">
        <v>2550.0</v>
      </c>
      <c r="E81" s="241"/>
      <c r="F81" s="242" t="str">
        <f t="shared" si="21"/>
        <v/>
      </c>
      <c r="G81" s="199">
        <v>240.0</v>
      </c>
      <c r="H81" s="243">
        <f t="shared" si="22"/>
        <v>612000</v>
      </c>
      <c r="I81" s="188">
        <v>350.0</v>
      </c>
      <c r="J81" s="244">
        <f t="shared" si="23"/>
        <v>892500</v>
      </c>
      <c r="K81" s="250">
        <f t="shared" si="24"/>
        <v>280500</v>
      </c>
      <c r="L81" s="251">
        <f t="shared" si="25"/>
        <v>0.4583333333</v>
      </c>
      <c r="M81" s="252"/>
    </row>
    <row r="82" ht="15.75" customHeight="1">
      <c r="A82" s="239">
        <v>11.0</v>
      </c>
      <c r="B82" s="240" t="s">
        <v>1644</v>
      </c>
      <c r="C82" s="239" t="s">
        <v>109</v>
      </c>
      <c r="D82" s="213">
        <v>20.0</v>
      </c>
      <c r="E82" s="241"/>
      <c r="F82" s="242" t="str">
        <f t="shared" si="21"/>
        <v/>
      </c>
      <c r="G82" s="186">
        <v>6000.0</v>
      </c>
      <c r="H82" s="243">
        <f t="shared" si="22"/>
        <v>120000</v>
      </c>
      <c r="I82" s="188">
        <v>12000.0</v>
      </c>
      <c r="J82" s="253">
        <f t="shared" si="23"/>
        <v>240000</v>
      </c>
      <c r="K82" s="245">
        <f t="shared" si="24"/>
        <v>120000</v>
      </c>
      <c r="L82" s="246">
        <f t="shared" si="25"/>
        <v>1</v>
      </c>
      <c r="M82" s="247"/>
    </row>
    <row r="83" ht="15.75" customHeight="1">
      <c r="A83" s="248">
        <v>12.0</v>
      </c>
      <c r="B83" s="249" t="s">
        <v>1296</v>
      </c>
      <c r="C83" s="248" t="s">
        <v>69</v>
      </c>
      <c r="D83" s="216">
        <v>2600.0</v>
      </c>
      <c r="E83" s="241"/>
      <c r="F83" s="242" t="str">
        <f t="shared" si="21"/>
        <v/>
      </c>
      <c r="G83" s="199">
        <v>560.0</v>
      </c>
      <c r="H83" s="243">
        <f t="shared" si="22"/>
        <v>1456000</v>
      </c>
      <c r="I83" s="188">
        <v>700.0</v>
      </c>
      <c r="J83" s="253">
        <f t="shared" si="23"/>
        <v>1820000</v>
      </c>
      <c r="K83" s="250">
        <f t="shared" si="24"/>
        <v>364000</v>
      </c>
      <c r="L83" s="251">
        <f t="shared" si="25"/>
        <v>0.25</v>
      </c>
      <c r="M83" s="252"/>
    </row>
    <row r="84" ht="15.75" customHeight="1">
      <c r="A84" s="239">
        <v>13.0</v>
      </c>
      <c r="B84" s="240" t="s">
        <v>1600</v>
      </c>
      <c r="C84" s="239" t="s">
        <v>109</v>
      </c>
      <c r="D84" s="213">
        <v>170.0</v>
      </c>
      <c r="E84" s="241"/>
      <c r="F84" s="242" t="str">
        <f t="shared" si="21"/>
        <v/>
      </c>
      <c r="G84" s="186">
        <v>25500.0</v>
      </c>
      <c r="H84" s="243">
        <f t="shared" si="22"/>
        <v>4335000</v>
      </c>
      <c r="I84" s="200">
        <v>28000.0</v>
      </c>
      <c r="J84" s="244">
        <f t="shared" si="23"/>
        <v>4760000</v>
      </c>
      <c r="K84" s="245">
        <f t="shared" si="24"/>
        <v>425000</v>
      </c>
      <c r="L84" s="246">
        <f t="shared" si="25"/>
        <v>0.09803921569</v>
      </c>
      <c r="M84" s="247"/>
    </row>
    <row r="85" ht="15.75" customHeight="1">
      <c r="A85" s="248">
        <v>14.0</v>
      </c>
      <c r="B85" s="249" t="s">
        <v>1645</v>
      </c>
      <c r="C85" s="248" t="s">
        <v>109</v>
      </c>
      <c r="D85" s="216">
        <v>40.0</v>
      </c>
      <c r="E85" s="241"/>
      <c r="F85" s="242" t="str">
        <f t="shared" si="21"/>
        <v/>
      </c>
      <c r="G85" s="186">
        <v>14000.0</v>
      </c>
      <c r="H85" s="243">
        <f t="shared" si="22"/>
        <v>560000</v>
      </c>
      <c r="I85" s="188">
        <v>16000.0</v>
      </c>
      <c r="J85" s="253">
        <f t="shared" si="23"/>
        <v>640000</v>
      </c>
      <c r="K85" s="250">
        <f t="shared" si="24"/>
        <v>80000</v>
      </c>
      <c r="L85" s="251">
        <f t="shared" si="25"/>
        <v>0.1428571429</v>
      </c>
      <c r="M85" s="252"/>
    </row>
    <row r="86" ht="15.75" customHeight="1">
      <c r="A86" s="239">
        <v>15.0</v>
      </c>
      <c r="B86" s="240" t="s">
        <v>1605</v>
      </c>
      <c r="C86" s="239" t="s">
        <v>109</v>
      </c>
      <c r="D86" s="213">
        <v>25.0</v>
      </c>
      <c r="E86" s="241"/>
      <c r="F86" s="242" t="str">
        <f t="shared" si="21"/>
        <v/>
      </c>
      <c r="G86" s="186">
        <v>11267.0</v>
      </c>
      <c r="H86" s="243">
        <f t="shared" si="22"/>
        <v>281675</v>
      </c>
      <c r="I86" s="188">
        <v>12000.0</v>
      </c>
      <c r="J86" s="253">
        <f t="shared" si="23"/>
        <v>300000</v>
      </c>
      <c r="K86" s="245">
        <f t="shared" si="24"/>
        <v>18325</v>
      </c>
      <c r="L86" s="246">
        <f t="shared" si="25"/>
        <v>0.06505724683</v>
      </c>
      <c r="M86" s="247"/>
    </row>
    <row r="87" ht="15.75" customHeight="1">
      <c r="A87" s="248">
        <v>16.0</v>
      </c>
      <c r="B87" s="249" t="s">
        <v>1609</v>
      </c>
      <c r="C87" s="248" t="s">
        <v>109</v>
      </c>
      <c r="D87" s="216">
        <v>40.0</v>
      </c>
      <c r="E87" s="241"/>
      <c r="F87" s="242" t="str">
        <f t="shared" si="21"/>
        <v/>
      </c>
      <c r="G87" s="186">
        <v>15000.0</v>
      </c>
      <c r="H87" s="243">
        <f t="shared" si="22"/>
        <v>600000</v>
      </c>
      <c r="I87" s="188">
        <v>18000.0</v>
      </c>
      <c r="J87" s="255">
        <f t="shared" si="23"/>
        <v>720000</v>
      </c>
      <c r="K87" s="250">
        <f t="shared" si="24"/>
        <v>120000</v>
      </c>
      <c r="L87" s="251">
        <f t="shared" si="25"/>
        <v>0.2</v>
      </c>
      <c r="M87" s="252"/>
    </row>
    <row r="88" ht="15.75" customHeight="1">
      <c r="A88" s="256" t="s">
        <v>1646</v>
      </c>
      <c r="B88" s="206"/>
      <c r="C88" s="206"/>
      <c r="D88" s="174"/>
      <c r="E88" s="257"/>
      <c r="F88" s="258">
        <f>SUMIF(F72:F87,"&lt;&gt;",F72:F87)</f>
        <v>0</v>
      </c>
      <c r="G88" s="257"/>
      <c r="H88" s="258">
        <f>SUMIF(H72:H87,"&lt;&gt;",H72:H87)</f>
        <v>16946175</v>
      </c>
      <c r="I88" s="259"/>
      <c r="J88" s="260">
        <f>SUMIF(J72:J87,"&lt;&gt;",J72:J87)</f>
        <v>19738000</v>
      </c>
      <c r="K88" s="261">
        <f t="shared" si="24"/>
        <v>2791825</v>
      </c>
      <c r="L88" s="262">
        <f t="shared" si="25"/>
        <v>0.1647466169</v>
      </c>
      <c r="M88" s="257"/>
    </row>
    <row r="89" ht="15.75" customHeight="1"/>
    <row r="90" ht="15.75" customHeight="1">
      <c r="A90" s="228" t="s">
        <v>1647</v>
      </c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6"/>
    </row>
    <row r="91" ht="15.75" customHeight="1">
      <c r="A91" s="229" t="s">
        <v>1509</v>
      </c>
      <c r="B91" s="229" t="s">
        <v>1510</v>
      </c>
      <c r="C91" s="229" t="s">
        <v>1511</v>
      </c>
      <c r="D91" s="229" t="s">
        <v>1614</v>
      </c>
      <c r="E91" s="230" t="s">
        <v>1615</v>
      </c>
      <c r="F91" s="174"/>
      <c r="G91" s="231" t="s">
        <v>1616</v>
      </c>
      <c r="H91" s="174"/>
      <c r="I91" s="232" t="s">
        <v>1617</v>
      </c>
      <c r="J91" s="174"/>
      <c r="K91" s="233" t="s">
        <v>1618</v>
      </c>
      <c r="L91" s="174"/>
      <c r="M91" s="229" t="s">
        <v>1619</v>
      </c>
    </row>
    <row r="92" ht="15.75" customHeight="1">
      <c r="A92" s="234" t="s">
        <v>1509</v>
      </c>
      <c r="B92" s="234" t="s">
        <v>1510</v>
      </c>
      <c r="C92" s="234" t="s">
        <v>1511</v>
      </c>
      <c r="D92" s="234" t="s">
        <v>1614</v>
      </c>
      <c r="E92" s="235" t="s">
        <v>1620</v>
      </c>
      <c r="F92" s="235" t="s">
        <v>1621</v>
      </c>
      <c r="G92" s="236" t="s">
        <v>1622</v>
      </c>
      <c r="H92" s="236" t="s">
        <v>1623</v>
      </c>
      <c r="I92" s="237" t="s">
        <v>1624</v>
      </c>
      <c r="J92" s="237" t="s">
        <v>1625</v>
      </c>
      <c r="K92" s="238" t="s">
        <v>1626</v>
      </c>
      <c r="L92" s="238" t="s">
        <v>1627</v>
      </c>
      <c r="M92" s="234" t="s">
        <v>1619</v>
      </c>
    </row>
    <row r="93" ht="15.75" customHeight="1">
      <c r="A93" s="239">
        <v>1.0</v>
      </c>
      <c r="B93" s="240" t="s">
        <v>1522</v>
      </c>
      <c r="C93" s="239" t="s">
        <v>109</v>
      </c>
      <c r="D93" s="213">
        <v>3.0</v>
      </c>
      <c r="E93" s="241">
        <f>'Daftar Harga'!D76</f>
        <v>115000</v>
      </c>
      <c r="F93" s="242">
        <f t="shared" ref="F93:F107" si="26">IF(E93&lt;&gt;"",D93*E93,"")</f>
        <v>345000</v>
      </c>
      <c r="G93" s="186">
        <v>28000.0</v>
      </c>
      <c r="H93" s="243">
        <f t="shared" ref="H93:H107" si="27">IF(G93&lt;&gt;"",D93*G93,"")</f>
        <v>84000</v>
      </c>
      <c r="I93" s="188">
        <v>35000.0</v>
      </c>
      <c r="J93" s="244">
        <f t="shared" ref="J93:J107" si="28">IF(I93&lt;&gt;"",D93*I93,"")</f>
        <v>105000</v>
      </c>
      <c r="K93" s="245">
        <f t="shared" ref="K93:K108" si="29">IF(J93&lt;&gt;"",IF(H93&lt;&gt;"",J93-H93,IF(F93&lt;&gt;"",J93-F93,"")),"")</f>
        <v>21000</v>
      </c>
      <c r="L93" s="246">
        <f t="shared" ref="L93:L108" si="30">IF(K93&lt;&gt;"",IF(H93&lt;&gt;"",IF(H93&lt;&gt;0,K93/H93,""),IF(F93&lt;&gt;"",IF(F93&lt;&gt;0,K93/F93,""),"")),"")</f>
        <v>0.25</v>
      </c>
      <c r="M93" s="247"/>
    </row>
    <row r="94" ht="15.75" customHeight="1">
      <c r="A94" s="248">
        <v>2.0</v>
      </c>
      <c r="B94" s="249" t="s">
        <v>1527</v>
      </c>
      <c r="C94" s="248" t="s">
        <v>109</v>
      </c>
      <c r="D94" s="216">
        <v>125.0</v>
      </c>
      <c r="E94" s="241">
        <f>'Daftar Harga'!D84</f>
        <v>34000</v>
      </c>
      <c r="F94" s="242">
        <f t="shared" si="26"/>
        <v>4250000</v>
      </c>
      <c r="G94" s="186">
        <v>14500.0</v>
      </c>
      <c r="H94" s="243">
        <f t="shared" si="27"/>
        <v>1812500</v>
      </c>
      <c r="I94" s="188">
        <v>15500.0</v>
      </c>
      <c r="J94" s="244">
        <f t="shared" si="28"/>
        <v>1937500</v>
      </c>
      <c r="K94" s="250">
        <f t="shared" si="29"/>
        <v>125000</v>
      </c>
      <c r="L94" s="251">
        <f t="shared" si="30"/>
        <v>0.06896551724</v>
      </c>
      <c r="M94" s="252"/>
    </row>
    <row r="95" ht="15.75" customHeight="1">
      <c r="A95" s="239">
        <v>3.0</v>
      </c>
      <c r="B95" s="240" t="s">
        <v>1538</v>
      </c>
      <c r="C95" s="239" t="s">
        <v>109</v>
      </c>
      <c r="D95" s="213">
        <v>110.0</v>
      </c>
      <c r="E95" s="241">
        <f>'Daftar Harga'!D95</f>
        <v>23000</v>
      </c>
      <c r="F95" s="242">
        <f t="shared" si="26"/>
        <v>2530000</v>
      </c>
      <c r="G95" s="186">
        <v>50500.0</v>
      </c>
      <c r="H95" s="243">
        <f t="shared" si="27"/>
        <v>5555000</v>
      </c>
      <c r="I95" s="188">
        <v>60000.0</v>
      </c>
      <c r="J95" s="244">
        <f t="shared" si="28"/>
        <v>6600000</v>
      </c>
      <c r="K95" s="245">
        <f t="shared" si="29"/>
        <v>1045000</v>
      </c>
      <c r="L95" s="246">
        <f t="shared" si="30"/>
        <v>0.1881188119</v>
      </c>
      <c r="M95" s="247"/>
    </row>
    <row r="96" ht="15.75" customHeight="1">
      <c r="A96" s="248">
        <v>4.0</v>
      </c>
      <c r="B96" s="249" t="s">
        <v>1648</v>
      </c>
      <c r="C96" s="248" t="s">
        <v>109</v>
      </c>
      <c r="D96" s="216">
        <v>100.0</v>
      </c>
      <c r="E96" s="241" t="str">
        <f>'Daftar Harga'!D114</f>
        <v/>
      </c>
      <c r="F96" s="242" t="str">
        <f t="shared" si="26"/>
        <v/>
      </c>
      <c r="G96" s="186">
        <v>34000.0</v>
      </c>
      <c r="H96" s="243">
        <f t="shared" si="27"/>
        <v>3400000</v>
      </c>
      <c r="I96" s="188">
        <v>36000.0</v>
      </c>
      <c r="J96" s="244">
        <f t="shared" si="28"/>
        <v>3600000</v>
      </c>
      <c r="K96" s="250">
        <f t="shared" si="29"/>
        <v>200000</v>
      </c>
      <c r="L96" s="251">
        <f t="shared" si="30"/>
        <v>0.05882352941</v>
      </c>
      <c r="M96" s="252"/>
    </row>
    <row r="97" ht="15.75" customHeight="1">
      <c r="A97" s="239">
        <v>5.0</v>
      </c>
      <c r="B97" s="240" t="s">
        <v>1649</v>
      </c>
      <c r="C97" s="239" t="s">
        <v>109</v>
      </c>
      <c r="D97" s="213">
        <v>5.0</v>
      </c>
      <c r="E97" s="241" t="str">
        <f>'Daftar Harga'!D120</f>
        <v/>
      </c>
      <c r="F97" s="242" t="str">
        <f t="shared" si="26"/>
        <v/>
      </c>
      <c r="G97" s="186">
        <v>140000.0</v>
      </c>
      <c r="H97" s="243">
        <f t="shared" si="27"/>
        <v>700000</v>
      </c>
      <c r="I97" s="188">
        <v>145000.0</v>
      </c>
      <c r="J97" s="244">
        <f t="shared" si="28"/>
        <v>725000</v>
      </c>
      <c r="K97" s="245">
        <f t="shared" si="29"/>
        <v>25000</v>
      </c>
      <c r="L97" s="246">
        <f t="shared" si="30"/>
        <v>0.03571428571</v>
      </c>
      <c r="M97" s="247"/>
    </row>
    <row r="98" ht="15.75" customHeight="1">
      <c r="A98" s="248">
        <v>6.0</v>
      </c>
      <c r="B98" s="249" t="s">
        <v>1566</v>
      </c>
      <c r="C98" s="248" t="s">
        <v>109</v>
      </c>
      <c r="D98" s="216">
        <v>2.0</v>
      </c>
      <c r="E98" s="241" t="str">
        <f>'Daftar Harga'!D126</f>
        <v/>
      </c>
      <c r="F98" s="242" t="str">
        <f t="shared" si="26"/>
        <v/>
      </c>
      <c r="G98" s="186">
        <v>94000.0</v>
      </c>
      <c r="H98" s="243">
        <f t="shared" si="27"/>
        <v>188000</v>
      </c>
      <c r="I98" s="188">
        <v>105000.0</v>
      </c>
      <c r="J98" s="244">
        <f t="shared" si="28"/>
        <v>210000</v>
      </c>
      <c r="K98" s="250">
        <f t="shared" si="29"/>
        <v>22000</v>
      </c>
      <c r="L98" s="251">
        <f t="shared" si="30"/>
        <v>0.1170212766</v>
      </c>
      <c r="M98" s="252"/>
    </row>
    <row r="99" ht="15.75" customHeight="1">
      <c r="A99" s="239">
        <v>7.0</v>
      </c>
      <c r="B99" s="240" t="s">
        <v>1650</v>
      </c>
      <c r="C99" s="239" t="s">
        <v>109</v>
      </c>
      <c r="D99" s="213">
        <v>2.0</v>
      </c>
      <c r="E99" s="241" t="str">
        <f>'Daftar Harga'!D131</f>
        <v/>
      </c>
      <c r="F99" s="242" t="str">
        <f t="shared" si="26"/>
        <v/>
      </c>
      <c r="G99" s="186">
        <v>140000.0</v>
      </c>
      <c r="H99" s="243">
        <f t="shared" si="27"/>
        <v>280000</v>
      </c>
      <c r="I99" s="188">
        <v>190000.0</v>
      </c>
      <c r="J99" s="244">
        <f t="shared" si="28"/>
        <v>380000</v>
      </c>
      <c r="K99" s="245">
        <f t="shared" si="29"/>
        <v>100000</v>
      </c>
      <c r="L99" s="246">
        <f t="shared" si="30"/>
        <v>0.3571428571</v>
      </c>
      <c r="M99" s="247"/>
    </row>
    <row r="100" ht="15.75" customHeight="1">
      <c r="A100" s="248">
        <v>8.0</v>
      </c>
      <c r="B100" s="249" t="s">
        <v>1575</v>
      </c>
      <c r="C100" s="248" t="s">
        <v>109</v>
      </c>
      <c r="D100" s="216">
        <v>5.0</v>
      </c>
      <c r="E100" s="241" t="str">
        <f>'Daftar Harga'!D137</f>
        <v/>
      </c>
      <c r="F100" s="242" t="str">
        <f t="shared" si="26"/>
        <v/>
      </c>
      <c r="G100" s="186">
        <v>25000.0</v>
      </c>
      <c r="H100" s="243">
        <f t="shared" si="27"/>
        <v>125000</v>
      </c>
      <c r="I100" s="188">
        <v>26000.0</v>
      </c>
      <c r="J100" s="244">
        <f t="shared" si="28"/>
        <v>130000</v>
      </c>
      <c r="K100" s="250">
        <f t="shared" si="29"/>
        <v>5000</v>
      </c>
      <c r="L100" s="251">
        <f t="shared" si="30"/>
        <v>0.04</v>
      </c>
      <c r="M100" s="252"/>
    </row>
    <row r="101" ht="15.75" customHeight="1">
      <c r="A101" s="239">
        <v>9.0</v>
      </c>
      <c r="B101" s="240" t="s">
        <v>1651</v>
      </c>
      <c r="C101" s="239" t="s">
        <v>109</v>
      </c>
      <c r="D101" s="213">
        <v>256.0</v>
      </c>
      <c r="E101" s="241" t="str">
        <f>'Daftar Harga'!D138</f>
        <v/>
      </c>
      <c r="F101" s="242" t="str">
        <f t="shared" si="26"/>
        <v/>
      </c>
      <c r="G101" s="186">
        <v>19500.0</v>
      </c>
      <c r="H101" s="243">
        <f t="shared" si="27"/>
        <v>4992000</v>
      </c>
      <c r="I101" s="188">
        <v>21000.0</v>
      </c>
      <c r="J101" s="244">
        <f t="shared" si="28"/>
        <v>5376000</v>
      </c>
      <c r="K101" s="245">
        <f t="shared" si="29"/>
        <v>384000</v>
      </c>
      <c r="L101" s="246">
        <f t="shared" si="30"/>
        <v>0.07692307692</v>
      </c>
      <c r="M101" s="247"/>
    </row>
    <row r="102" ht="15.75" customHeight="1">
      <c r="A102" s="248">
        <v>10.0</v>
      </c>
      <c r="B102" s="249" t="s">
        <v>1578</v>
      </c>
      <c r="C102" s="248" t="s">
        <v>1579</v>
      </c>
      <c r="D102" s="216">
        <v>50.0</v>
      </c>
      <c r="E102" s="241" t="str">
        <f>'Daftar Harga'!D140</f>
        <v/>
      </c>
      <c r="F102" s="242" t="str">
        <f t="shared" si="26"/>
        <v/>
      </c>
      <c r="G102" s="186">
        <v>21500.0</v>
      </c>
      <c r="H102" s="243">
        <f t="shared" si="27"/>
        <v>1075000</v>
      </c>
      <c r="I102" s="188">
        <v>23000.0</v>
      </c>
      <c r="J102" s="244">
        <f t="shared" si="28"/>
        <v>1150000</v>
      </c>
      <c r="K102" s="250">
        <f t="shared" si="29"/>
        <v>75000</v>
      </c>
      <c r="L102" s="251">
        <f t="shared" si="30"/>
        <v>0.06976744186</v>
      </c>
      <c r="M102" s="252"/>
    </row>
    <row r="103" ht="15.75" customHeight="1">
      <c r="A103" s="239">
        <v>11.0</v>
      </c>
      <c r="B103" s="240" t="s">
        <v>1363</v>
      </c>
      <c r="C103" s="239" t="s">
        <v>109</v>
      </c>
      <c r="D103" s="213">
        <v>60.0</v>
      </c>
      <c r="E103" s="241" t="str">
        <f>'Daftar Harga'!D142</f>
        <v/>
      </c>
      <c r="F103" s="242" t="str">
        <f t="shared" si="26"/>
        <v/>
      </c>
      <c r="G103" s="186">
        <v>28000.0</v>
      </c>
      <c r="H103" s="243">
        <f t="shared" si="27"/>
        <v>1680000</v>
      </c>
      <c r="I103" s="188">
        <v>34000.0</v>
      </c>
      <c r="J103" s="244">
        <f t="shared" si="28"/>
        <v>2040000</v>
      </c>
      <c r="K103" s="245">
        <f t="shared" si="29"/>
        <v>360000</v>
      </c>
      <c r="L103" s="246">
        <f t="shared" si="30"/>
        <v>0.2142857143</v>
      </c>
      <c r="M103" s="247"/>
    </row>
    <row r="104" ht="15.75" customHeight="1">
      <c r="A104" s="248">
        <v>12.0</v>
      </c>
      <c r="B104" s="249" t="s">
        <v>1591</v>
      </c>
      <c r="C104" s="248" t="s">
        <v>69</v>
      </c>
      <c r="D104" s="216">
        <v>2000.0</v>
      </c>
      <c r="E104" s="241" t="str">
        <f>'Daftar Harga'!D153</f>
        <v/>
      </c>
      <c r="F104" s="242" t="str">
        <f t="shared" si="26"/>
        <v/>
      </c>
      <c r="G104" s="186">
        <v>240.0</v>
      </c>
      <c r="H104" s="243">
        <f t="shared" si="27"/>
        <v>480000</v>
      </c>
      <c r="I104" s="188">
        <v>280.0</v>
      </c>
      <c r="J104" s="244">
        <f t="shared" si="28"/>
        <v>560000</v>
      </c>
      <c r="K104" s="250">
        <f t="shared" si="29"/>
        <v>80000</v>
      </c>
      <c r="L104" s="251">
        <f t="shared" si="30"/>
        <v>0.1666666667</v>
      </c>
      <c r="M104" s="252"/>
    </row>
    <row r="105" ht="15.75" customHeight="1">
      <c r="A105" s="239">
        <v>13.0</v>
      </c>
      <c r="B105" s="240" t="s">
        <v>1652</v>
      </c>
      <c r="C105" s="239" t="s">
        <v>1583</v>
      </c>
      <c r="D105" s="213">
        <v>20.0</v>
      </c>
      <c r="E105" s="241">
        <v>13000.0</v>
      </c>
      <c r="F105" s="242">
        <f t="shared" si="26"/>
        <v>260000</v>
      </c>
      <c r="G105" s="186">
        <v>13000.0</v>
      </c>
      <c r="H105" s="243">
        <f t="shared" si="27"/>
        <v>260000</v>
      </c>
      <c r="I105" s="188">
        <v>27500.0</v>
      </c>
      <c r="J105" s="244">
        <f t="shared" si="28"/>
        <v>550000</v>
      </c>
      <c r="K105" s="245">
        <f t="shared" si="29"/>
        <v>290000</v>
      </c>
      <c r="L105" s="246">
        <f t="shared" si="30"/>
        <v>1.115384615</v>
      </c>
      <c r="M105" s="247"/>
    </row>
    <row r="106" ht="15.75" customHeight="1">
      <c r="A106" s="248">
        <v>14.0</v>
      </c>
      <c r="B106" s="249" t="s">
        <v>1600</v>
      </c>
      <c r="C106" s="248" t="s">
        <v>109</v>
      </c>
      <c r="D106" s="216">
        <v>30.0</v>
      </c>
      <c r="E106" s="241" t="str">
        <f>'Daftar Harga'!D168</f>
        <v/>
      </c>
      <c r="F106" s="242" t="str">
        <f t="shared" si="26"/>
        <v/>
      </c>
      <c r="G106" s="186">
        <v>25500.0</v>
      </c>
      <c r="H106" s="243">
        <f t="shared" si="27"/>
        <v>765000</v>
      </c>
      <c r="I106" s="188">
        <v>28000.0</v>
      </c>
      <c r="J106" s="244">
        <f t="shared" si="28"/>
        <v>840000</v>
      </c>
      <c r="K106" s="250">
        <f t="shared" si="29"/>
        <v>75000</v>
      </c>
      <c r="L106" s="251">
        <f t="shared" si="30"/>
        <v>0.09803921569</v>
      </c>
      <c r="M106" s="252"/>
    </row>
    <row r="107" ht="15.75" customHeight="1">
      <c r="A107" s="239">
        <v>15.0</v>
      </c>
      <c r="B107" s="240" t="s">
        <v>1645</v>
      </c>
      <c r="C107" s="239" t="s">
        <v>109</v>
      </c>
      <c r="D107" s="213">
        <v>40.0</v>
      </c>
      <c r="E107" s="241" t="str">
        <f>'Daftar Harga'!D173</f>
        <v/>
      </c>
      <c r="F107" s="242" t="str">
        <f t="shared" si="26"/>
        <v/>
      </c>
      <c r="G107" s="186">
        <v>14000.0</v>
      </c>
      <c r="H107" s="263">
        <f t="shared" si="27"/>
        <v>560000</v>
      </c>
      <c r="I107" s="188">
        <v>16000.0</v>
      </c>
      <c r="J107" s="264">
        <f t="shared" si="28"/>
        <v>640000</v>
      </c>
      <c r="K107" s="245">
        <f t="shared" si="29"/>
        <v>80000</v>
      </c>
      <c r="L107" s="246">
        <f t="shared" si="30"/>
        <v>0.1428571429</v>
      </c>
      <c r="M107" s="247"/>
    </row>
    <row r="108" ht="15.75" customHeight="1">
      <c r="A108" s="256" t="s">
        <v>1653</v>
      </c>
      <c r="B108" s="206"/>
      <c r="C108" s="206"/>
      <c r="D108" s="174"/>
      <c r="E108" s="257"/>
      <c r="F108" s="258">
        <f>SUMIF(F93:F107,"&lt;&gt;",F93:F107)</f>
        <v>7385000</v>
      </c>
      <c r="G108" s="259"/>
      <c r="H108" s="260">
        <f>SUMIF(H93:H107,"&lt;&gt;",H93:H107)</f>
        <v>21956500</v>
      </c>
      <c r="I108" s="265"/>
      <c r="J108" s="260">
        <f>SUMIF(J93:J107,"&lt;&gt;",J93:J107)</f>
        <v>24843500</v>
      </c>
      <c r="K108" s="261">
        <f t="shared" si="29"/>
        <v>2887000</v>
      </c>
      <c r="L108" s="262">
        <f t="shared" si="30"/>
        <v>0.1314872589</v>
      </c>
      <c r="M108" s="257"/>
    </row>
    <row r="109" ht="15.75" customHeight="1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</row>
    <row r="110" ht="15.75" customHeight="1">
      <c r="A110" s="228" t="s">
        <v>1654</v>
      </c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6"/>
    </row>
    <row r="111" ht="15.75" customHeight="1">
      <c r="A111" s="229" t="s">
        <v>1509</v>
      </c>
      <c r="B111" s="229" t="s">
        <v>1510</v>
      </c>
      <c r="C111" s="229" t="s">
        <v>1511</v>
      </c>
      <c r="D111" s="229" t="s">
        <v>1614</v>
      </c>
      <c r="E111" s="230" t="s">
        <v>1615</v>
      </c>
      <c r="F111" s="174"/>
      <c r="G111" s="231" t="s">
        <v>1616</v>
      </c>
      <c r="H111" s="174"/>
      <c r="I111" s="232" t="s">
        <v>1617</v>
      </c>
      <c r="J111" s="174"/>
      <c r="K111" s="233" t="s">
        <v>1618</v>
      </c>
      <c r="L111" s="174"/>
      <c r="M111" s="229" t="s">
        <v>1619</v>
      </c>
    </row>
    <row r="112" ht="15.75" customHeight="1">
      <c r="A112" s="234" t="s">
        <v>1509</v>
      </c>
      <c r="B112" s="234" t="s">
        <v>1510</v>
      </c>
      <c r="C112" s="234" t="s">
        <v>1511</v>
      </c>
      <c r="D112" s="234" t="s">
        <v>1614</v>
      </c>
      <c r="E112" s="235" t="s">
        <v>1620</v>
      </c>
      <c r="F112" s="235" t="s">
        <v>1621</v>
      </c>
      <c r="G112" s="236" t="s">
        <v>1622</v>
      </c>
      <c r="H112" s="236" t="s">
        <v>1623</v>
      </c>
      <c r="I112" s="237" t="s">
        <v>1624</v>
      </c>
      <c r="J112" s="237" t="s">
        <v>1625</v>
      </c>
      <c r="K112" s="238" t="s">
        <v>1626</v>
      </c>
      <c r="L112" s="238" t="s">
        <v>1627</v>
      </c>
      <c r="M112" s="234" t="s">
        <v>1619</v>
      </c>
    </row>
    <row r="113" ht="15.75" customHeight="1">
      <c r="A113" s="239">
        <v>1.0</v>
      </c>
      <c r="B113" s="240" t="s">
        <v>1522</v>
      </c>
      <c r="C113" s="239" t="s">
        <v>109</v>
      </c>
      <c r="D113" s="213">
        <v>3.0</v>
      </c>
      <c r="E113" s="241">
        <f>'Daftar Harga'!D76</f>
        <v>115000</v>
      </c>
      <c r="F113" s="242">
        <f t="shared" ref="F113:F127" si="31">IF(E113&lt;&gt;"",D113*E113,"")</f>
        <v>345000</v>
      </c>
      <c r="G113" s="186">
        <v>22000.0</v>
      </c>
      <c r="H113" s="243">
        <f t="shared" ref="H113:H127" si="32">IF(G113&lt;&gt;"",D113*G113,"")</f>
        <v>66000</v>
      </c>
      <c r="I113" s="188">
        <v>32000.0</v>
      </c>
      <c r="J113" s="244">
        <f t="shared" ref="J113:J127" si="33">IF(I113&lt;&gt;"",D113*I113,"")</f>
        <v>96000</v>
      </c>
      <c r="K113" s="245">
        <f t="shared" ref="K113:K128" si="34">IF(J113&lt;&gt;"",IF(H113&lt;&gt;"",J113-H113,IF(F113&lt;&gt;"",J113-F113,"")),"")</f>
        <v>30000</v>
      </c>
      <c r="L113" s="246">
        <f t="shared" ref="L113:L128" si="35">IF(K113&lt;&gt;"",IF(H113&lt;&gt;"",IF(H113&lt;&gt;0,K113/H113,""),IF(F113&lt;&gt;"",IF(F113&lt;&gt;0,K113/F113,""),"")),"")</f>
        <v>0.4545454545</v>
      </c>
      <c r="M113" s="247"/>
    </row>
    <row r="114" ht="15.75" customHeight="1">
      <c r="A114" s="248">
        <v>2.0</v>
      </c>
      <c r="B114" s="249" t="s">
        <v>1527</v>
      </c>
      <c r="C114" s="248" t="s">
        <v>109</v>
      </c>
      <c r="D114" s="216">
        <v>125.0</v>
      </c>
      <c r="E114" s="241">
        <f>'Daftar Harga'!D84</f>
        <v>34000</v>
      </c>
      <c r="F114" s="242">
        <f t="shared" si="31"/>
        <v>4250000</v>
      </c>
      <c r="G114" s="186">
        <v>14500.0</v>
      </c>
      <c r="H114" s="243">
        <f t="shared" si="32"/>
        <v>1812500</v>
      </c>
      <c r="I114" s="188">
        <v>15500.0</v>
      </c>
      <c r="J114" s="244">
        <f t="shared" si="33"/>
        <v>1937500</v>
      </c>
      <c r="K114" s="250">
        <f t="shared" si="34"/>
        <v>125000</v>
      </c>
      <c r="L114" s="251">
        <f t="shared" si="35"/>
        <v>0.06896551724</v>
      </c>
      <c r="M114" s="252"/>
    </row>
    <row r="115" ht="15.75" customHeight="1">
      <c r="A115" s="239">
        <v>3.0</v>
      </c>
      <c r="B115" s="240" t="s">
        <v>1538</v>
      </c>
      <c r="C115" s="239" t="s">
        <v>109</v>
      </c>
      <c r="D115" s="213">
        <v>110.0</v>
      </c>
      <c r="E115" s="241">
        <f>'Daftar Harga'!D95</f>
        <v>23000</v>
      </c>
      <c r="F115" s="242">
        <f t="shared" si="31"/>
        <v>2530000</v>
      </c>
      <c r="G115" s="186">
        <v>50500.0</v>
      </c>
      <c r="H115" s="243">
        <f t="shared" si="32"/>
        <v>5555000</v>
      </c>
      <c r="I115" s="188">
        <v>55000.0</v>
      </c>
      <c r="J115" s="244">
        <f t="shared" si="33"/>
        <v>6050000</v>
      </c>
      <c r="K115" s="245">
        <f t="shared" si="34"/>
        <v>495000</v>
      </c>
      <c r="L115" s="246">
        <f t="shared" si="35"/>
        <v>0.08910891089</v>
      </c>
      <c r="M115" s="247"/>
    </row>
    <row r="116" ht="15.75" customHeight="1">
      <c r="A116" s="248">
        <v>4.0</v>
      </c>
      <c r="B116" s="249" t="s">
        <v>1642</v>
      </c>
      <c r="C116" s="248" t="s">
        <v>109</v>
      </c>
      <c r="D116" s="216">
        <v>3.0</v>
      </c>
      <c r="E116" s="241">
        <f>'Daftar Harga'!D96</f>
        <v>12000</v>
      </c>
      <c r="F116" s="242">
        <f t="shared" si="31"/>
        <v>36000</v>
      </c>
      <c r="G116" s="186">
        <v>15000.0</v>
      </c>
      <c r="H116" s="243">
        <f t="shared" si="32"/>
        <v>45000</v>
      </c>
      <c r="I116" s="188">
        <v>17000.0</v>
      </c>
      <c r="J116" s="244">
        <f t="shared" si="33"/>
        <v>51000</v>
      </c>
      <c r="K116" s="250">
        <f t="shared" si="34"/>
        <v>6000</v>
      </c>
      <c r="L116" s="251">
        <f t="shared" si="35"/>
        <v>0.1333333333</v>
      </c>
      <c r="M116" s="252"/>
    </row>
    <row r="117" ht="15.75" customHeight="1">
      <c r="A117" s="239">
        <v>5.0</v>
      </c>
      <c r="B117" s="240" t="s">
        <v>1655</v>
      </c>
      <c r="C117" s="239" t="s">
        <v>109</v>
      </c>
      <c r="D117" s="213">
        <v>5.0</v>
      </c>
      <c r="E117" s="241" t="str">
        <f>'Daftar Harga'!D105</f>
        <v/>
      </c>
      <c r="F117" s="242" t="str">
        <f t="shared" si="31"/>
        <v/>
      </c>
      <c r="G117" s="186">
        <v>18500.0</v>
      </c>
      <c r="H117" s="243">
        <f t="shared" si="32"/>
        <v>92500</v>
      </c>
      <c r="I117" s="188">
        <v>20000.0</v>
      </c>
      <c r="J117" s="244">
        <f t="shared" si="33"/>
        <v>100000</v>
      </c>
      <c r="K117" s="245">
        <f t="shared" si="34"/>
        <v>7500</v>
      </c>
      <c r="L117" s="246">
        <f t="shared" si="35"/>
        <v>0.08108108108</v>
      </c>
      <c r="M117" s="247"/>
    </row>
    <row r="118" ht="15.75" customHeight="1">
      <c r="A118" s="248">
        <v>6.0</v>
      </c>
      <c r="B118" s="249" t="s">
        <v>1566</v>
      </c>
      <c r="C118" s="248" t="s">
        <v>109</v>
      </c>
      <c r="D118" s="216">
        <v>2.0</v>
      </c>
      <c r="E118" s="241" t="str">
        <f>'Daftar Harga'!D126</f>
        <v/>
      </c>
      <c r="F118" s="242" t="str">
        <f t="shared" si="31"/>
        <v/>
      </c>
      <c r="G118" s="186">
        <v>94000.0</v>
      </c>
      <c r="H118" s="243">
        <f t="shared" si="32"/>
        <v>188000</v>
      </c>
      <c r="I118" s="188">
        <v>100000.0</v>
      </c>
      <c r="J118" s="244">
        <f t="shared" si="33"/>
        <v>200000</v>
      </c>
      <c r="K118" s="250">
        <f t="shared" si="34"/>
        <v>12000</v>
      </c>
      <c r="L118" s="251">
        <f t="shared" si="35"/>
        <v>0.06382978723</v>
      </c>
      <c r="M118" s="252"/>
    </row>
    <row r="119" ht="15.75" customHeight="1">
      <c r="A119" s="239">
        <v>7.0</v>
      </c>
      <c r="B119" s="240" t="s">
        <v>1656</v>
      </c>
      <c r="C119" s="239" t="s">
        <v>1208</v>
      </c>
      <c r="D119" s="213">
        <v>43.0</v>
      </c>
      <c r="E119" s="267"/>
      <c r="F119" s="268" t="str">
        <f t="shared" si="31"/>
        <v/>
      </c>
      <c r="G119" s="186">
        <v>260000.0</v>
      </c>
      <c r="H119" s="243">
        <f t="shared" si="32"/>
        <v>11180000</v>
      </c>
      <c r="I119" s="188">
        <v>265000.0</v>
      </c>
      <c r="J119" s="244">
        <f t="shared" si="33"/>
        <v>11395000</v>
      </c>
      <c r="K119" s="245">
        <f t="shared" si="34"/>
        <v>215000</v>
      </c>
      <c r="L119" s="246">
        <f t="shared" si="35"/>
        <v>0.01923076923</v>
      </c>
      <c r="M119" s="247"/>
    </row>
    <row r="120" ht="15.75" customHeight="1">
      <c r="A120" s="248">
        <v>8.0</v>
      </c>
      <c r="B120" s="249" t="s">
        <v>1578</v>
      </c>
      <c r="C120" s="248" t="s">
        <v>1579</v>
      </c>
      <c r="D120" s="216">
        <v>60.0</v>
      </c>
      <c r="E120" s="241" t="str">
        <f>'Daftar Harga'!D140</f>
        <v/>
      </c>
      <c r="F120" s="242" t="str">
        <f t="shared" si="31"/>
        <v/>
      </c>
      <c r="G120" s="186">
        <v>21500.0</v>
      </c>
      <c r="H120" s="243">
        <f t="shared" si="32"/>
        <v>1290000</v>
      </c>
      <c r="I120" s="188">
        <v>23000.0</v>
      </c>
      <c r="J120" s="244">
        <f t="shared" si="33"/>
        <v>1380000</v>
      </c>
      <c r="K120" s="250">
        <f t="shared" si="34"/>
        <v>90000</v>
      </c>
      <c r="L120" s="251">
        <f t="shared" si="35"/>
        <v>0.06976744186</v>
      </c>
      <c r="M120" s="252"/>
    </row>
    <row r="121" ht="15.75" customHeight="1">
      <c r="A121" s="239">
        <v>9.0</v>
      </c>
      <c r="B121" s="240" t="s">
        <v>1657</v>
      </c>
      <c r="C121" s="239" t="s">
        <v>1557</v>
      </c>
      <c r="D121" s="213">
        <v>1.0</v>
      </c>
      <c r="E121" s="241" t="str">
        <f>'Daftar Harga'!D141</f>
        <v/>
      </c>
      <c r="F121" s="242" t="str">
        <f t="shared" si="31"/>
        <v/>
      </c>
      <c r="G121" s="186">
        <v>48000.0</v>
      </c>
      <c r="H121" s="243">
        <f t="shared" si="32"/>
        <v>48000</v>
      </c>
      <c r="I121" s="188">
        <v>55000.0</v>
      </c>
      <c r="J121" s="244">
        <f t="shared" si="33"/>
        <v>55000</v>
      </c>
      <c r="K121" s="245">
        <f t="shared" si="34"/>
        <v>7000</v>
      </c>
      <c r="L121" s="246">
        <f t="shared" si="35"/>
        <v>0.1458333333</v>
      </c>
      <c r="M121" s="247"/>
    </row>
    <row r="122" ht="15.75" customHeight="1">
      <c r="A122" s="248">
        <v>10.0</v>
      </c>
      <c r="B122" s="249" t="s">
        <v>1658</v>
      </c>
      <c r="C122" s="248" t="s">
        <v>1583</v>
      </c>
      <c r="D122" s="216">
        <v>130.0</v>
      </c>
      <c r="E122" s="241" t="str">
        <f>'Daftar Harga'!D143</f>
        <v/>
      </c>
      <c r="F122" s="242" t="str">
        <f t="shared" si="31"/>
        <v/>
      </c>
      <c r="G122" s="186">
        <v>30000.0</v>
      </c>
      <c r="H122" s="243">
        <f t="shared" si="32"/>
        <v>3900000</v>
      </c>
      <c r="I122" s="188">
        <v>32000.0</v>
      </c>
      <c r="J122" s="244">
        <f t="shared" si="33"/>
        <v>4160000</v>
      </c>
      <c r="K122" s="250">
        <f t="shared" si="34"/>
        <v>260000</v>
      </c>
      <c r="L122" s="251">
        <f t="shared" si="35"/>
        <v>0.06666666667</v>
      </c>
      <c r="M122" s="252"/>
    </row>
    <row r="123" ht="15.75" customHeight="1">
      <c r="A123" s="239">
        <v>11.0</v>
      </c>
      <c r="B123" s="240" t="s">
        <v>1591</v>
      </c>
      <c r="C123" s="239" t="s">
        <v>69</v>
      </c>
      <c r="D123" s="213">
        <v>2000.0</v>
      </c>
      <c r="E123" s="267"/>
      <c r="F123" s="268" t="str">
        <f t="shared" si="31"/>
        <v/>
      </c>
      <c r="G123" s="186">
        <v>240.0</v>
      </c>
      <c r="H123" s="243">
        <f t="shared" si="32"/>
        <v>480000</v>
      </c>
      <c r="I123" s="188">
        <v>300.0</v>
      </c>
      <c r="J123" s="244">
        <f t="shared" si="33"/>
        <v>600000</v>
      </c>
      <c r="K123" s="245">
        <f t="shared" si="34"/>
        <v>120000</v>
      </c>
      <c r="L123" s="246">
        <f t="shared" si="35"/>
        <v>0.25</v>
      </c>
      <c r="M123" s="247"/>
    </row>
    <row r="124" ht="15.75" customHeight="1">
      <c r="A124" s="248">
        <v>12.0</v>
      </c>
      <c r="B124" s="249" t="s">
        <v>1345</v>
      </c>
      <c r="C124" s="248" t="s">
        <v>69</v>
      </c>
      <c r="D124" s="216">
        <v>2600.0</v>
      </c>
      <c r="E124" s="241" t="str">
        <f>'Daftar Harga'!D164</f>
        <v/>
      </c>
      <c r="F124" s="242" t="str">
        <f t="shared" si="31"/>
        <v/>
      </c>
      <c r="G124" s="186">
        <v>550.0</v>
      </c>
      <c r="H124" s="243">
        <f t="shared" si="32"/>
        <v>1430000</v>
      </c>
      <c r="I124" s="188">
        <v>700.0</v>
      </c>
      <c r="J124" s="244">
        <f t="shared" si="33"/>
        <v>1820000</v>
      </c>
      <c r="K124" s="250">
        <f t="shared" si="34"/>
        <v>390000</v>
      </c>
      <c r="L124" s="251">
        <f t="shared" si="35"/>
        <v>0.2727272727</v>
      </c>
      <c r="M124" s="252"/>
    </row>
    <row r="125" ht="15.75" customHeight="1">
      <c r="A125" s="239">
        <v>13.0</v>
      </c>
      <c r="B125" s="240" t="s">
        <v>1600</v>
      </c>
      <c r="C125" s="239" t="s">
        <v>109</v>
      </c>
      <c r="D125" s="213">
        <v>30.0</v>
      </c>
      <c r="E125" s="241" t="str">
        <f>'Daftar Harga'!D168</f>
        <v/>
      </c>
      <c r="F125" s="242" t="str">
        <f t="shared" si="31"/>
        <v/>
      </c>
      <c r="G125" s="186">
        <v>25500.0</v>
      </c>
      <c r="H125" s="243">
        <f t="shared" si="32"/>
        <v>765000</v>
      </c>
      <c r="I125" s="188">
        <v>27000.0</v>
      </c>
      <c r="J125" s="244">
        <f t="shared" si="33"/>
        <v>810000</v>
      </c>
      <c r="K125" s="245">
        <f t="shared" si="34"/>
        <v>45000</v>
      </c>
      <c r="L125" s="246">
        <f t="shared" si="35"/>
        <v>0.05882352941</v>
      </c>
      <c r="M125" s="247"/>
    </row>
    <row r="126" ht="15.75" customHeight="1">
      <c r="A126" s="248">
        <v>14.0</v>
      </c>
      <c r="B126" s="249" t="s">
        <v>1607</v>
      </c>
      <c r="C126" s="248" t="s">
        <v>109</v>
      </c>
      <c r="D126" s="216">
        <v>100.0</v>
      </c>
      <c r="E126" s="241" t="str">
        <f>'Daftar Harga'!D176</f>
        <v/>
      </c>
      <c r="F126" s="242" t="str">
        <f t="shared" si="31"/>
        <v/>
      </c>
      <c r="G126" s="186">
        <v>8000.0</v>
      </c>
      <c r="H126" s="243">
        <f t="shared" si="32"/>
        <v>800000</v>
      </c>
      <c r="I126" s="188">
        <v>11000.0</v>
      </c>
      <c r="J126" s="244">
        <f t="shared" si="33"/>
        <v>1100000</v>
      </c>
      <c r="K126" s="250">
        <f t="shared" si="34"/>
        <v>300000</v>
      </c>
      <c r="L126" s="251">
        <f t="shared" si="35"/>
        <v>0.375</v>
      </c>
      <c r="M126" s="252"/>
    </row>
    <row r="127" ht="15.75" customHeight="1">
      <c r="A127" s="239">
        <v>15.0</v>
      </c>
      <c r="B127" s="240" t="s">
        <v>1609</v>
      </c>
      <c r="C127" s="239" t="s">
        <v>109</v>
      </c>
      <c r="D127" s="213">
        <v>3.0</v>
      </c>
      <c r="E127" s="241" t="str">
        <f>'Daftar Harga'!D178</f>
        <v/>
      </c>
      <c r="F127" s="242" t="str">
        <f t="shared" si="31"/>
        <v/>
      </c>
      <c r="G127" s="186">
        <v>14000.0</v>
      </c>
      <c r="H127" s="263">
        <f t="shared" si="32"/>
        <v>42000</v>
      </c>
      <c r="I127" s="188">
        <v>17000.0</v>
      </c>
      <c r="J127" s="264">
        <f t="shared" si="33"/>
        <v>51000</v>
      </c>
      <c r="K127" s="245">
        <f t="shared" si="34"/>
        <v>9000</v>
      </c>
      <c r="L127" s="246">
        <f t="shared" si="35"/>
        <v>0.2142857143</v>
      </c>
      <c r="M127" s="247"/>
    </row>
    <row r="128" ht="15.75" customHeight="1">
      <c r="A128" s="256" t="s">
        <v>1659</v>
      </c>
      <c r="B128" s="206"/>
      <c r="C128" s="206"/>
      <c r="D128" s="174"/>
      <c r="E128" s="257"/>
      <c r="F128" s="258">
        <f>SUMIF(F113:F127,"&lt;&gt;",F113:F127)</f>
        <v>7161000</v>
      </c>
      <c r="G128" s="259"/>
      <c r="H128" s="260">
        <f>SUMIF(H113:H127,"&lt;&gt;",H113:H127)</f>
        <v>27694000</v>
      </c>
      <c r="I128" s="265"/>
      <c r="J128" s="260">
        <f>SUMIF(J113:J127,"&lt;&gt;",J113:J127)</f>
        <v>29805500</v>
      </c>
      <c r="K128" s="261">
        <f t="shared" si="34"/>
        <v>2111500</v>
      </c>
      <c r="L128" s="262">
        <f t="shared" si="35"/>
        <v>0.07624395176</v>
      </c>
      <c r="M128" s="257"/>
    </row>
    <row r="129" ht="15.75" customHeight="1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</row>
    <row r="130" ht="15.75" customHeight="1">
      <c r="A130" s="228" t="s">
        <v>1660</v>
      </c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6"/>
    </row>
    <row r="131" ht="15.75" customHeight="1">
      <c r="A131" s="229" t="s">
        <v>1509</v>
      </c>
      <c r="B131" s="229" t="s">
        <v>1510</v>
      </c>
      <c r="C131" s="229" t="s">
        <v>1511</v>
      </c>
      <c r="D131" s="229" t="s">
        <v>1614</v>
      </c>
      <c r="E131" s="230" t="s">
        <v>1615</v>
      </c>
      <c r="F131" s="174"/>
      <c r="G131" s="231" t="s">
        <v>1616</v>
      </c>
      <c r="H131" s="174"/>
      <c r="I131" s="232" t="s">
        <v>1617</v>
      </c>
      <c r="J131" s="174"/>
      <c r="K131" s="233" t="s">
        <v>1618</v>
      </c>
      <c r="L131" s="174"/>
      <c r="M131" s="229" t="s">
        <v>1619</v>
      </c>
    </row>
    <row r="132" ht="15.75" customHeight="1">
      <c r="A132" s="234" t="s">
        <v>1509</v>
      </c>
      <c r="B132" s="234" t="s">
        <v>1510</v>
      </c>
      <c r="C132" s="234" t="s">
        <v>1511</v>
      </c>
      <c r="D132" s="234" t="s">
        <v>1614</v>
      </c>
      <c r="E132" s="235" t="s">
        <v>1620</v>
      </c>
      <c r="F132" s="235" t="s">
        <v>1621</v>
      </c>
      <c r="G132" s="236" t="s">
        <v>1622</v>
      </c>
      <c r="H132" s="236" t="s">
        <v>1623</v>
      </c>
      <c r="I132" s="237" t="s">
        <v>1624</v>
      </c>
      <c r="J132" s="237" t="s">
        <v>1625</v>
      </c>
      <c r="K132" s="238" t="s">
        <v>1626</v>
      </c>
      <c r="L132" s="238" t="s">
        <v>1627</v>
      </c>
      <c r="M132" s="234" t="s">
        <v>1619</v>
      </c>
    </row>
    <row r="133" ht="15.75" customHeight="1">
      <c r="A133" s="239">
        <v>1.0</v>
      </c>
      <c r="B133" s="240" t="s">
        <v>1655</v>
      </c>
      <c r="C133" s="239" t="s">
        <v>109</v>
      </c>
      <c r="D133" s="213">
        <v>20.0</v>
      </c>
      <c r="E133" s="241" t="str">
        <f>'Daftar Harga'!D105</f>
        <v/>
      </c>
      <c r="F133" s="242" t="str">
        <f t="shared" ref="F133:F136" si="36">IF(E133&lt;&gt;"",D133*E133,"")</f>
        <v/>
      </c>
      <c r="G133" s="186">
        <v>18500.0</v>
      </c>
      <c r="H133" s="243">
        <f t="shared" ref="H133:H142" si="37">IF(G133&lt;&gt;"",D133*G133,"")</f>
        <v>370000</v>
      </c>
      <c r="I133" s="188">
        <v>20000.0</v>
      </c>
      <c r="J133" s="244">
        <f t="shared" ref="J133:J142" si="38">IF(I133&lt;&gt;"",D133*I133,"")</f>
        <v>400000</v>
      </c>
      <c r="K133" s="245">
        <f t="shared" ref="K133:K143" si="39">IF(J133&lt;&gt;"",IF(H133&lt;&gt;"",J133-H133,IF(F133&lt;&gt;"",J133-F133,"")),"")</f>
        <v>30000</v>
      </c>
      <c r="L133" s="246">
        <f t="shared" ref="L133:L143" si="40">IF(K133&lt;&gt;"",IF(H133&lt;&gt;"",IF(H133&lt;&gt;0,K133/H133,""),IF(F133&lt;&gt;"",IF(F133&lt;&gt;0,K133/F133,""),"")),"")</f>
        <v>0.08108108108</v>
      </c>
      <c r="M133" s="247"/>
    </row>
    <row r="134" ht="15.75" customHeight="1">
      <c r="A134" s="248">
        <v>2.0</v>
      </c>
      <c r="B134" s="249" t="s">
        <v>1223</v>
      </c>
      <c r="C134" s="248" t="s">
        <v>109</v>
      </c>
      <c r="D134" s="216">
        <v>125.0</v>
      </c>
      <c r="E134" s="241" t="str">
        <f>'Daftar Harga'!D108</f>
        <v/>
      </c>
      <c r="F134" s="242" t="str">
        <f t="shared" si="36"/>
        <v/>
      </c>
      <c r="G134" s="186">
        <v>22000.0</v>
      </c>
      <c r="H134" s="243">
        <f t="shared" si="37"/>
        <v>2750000</v>
      </c>
      <c r="I134" s="188">
        <v>23500.0</v>
      </c>
      <c r="J134" s="244">
        <f t="shared" si="38"/>
        <v>2937500</v>
      </c>
      <c r="K134" s="250">
        <f t="shared" si="39"/>
        <v>187500</v>
      </c>
      <c r="L134" s="251">
        <f t="shared" si="40"/>
        <v>0.06818181818</v>
      </c>
      <c r="M134" s="252"/>
    </row>
    <row r="135" ht="15.75" customHeight="1">
      <c r="A135" s="239">
        <v>3.0</v>
      </c>
      <c r="B135" s="240" t="s">
        <v>1661</v>
      </c>
      <c r="C135" s="239" t="s">
        <v>109</v>
      </c>
      <c r="D135" s="213">
        <v>100.0</v>
      </c>
      <c r="E135" s="241" t="str">
        <f>'Daftar Harga'!D114</f>
        <v/>
      </c>
      <c r="F135" s="242" t="str">
        <f t="shared" si="36"/>
        <v/>
      </c>
      <c r="G135" s="186">
        <v>22000.0</v>
      </c>
      <c r="H135" s="243">
        <f t="shared" si="37"/>
        <v>2200000</v>
      </c>
      <c r="I135" s="188">
        <v>24500.0</v>
      </c>
      <c r="J135" s="244">
        <f t="shared" si="38"/>
        <v>2450000</v>
      </c>
      <c r="K135" s="245">
        <f t="shared" si="39"/>
        <v>250000</v>
      </c>
      <c r="L135" s="246">
        <f t="shared" si="40"/>
        <v>0.1136363636</v>
      </c>
      <c r="M135" s="247"/>
    </row>
    <row r="136" ht="15.75" customHeight="1">
      <c r="A136" s="248">
        <v>4.0</v>
      </c>
      <c r="B136" s="249" t="s">
        <v>1649</v>
      </c>
      <c r="C136" s="248" t="s">
        <v>1662</v>
      </c>
      <c r="D136" s="216">
        <v>1.0</v>
      </c>
      <c r="E136" s="241" t="str">
        <f>'Daftar Harga'!D120</f>
        <v/>
      </c>
      <c r="F136" s="242" t="str">
        <f t="shared" si="36"/>
        <v/>
      </c>
      <c r="G136" s="186">
        <v>140000.0</v>
      </c>
      <c r="H136" s="243">
        <f t="shared" si="37"/>
        <v>140000</v>
      </c>
      <c r="I136" s="188">
        <v>145000.0</v>
      </c>
      <c r="J136" s="244">
        <f t="shared" si="38"/>
        <v>145000</v>
      </c>
      <c r="K136" s="250">
        <f t="shared" si="39"/>
        <v>5000</v>
      </c>
      <c r="L136" s="251">
        <f t="shared" si="40"/>
        <v>0.03571428571</v>
      </c>
      <c r="M136" s="252"/>
    </row>
    <row r="137" ht="15.75" customHeight="1">
      <c r="A137" s="239">
        <v>5.0</v>
      </c>
      <c r="B137" s="249" t="s">
        <v>1649</v>
      </c>
      <c r="C137" s="248" t="s">
        <v>1662</v>
      </c>
      <c r="D137" s="216">
        <v>4.0</v>
      </c>
      <c r="E137" s="267"/>
      <c r="F137" s="268"/>
      <c r="G137" s="186">
        <v>118000.0</v>
      </c>
      <c r="H137" s="243">
        <f t="shared" si="37"/>
        <v>472000</v>
      </c>
      <c r="I137" s="188">
        <v>120000.0</v>
      </c>
      <c r="J137" s="244">
        <f t="shared" si="38"/>
        <v>480000</v>
      </c>
      <c r="K137" s="250">
        <f t="shared" si="39"/>
        <v>8000</v>
      </c>
      <c r="L137" s="251">
        <f t="shared" si="40"/>
        <v>0.01694915254</v>
      </c>
      <c r="M137" s="252"/>
    </row>
    <row r="138" ht="15.75" customHeight="1">
      <c r="A138" s="248">
        <v>6.0</v>
      </c>
      <c r="B138" s="249" t="s">
        <v>1575</v>
      </c>
      <c r="C138" s="248" t="s">
        <v>109</v>
      </c>
      <c r="D138" s="216">
        <v>10.0</v>
      </c>
      <c r="E138" s="241" t="str">
        <f>'Daftar Harga'!D137</f>
        <v/>
      </c>
      <c r="F138" s="242" t="str">
        <f t="shared" ref="F138:F140" si="41">IF(E138&lt;&gt;"",D138*E138,"")</f>
        <v/>
      </c>
      <c r="G138" s="186">
        <v>22000.0</v>
      </c>
      <c r="H138" s="243">
        <f t="shared" si="37"/>
        <v>220000</v>
      </c>
      <c r="I138" s="188">
        <v>25000.0</v>
      </c>
      <c r="J138" s="244">
        <f t="shared" si="38"/>
        <v>250000</v>
      </c>
      <c r="K138" s="250">
        <f t="shared" si="39"/>
        <v>30000</v>
      </c>
      <c r="L138" s="251">
        <f t="shared" si="40"/>
        <v>0.1363636364</v>
      </c>
      <c r="M138" s="252"/>
    </row>
    <row r="139" ht="15.75" customHeight="1">
      <c r="A139" s="239">
        <v>7.0</v>
      </c>
      <c r="B139" s="240" t="s">
        <v>1152</v>
      </c>
      <c r="C139" s="239" t="s">
        <v>69</v>
      </c>
      <c r="D139" s="213">
        <v>2550.0</v>
      </c>
      <c r="E139" s="241" t="str">
        <f>'Daftar Harga'!D146</f>
        <v/>
      </c>
      <c r="F139" s="242" t="str">
        <f t="shared" si="41"/>
        <v/>
      </c>
      <c r="G139" s="186">
        <v>1800.0</v>
      </c>
      <c r="H139" s="243">
        <f t="shared" si="37"/>
        <v>4590000</v>
      </c>
      <c r="I139" s="188">
        <v>2000.0</v>
      </c>
      <c r="J139" s="244">
        <f t="shared" si="38"/>
        <v>5100000</v>
      </c>
      <c r="K139" s="250">
        <f t="shared" si="39"/>
        <v>510000</v>
      </c>
      <c r="L139" s="251">
        <f t="shared" si="40"/>
        <v>0.1111111111</v>
      </c>
      <c r="M139" s="247"/>
    </row>
    <row r="140" ht="15.75" customHeight="1">
      <c r="A140" s="248">
        <v>8.0</v>
      </c>
      <c r="B140" s="249" t="s">
        <v>1663</v>
      </c>
      <c r="C140" s="248" t="s">
        <v>1664</v>
      </c>
      <c r="D140" s="216">
        <v>16.0</v>
      </c>
      <c r="E140" s="241" t="str">
        <f>'Daftar Harga'!D160</f>
        <v/>
      </c>
      <c r="F140" s="242" t="str">
        <f t="shared" si="41"/>
        <v/>
      </c>
      <c r="G140" s="199">
        <v>14500.0</v>
      </c>
      <c r="H140" s="243">
        <f t="shared" si="37"/>
        <v>232000</v>
      </c>
      <c r="I140" s="188">
        <v>16000.0</v>
      </c>
      <c r="J140" s="244">
        <f t="shared" si="38"/>
        <v>256000</v>
      </c>
      <c r="K140" s="250">
        <f t="shared" si="39"/>
        <v>24000</v>
      </c>
      <c r="L140" s="251">
        <f t="shared" si="40"/>
        <v>0.1034482759</v>
      </c>
      <c r="M140" s="252"/>
    </row>
    <row r="141" ht="15.75" customHeight="1">
      <c r="A141" s="239">
        <v>9.0</v>
      </c>
      <c r="B141" s="240" t="s">
        <v>1665</v>
      </c>
      <c r="C141" s="239" t="s">
        <v>109</v>
      </c>
      <c r="D141" s="213">
        <v>5.0</v>
      </c>
      <c r="E141" s="267"/>
      <c r="F141" s="268"/>
      <c r="G141" s="186">
        <v>24000.0</v>
      </c>
      <c r="H141" s="243">
        <f t="shared" si="37"/>
        <v>120000</v>
      </c>
      <c r="I141" s="188">
        <v>25000.0</v>
      </c>
      <c r="J141" s="244">
        <f t="shared" si="38"/>
        <v>125000</v>
      </c>
      <c r="K141" s="250">
        <f t="shared" si="39"/>
        <v>5000</v>
      </c>
      <c r="L141" s="251">
        <f t="shared" si="40"/>
        <v>0.04166666667</v>
      </c>
      <c r="M141" s="247"/>
    </row>
    <row r="142" ht="15.75" customHeight="1">
      <c r="A142" s="248">
        <v>10.0</v>
      </c>
      <c r="B142" s="240" t="s">
        <v>1596</v>
      </c>
      <c r="C142" s="239" t="s">
        <v>69</v>
      </c>
      <c r="D142" s="213">
        <v>2556.0</v>
      </c>
      <c r="E142" s="241" t="str">
        <f>'Daftar Harga'!D161</f>
        <v/>
      </c>
      <c r="F142" s="242" t="str">
        <f>IF(E142&lt;&gt;"",D142*E142,"")</f>
        <v/>
      </c>
      <c r="G142" s="186">
        <v>3250.0</v>
      </c>
      <c r="H142" s="243">
        <f t="shared" si="37"/>
        <v>8307000</v>
      </c>
      <c r="I142" s="188">
        <v>3600.0</v>
      </c>
      <c r="J142" s="264">
        <f t="shared" si="38"/>
        <v>9201600</v>
      </c>
      <c r="K142" s="250">
        <f t="shared" si="39"/>
        <v>894600</v>
      </c>
      <c r="L142" s="251">
        <f t="shared" si="40"/>
        <v>0.1076923077</v>
      </c>
      <c r="M142" s="247"/>
    </row>
    <row r="143" ht="15.75" customHeight="1">
      <c r="A143" s="256" t="s">
        <v>1666</v>
      </c>
      <c r="B143" s="206"/>
      <c r="C143" s="206"/>
      <c r="D143" s="174"/>
      <c r="E143" s="257"/>
      <c r="F143" s="258">
        <f>SUMIF(F133:F142,"&lt;&gt;",F133:F142)</f>
        <v>0</v>
      </c>
      <c r="G143" s="259"/>
      <c r="H143" s="260">
        <f>SUMIF(H133:H142,"&lt;&gt;",H133:H142)</f>
        <v>19401000</v>
      </c>
      <c r="I143" s="265"/>
      <c r="J143" s="260">
        <f>SUMIF(J133:J142,"&lt;&gt;",J133:J142)</f>
        <v>21345100</v>
      </c>
      <c r="K143" s="261">
        <f t="shared" si="39"/>
        <v>1944100</v>
      </c>
      <c r="L143" s="262">
        <f t="shared" si="40"/>
        <v>0.1002061749</v>
      </c>
      <c r="M143" s="257"/>
    </row>
    <row r="144" ht="15.75" customHeight="1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</row>
    <row r="145" ht="15.75" customHeight="1">
      <c r="A145" s="269"/>
      <c r="C145" s="228" t="s">
        <v>1667</v>
      </c>
      <c r="D145" s="155"/>
      <c r="E145" s="155"/>
      <c r="F145" s="155"/>
      <c r="G145" s="155"/>
      <c r="H145" s="155"/>
      <c r="I145" s="155"/>
      <c r="J145" s="155"/>
      <c r="K145" s="155"/>
      <c r="L145" s="155"/>
      <c r="M145" s="269"/>
    </row>
    <row r="146" ht="15.75" customHeight="1">
      <c r="A146" s="229" t="s">
        <v>1509</v>
      </c>
      <c r="B146" s="229" t="s">
        <v>1510</v>
      </c>
      <c r="C146" s="229" t="s">
        <v>1511</v>
      </c>
      <c r="D146" s="229" t="s">
        <v>1614</v>
      </c>
      <c r="E146" s="230" t="s">
        <v>1615</v>
      </c>
      <c r="F146" s="174"/>
      <c r="G146" s="231" t="s">
        <v>1616</v>
      </c>
      <c r="H146" s="174"/>
      <c r="I146" s="232" t="s">
        <v>1617</v>
      </c>
      <c r="J146" s="174"/>
      <c r="K146" s="233" t="s">
        <v>1618</v>
      </c>
      <c r="L146" s="174"/>
      <c r="M146" s="229" t="s">
        <v>1619</v>
      </c>
    </row>
    <row r="147" ht="15.75" customHeight="1">
      <c r="A147" s="234" t="s">
        <v>1509</v>
      </c>
      <c r="B147" s="234" t="s">
        <v>1510</v>
      </c>
      <c r="C147" s="234" t="s">
        <v>1511</v>
      </c>
      <c r="D147" s="234" t="s">
        <v>1614</v>
      </c>
      <c r="E147" s="235" t="s">
        <v>1620</v>
      </c>
      <c r="F147" s="235" t="s">
        <v>1621</v>
      </c>
      <c r="G147" s="236" t="s">
        <v>1622</v>
      </c>
      <c r="H147" s="236" t="s">
        <v>1623</v>
      </c>
      <c r="I147" s="237" t="s">
        <v>1624</v>
      </c>
      <c r="J147" s="237" t="s">
        <v>1625</v>
      </c>
      <c r="K147" s="238" t="s">
        <v>1626</v>
      </c>
      <c r="L147" s="238" t="s">
        <v>1627</v>
      </c>
      <c r="M147" s="234" t="s">
        <v>1619</v>
      </c>
    </row>
    <row r="148" ht="15.75" customHeight="1">
      <c r="A148" s="248">
        <v>1.0</v>
      </c>
      <c r="B148" s="249" t="s">
        <v>1668</v>
      </c>
      <c r="C148" s="248" t="s">
        <v>69</v>
      </c>
      <c r="D148" s="270">
        <v>2556.0</v>
      </c>
      <c r="E148" s="267"/>
      <c r="F148" s="268" t="str">
        <f t="shared" ref="F148:F149" si="42">IF(E148&lt;&gt;"",D148*E148,"")</f>
        <v/>
      </c>
      <c r="G148" s="186">
        <v>3250.0</v>
      </c>
      <c r="H148" s="243">
        <f t="shared" ref="H148:H149" si="43">IF(G148&lt;&gt;"",D148*G148,"")</f>
        <v>8307000</v>
      </c>
      <c r="I148" s="188">
        <v>3600.0</v>
      </c>
      <c r="J148" s="244">
        <f t="shared" ref="J148:J149" si="44">IF(I148&lt;&gt;"",D148*I148,"")</f>
        <v>9201600</v>
      </c>
      <c r="K148" s="245">
        <f t="shared" ref="K148:K150" si="45">IF(J148&lt;&gt;"",IF(H148&lt;&gt;"",J148-H148,IF(F148&lt;&gt;"",J148-F148,"")),"")</f>
        <v>894600</v>
      </c>
      <c r="L148" s="246">
        <f t="shared" ref="L148:L150" si="46">IF(K148&lt;&gt;"",IF(H148&lt;&gt;"",IF(H148&lt;&gt;0,K148/H148,""),IF(F148&lt;&gt;"",IF(F148&lt;&gt;0,K148/F148,""),"")),"")</f>
        <v>0.1076923077</v>
      </c>
      <c r="M148" s="252"/>
    </row>
    <row r="149" ht="15.75" customHeight="1">
      <c r="A149" s="239">
        <v>2.0</v>
      </c>
      <c r="B149" s="249" t="s">
        <v>1669</v>
      </c>
      <c r="C149" s="239" t="s">
        <v>1208</v>
      </c>
      <c r="D149" s="271">
        <v>15.0</v>
      </c>
      <c r="E149" s="267"/>
      <c r="F149" s="268" t="str">
        <f t="shared" si="42"/>
        <v/>
      </c>
      <c r="G149" s="186">
        <v>355000.0</v>
      </c>
      <c r="H149" s="263">
        <f t="shared" si="43"/>
        <v>5325000</v>
      </c>
      <c r="I149" s="188">
        <v>360000.0</v>
      </c>
      <c r="J149" s="244">
        <f t="shared" si="44"/>
        <v>5400000</v>
      </c>
      <c r="K149" s="245">
        <f t="shared" si="45"/>
        <v>75000</v>
      </c>
      <c r="L149" s="246">
        <f t="shared" si="46"/>
        <v>0.01408450704</v>
      </c>
      <c r="M149" s="247"/>
    </row>
    <row r="150" ht="15.75" customHeight="1">
      <c r="A150" s="272" t="s">
        <v>1670</v>
      </c>
      <c r="B150" s="206"/>
      <c r="C150" s="206"/>
      <c r="D150" s="174"/>
      <c r="E150" s="257"/>
      <c r="F150" s="258">
        <f>SUMIF(F148:F149,"&lt;&gt;",F148:F149)</f>
        <v>0</v>
      </c>
      <c r="G150" s="259"/>
      <c r="H150" s="260">
        <f>SUMIF(H148:H149,"&lt;&gt;",H148:H149)</f>
        <v>13632000</v>
      </c>
      <c r="I150" s="265"/>
      <c r="J150" s="260">
        <f>SUMIF(J148:J149,"&lt;&gt;",J148:J149)</f>
        <v>14601600</v>
      </c>
      <c r="K150" s="261">
        <f t="shared" si="45"/>
        <v>969600</v>
      </c>
      <c r="L150" s="262">
        <f t="shared" si="46"/>
        <v>0.07112676056</v>
      </c>
      <c r="M150" s="257"/>
    </row>
    <row r="151" ht="15.75" customHeight="1"/>
    <row r="152" ht="15.75" customHeight="1">
      <c r="A152" s="269"/>
      <c r="C152" s="273" t="s">
        <v>1671</v>
      </c>
      <c r="D152" s="155"/>
      <c r="E152" s="155"/>
      <c r="F152" s="155"/>
      <c r="G152" s="155"/>
      <c r="H152" s="155"/>
      <c r="I152" s="155"/>
      <c r="J152" s="155"/>
      <c r="K152" s="155"/>
      <c r="L152" s="155"/>
      <c r="M152" s="269"/>
    </row>
    <row r="153" ht="15.75" customHeight="1">
      <c r="A153" s="229" t="s">
        <v>1509</v>
      </c>
      <c r="B153" s="229" t="s">
        <v>1510</v>
      </c>
      <c r="C153" s="229" t="s">
        <v>1511</v>
      </c>
      <c r="D153" s="229" t="s">
        <v>1614</v>
      </c>
      <c r="E153" s="230" t="s">
        <v>1615</v>
      </c>
      <c r="F153" s="174"/>
      <c r="G153" s="231" t="s">
        <v>1616</v>
      </c>
      <c r="H153" s="174"/>
      <c r="I153" s="232" t="s">
        <v>1617</v>
      </c>
      <c r="J153" s="174"/>
      <c r="K153" s="233" t="s">
        <v>1618</v>
      </c>
      <c r="L153" s="174"/>
      <c r="M153" s="229" t="s">
        <v>1619</v>
      </c>
    </row>
    <row r="154" ht="15.75" customHeight="1">
      <c r="A154" s="234" t="s">
        <v>1509</v>
      </c>
      <c r="B154" s="234" t="s">
        <v>1510</v>
      </c>
      <c r="C154" s="234" t="s">
        <v>1511</v>
      </c>
      <c r="D154" s="234" t="s">
        <v>1614</v>
      </c>
      <c r="E154" s="235" t="s">
        <v>1620</v>
      </c>
      <c r="F154" s="235" t="s">
        <v>1621</v>
      </c>
      <c r="G154" s="236" t="s">
        <v>1622</v>
      </c>
      <c r="H154" s="236" t="s">
        <v>1623</v>
      </c>
      <c r="I154" s="237" t="s">
        <v>1624</v>
      </c>
      <c r="J154" s="237" t="s">
        <v>1625</v>
      </c>
      <c r="K154" s="238" t="s">
        <v>1626</v>
      </c>
      <c r="L154" s="238" t="s">
        <v>1627</v>
      </c>
      <c r="M154" s="234" t="s">
        <v>1619</v>
      </c>
    </row>
    <row r="155" ht="15.75" customHeight="1">
      <c r="A155" s="239">
        <v>2.0</v>
      </c>
      <c r="B155" s="249" t="s">
        <v>1669</v>
      </c>
      <c r="C155" s="239" t="s">
        <v>1208</v>
      </c>
      <c r="D155" s="274">
        <v>20.0</v>
      </c>
      <c r="E155" s="267"/>
      <c r="F155" s="268" t="str">
        <f>IF(E155&lt;&gt;"",D155*E155,"")</f>
        <v/>
      </c>
      <c r="G155" s="186">
        <v>355000.0</v>
      </c>
      <c r="H155" s="263">
        <f>IF(G155&lt;&gt;"",D155*G155,"")</f>
        <v>7100000</v>
      </c>
      <c r="I155" s="188">
        <v>360000.0</v>
      </c>
      <c r="J155" s="244">
        <f>IF(I155&lt;&gt;"",D155*I155,"")</f>
        <v>7200000</v>
      </c>
      <c r="K155" s="245">
        <f t="shared" ref="K155:K156" si="47">IF(J155&lt;&gt;"",IF(H155&lt;&gt;"",J155-H155,IF(F155&lt;&gt;"",J155-F155,"")),"")</f>
        <v>100000</v>
      </c>
      <c r="L155" s="246">
        <f t="shared" ref="L155:L156" si="48">IF(K155&lt;&gt;"",IF(H155&lt;&gt;"",IF(H155&lt;&gt;0,K155/H155,""),IF(F155&lt;&gt;"",IF(F155&lt;&gt;0,K155/F155,""),"")),"")</f>
        <v>0.01408450704</v>
      </c>
      <c r="M155" s="247"/>
    </row>
    <row r="156" ht="15.75" customHeight="1">
      <c r="A156" s="272" t="s">
        <v>1672</v>
      </c>
      <c r="B156" s="206"/>
      <c r="C156" s="206"/>
      <c r="D156" s="174"/>
      <c r="E156" s="257"/>
      <c r="F156" s="258">
        <f>SUMIF(F155,"&lt;&gt;",F155)</f>
        <v>0</v>
      </c>
      <c r="G156" s="259"/>
      <c r="H156" s="260">
        <f>SUMIF(H155,"&lt;&gt;",H155)</f>
        <v>7100000</v>
      </c>
      <c r="I156" s="265"/>
      <c r="J156" s="260">
        <f>SUMIF(J155,"&lt;&gt;",J155)</f>
        <v>7200000</v>
      </c>
      <c r="K156" s="261">
        <f t="shared" si="47"/>
        <v>100000</v>
      </c>
      <c r="L156" s="262">
        <f t="shared" si="48"/>
        <v>0.01408450704</v>
      </c>
      <c r="M156" s="257"/>
    </row>
    <row r="157" ht="15.75" customHeight="1"/>
    <row r="158" ht="15.75" customHeight="1">
      <c r="A158" s="273" t="s">
        <v>1673</v>
      </c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6"/>
    </row>
    <row r="159" ht="15.75" customHeight="1">
      <c r="A159" s="229" t="s">
        <v>1509</v>
      </c>
      <c r="B159" s="229" t="s">
        <v>1510</v>
      </c>
      <c r="C159" s="229" t="s">
        <v>1511</v>
      </c>
      <c r="D159" s="229" t="s">
        <v>1614</v>
      </c>
      <c r="E159" s="230" t="s">
        <v>1615</v>
      </c>
      <c r="F159" s="174"/>
      <c r="G159" s="231" t="s">
        <v>1616</v>
      </c>
      <c r="H159" s="174"/>
      <c r="I159" s="232" t="s">
        <v>1617</v>
      </c>
      <c r="J159" s="174"/>
      <c r="K159" s="233" t="s">
        <v>1618</v>
      </c>
      <c r="L159" s="174"/>
      <c r="M159" s="229" t="s">
        <v>1619</v>
      </c>
    </row>
    <row r="160" ht="15.75" customHeight="1">
      <c r="A160" s="234" t="s">
        <v>1509</v>
      </c>
      <c r="B160" s="234" t="s">
        <v>1510</v>
      </c>
      <c r="C160" s="234" t="s">
        <v>1511</v>
      </c>
      <c r="D160" s="234" t="s">
        <v>1614</v>
      </c>
      <c r="E160" s="235" t="s">
        <v>1620</v>
      </c>
      <c r="F160" s="235" t="s">
        <v>1621</v>
      </c>
      <c r="G160" s="236" t="s">
        <v>1622</v>
      </c>
      <c r="H160" s="236" t="s">
        <v>1623</v>
      </c>
      <c r="I160" s="237" t="s">
        <v>1624</v>
      </c>
      <c r="J160" s="237" t="s">
        <v>1625</v>
      </c>
      <c r="K160" s="238" t="s">
        <v>1626</v>
      </c>
      <c r="L160" s="238" t="s">
        <v>1627</v>
      </c>
      <c r="M160" s="234" t="s">
        <v>1619</v>
      </c>
    </row>
    <row r="161" ht="15.75" customHeight="1">
      <c r="A161" s="239">
        <v>1.0</v>
      </c>
      <c r="B161" s="275" t="s">
        <v>1527</v>
      </c>
      <c r="C161" s="239" t="s">
        <v>109</v>
      </c>
      <c r="D161" s="254">
        <v>125.0</v>
      </c>
      <c r="E161" s="241" t="str">
        <f>'Daftar Harga'!D124</f>
        <v/>
      </c>
      <c r="F161" s="242" t="str">
        <f t="shared" ref="F161:F175" si="49">IF(E161&lt;&gt;"",D161*E161,"")</f>
        <v/>
      </c>
      <c r="G161" s="199">
        <v>14500.0</v>
      </c>
      <c r="H161" s="243">
        <f t="shared" ref="H161:H175" si="50">IF(G161&lt;&gt;"",D161*G161,"")</f>
        <v>1812500</v>
      </c>
      <c r="I161" s="200">
        <v>15700.0</v>
      </c>
      <c r="J161" s="244">
        <f t="shared" ref="J161:J175" si="51">IF(I161&lt;&gt;"",D161*I161,"")</f>
        <v>1962500</v>
      </c>
      <c r="K161" s="245">
        <f t="shared" ref="K161:K176" si="52">IF(J161&lt;&gt;"",IF(H161&lt;&gt;"",J161-H161,IF(F161&lt;&gt;"",J161-F161,"")),"")</f>
        <v>150000</v>
      </c>
      <c r="L161" s="246">
        <f t="shared" ref="L161:L176" si="53">IF(K161&lt;&gt;"",IF(H161&lt;&gt;"",IF(H161&lt;&gt;0,K161/H161,""),IF(F161&lt;&gt;"",IF(F161&lt;&gt;0,K161/F161,""),"")),"")</f>
        <v>0.08275862069</v>
      </c>
      <c r="M161" s="247"/>
    </row>
    <row r="162" ht="15.75" customHeight="1">
      <c r="A162" s="248">
        <v>2.0</v>
      </c>
      <c r="B162" s="276" t="s">
        <v>1600</v>
      </c>
      <c r="C162" s="239" t="s">
        <v>109</v>
      </c>
      <c r="D162" s="277">
        <v>170.0</v>
      </c>
      <c r="E162" s="241" t="str">
        <f>'Daftar Harga'!D132</f>
        <v/>
      </c>
      <c r="F162" s="242" t="str">
        <f t="shared" si="49"/>
        <v/>
      </c>
      <c r="G162" s="199">
        <v>24500.0</v>
      </c>
      <c r="H162" s="243">
        <f t="shared" si="50"/>
        <v>4165000</v>
      </c>
      <c r="I162" s="200">
        <v>27000.0</v>
      </c>
      <c r="J162" s="244">
        <f t="shared" si="51"/>
        <v>4590000</v>
      </c>
      <c r="K162" s="250">
        <f t="shared" si="52"/>
        <v>425000</v>
      </c>
      <c r="L162" s="251">
        <f t="shared" si="53"/>
        <v>0.1020408163</v>
      </c>
      <c r="M162" s="252"/>
    </row>
    <row r="163" ht="15.75" customHeight="1">
      <c r="A163" s="239">
        <v>3.0</v>
      </c>
      <c r="B163" s="275" t="s">
        <v>1601</v>
      </c>
      <c r="C163" s="278" t="s">
        <v>67</v>
      </c>
      <c r="D163" s="254">
        <v>130.0</v>
      </c>
      <c r="E163" s="241" t="str">
        <f>'Daftar Harga'!D143</f>
        <v/>
      </c>
      <c r="F163" s="242" t="str">
        <f t="shared" si="49"/>
        <v/>
      </c>
      <c r="G163" s="199">
        <v>12000.0</v>
      </c>
      <c r="H163" s="243">
        <f t="shared" si="50"/>
        <v>1560000</v>
      </c>
      <c r="I163" s="200">
        <v>14000.0</v>
      </c>
      <c r="J163" s="244">
        <f t="shared" si="51"/>
        <v>1820000</v>
      </c>
      <c r="K163" s="245">
        <f t="shared" si="52"/>
        <v>260000</v>
      </c>
      <c r="L163" s="246">
        <f t="shared" si="53"/>
        <v>0.1666666667</v>
      </c>
      <c r="M163" s="247"/>
    </row>
    <row r="164" ht="15.75" customHeight="1">
      <c r="A164" s="248">
        <v>4.0</v>
      </c>
      <c r="B164" s="276" t="s">
        <v>1567</v>
      </c>
      <c r="C164" s="239" t="s">
        <v>109</v>
      </c>
      <c r="D164" s="277">
        <v>90.0</v>
      </c>
      <c r="E164" s="241" t="str">
        <f>'Daftar Harga'!D144</f>
        <v/>
      </c>
      <c r="F164" s="242" t="str">
        <f t="shared" si="49"/>
        <v/>
      </c>
      <c r="G164" s="199">
        <v>5800.0</v>
      </c>
      <c r="H164" s="243">
        <f t="shared" si="50"/>
        <v>522000</v>
      </c>
      <c r="I164" s="200">
        <v>12000.0</v>
      </c>
      <c r="J164" s="244">
        <f t="shared" si="51"/>
        <v>1080000</v>
      </c>
      <c r="K164" s="250">
        <f t="shared" si="52"/>
        <v>558000</v>
      </c>
      <c r="L164" s="251">
        <f t="shared" si="53"/>
        <v>1.068965517</v>
      </c>
      <c r="M164" s="252"/>
    </row>
    <row r="165" ht="15.75" customHeight="1">
      <c r="A165" s="239">
        <v>5.0</v>
      </c>
      <c r="B165" s="275" t="s">
        <v>1609</v>
      </c>
      <c r="C165" s="239" t="s">
        <v>109</v>
      </c>
      <c r="D165" s="254">
        <v>30.0</v>
      </c>
      <c r="E165" s="241" t="str">
        <f>'Daftar Harga'!D153</f>
        <v/>
      </c>
      <c r="F165" s="242" t="str">
        <f t="shared" si="49"/>
        <v/>
      </c>
      <c r="G165" s="199">
        <v>14000.0</v>
      </c>
      <c r="H165" s="243">
        <f t="shared" si="50"/>
        <v>420000</v>
      </c>
      <c r="I165" s="200">
        <v>18000.0</v>
      </c>
      <c r="J165" s="244">
        <f t="shared" si="51"/>
        <v>540000</v>
      </c>
      <c r="K165" s="245">
        <f t="shared" si="52"/>
        <v>120000</v>
      </c>
      <c r="L165" s="246">
        <f t="shared" si="53"/>
        <v>0.2857142857</v>
      </c>
      <c r="M165" s="247"/>
    </row>
    <row r="166" ht="15.75" customHeight="1">
      <c r="A166" s="248">
        <v>6.0</v>
      </c>
      <c r="B166" s="276" t="s">
        <v>1674</v>
      </c>
      <c r="C166" s="239" t="s">
        <v>109</v>
      </c>
      <c r="D166" s="277">
        <v>3.0</v>
      </c>
      <c r="E166" s="241" t="str">
        <f>'Daftar Harga'!D174</f>
        <v/>
      </c>
      <c r="F166" s="242" t="str">
        <f t="shared" si="49"/>
        <v/>
      </c>
      <c r="G166" s="199">
        <v>55000.0</v>
      </c>
      <c r="H166" s="243">
        <f t="shared" si="50"/>
        <v>165000</v>
      </c>
      <c r="I166" s="200">
        <v>70000.0</v>
      </c>
      <c r="J166" s="244">
        <f t="shared" si="51"/>
        <v>210000</v>
      </c>
      <c r="K166" s="250">
        <f t="shared" si="52"/>
        <v>45000</v>
      </c>
      <c r="L166" s="251">
        <f t="shared" si="53"/>
        <v>0.2727272727</v>
      </c>
      <c r="M166" s="252"/>
    </row>
    <row r="167" ht="15.75" customHeight="1">
      <c r="A167" s="239">
        <v>7.0</v>
      </c>
      <c r="B167" s="275" t="s">
        <v>1641</v>
      </c>
      <c r="C167" s="239" t="s">
        <v>109</v>
      </c>
      <c r="D167" s="254">
        <v>3.0</v>
      </c>
      <c r="E167" s="267"/>
      <c r="F167" s="268" t="str">
        <f t="shared" si="49"/>
        <v/>
      </c>
      <c r="G167" s="199">
        <v>42000.0</v>
      </c>
      <c r="H167" s="243">
        <f t="shared" si="50"/>
        <v>126000</v>
      </c>
      <c r="I167" s="200">
        <v>44000.0</v>
      </c>
      <c r="J167" s="244">
        <f t="shared" si="51"/>
        <v>132000</v>
      </c>
      <c r="K167" s="245">
        <f t="shared" si="52"/>
        <v>6000</v>
      </c>
      <c r="L167" s="246">
        <f t="shared" si="53"/>
        <v>0.04761904762</v>
      </c>
      <c r="M167" s="247"/>
    </row>
    <row r="168" ht="15.75" customHeight="1">
      <c r="A168" s="248">
        <v>8.0</v>
      </c>
      <c r="B168" s="276" t="s">
        <v>1640</v>
      </c>
      <c r="C168" s="239" t="s">
        <v>109</v>
      </c>
      <c r="D168" s="277">
        <v>3.0</v>
      </c>
      <c r="E168" s="241" t="str">
        <f>'Daftar Harga'!D188</f>
        <v/>
      </c>
      <c r="F168" s="242" t="str">
        <f t="shared" si="49"/>
        <v/>
      </c>
      <c r="G168" s="199">
        <v>45000.0</v>
      </c>
      <c r="H168" s="243">
        <f t="shared" si="50"/>
        <v>135000</v>
      </c>
      <c r="I168" s="200">
        <v>54000.0</v>
      </c>
      <c r="J168" s="244">
        <f t="shared" si="51"/>
        <v>162000</v>
      </c>
      <c r="K168" s="250">
        <f t="shared" si="52"/>
        <v>27000</v>
      </c>
      <c r="L168" s="251">
        <f t="shared" si="53"/>
        <v>0.2</v>
      </c>
      <c r="M168" s="252"/>
    </row>
    <row r="169" ht="15.75" customHeight="1">
      <c r="A169" s="239">
        <v>9.0</v>
      </c>
      <c r="B169" s="275" t="s">
        <v>1675</v>
      </c>
      <c r="C169" s="278" t="s">
        <v>1676</v>
      </c>
      <c r="D169" s="213">
        <v>1.0</v>
      </c>
      <c r="E169" s="241" t="str">
        <f>'Daftar Harga'!D189</f>
        <v/>
      </c>
      <c r="F169" s="242" t="str">
        <f t="shared" si="49"/>
        <v/>
      </c>
      <c r="G169" s="199">
        <v>115000.0</v>
      </c>
      <c r="H169" s="243">
        <f t="shared" si="50"/>
        <v>115000</v>
      </c>
      <c r="I169" s="200">
        <v>120000.0</v>
      </c>
      <c r="J169" s="244">
        <f t="shared" si="51"/>
        <v>120000</v>
      </c>
      <c r="K169" s="245">
        <f t="shared" si="52"/>
        <v>5000</v>
      </c>
      <c r="L169" s="246">
        <f t="shared" si="53"/>
        <v>0.04347826087</v>
      </c>
      <c r="M169" s="247"/>
    </row>
    <row r="170" ht="15.75" customHeight="1">
      <c r="A170" s="248">
        <v>10.0</v>
      </c>
      <c r="B170" s="276" t="s">
        <v>1677</v>
      </c>
      <c r="C170" s="278" t="s">
        <v>1676</v>
      </c>
      <c r="D170" s="277">
        <v>2.0</v>
      </c>
      <c r="E170" s="241" t="str">
        <f>'Daftar Harga'!D191</f>
        <v/>
      </c>
      <c r="F170" s="242" t="str">
        <f t="shared" si="49"/>
        <v/>
      </c>
      <c r="G170" s="199">
        <v>190000.0</v>
      </c>
      <c r="H170" s="243">
        <f t="shared" si="50"/>
        <v>380000</v>
      </c>
      <c r="I170" s="200">
        <v>210000.0</v>
      </c>
      <c r="J170" s="244">
        <f t="shared" si="51"/>
        <v>420000</v>
      </c>
      <c r="K170" s="250">
        <f t="shared" si="52"/>
        <v>40000</v>
      </c>
      <c r="L170" s="251">
        <f t="shared" si="53"/>
        <v>0.1052631579</v>
      </c>
      <c r="M170" s="252"/>
    </row>
    <row r="171" ht="15.75" customHeight="1">
      <c r="A171" s="239">
        <v>11.0</v>
      </c>
      <c r="B171" s="275" t="s">
        <v>1678</v>
      </c>
      <c r="C171" s="239" t="s">
        <v>109</v>
      </c>
      <c r="D171" s="254">
        <v>1.0</v>
      </c>
      <c r="E171" s="267"/>
      <c r="F171" s="268" t="str">
        <f t="shared" si="49"/>
        <v/>
      </c>
      <c r="G171" s="199">
        <v>10000.0</v>
      </c>
      <c r="H171" s="243">
        <f t="shared" si="50"/>
        <v>10000</v>
      </c>
      <c r="I171" s="200">
        <v>15000.0</v>
      </c>
      <c r="J171" s="244">
        <f t="shared" si="51"/>
        <v>15000</v>
      </c>
      <c r="K171" s="245">
        <f t="shared" si="52"/>
        <v>5000</v>
      </c>
      <c r="L171" s="246">
        <f t="shared" si="53"/>
        <v>0.5</v>
      </c>
      <c r="M171" s="247"/>
    </row>
    <row r="172" ht="15.75" customHeight="1">
      <c r="A172" s="248">
        <v>12.0</v>
      </c>
      <c r="B172" s="276" t="s">
        <v>1679</v>
      </c>
      <c r="C172" s="239" t="s">
        <v>109</v>
      </c>
      <c r="D172" s="277">
        <v>0.5</v>
      </c>
      <c r="E172" s="241" t="str">
        <f>'Daftar Harga'!D212</f>
        <v/>
      </c>
      <c r="F172" s="242" t="str">
        <f t="shared" si="49"/>
        <v/>
      </c>
      <c r="G172" s="199">
        <v>10000.0</v>
      </c>
      <c r="H172" s="243">
        <f t="shared" si="50"/>
        <v>5000</v>
      </c>
      <c r="I172" s="200">
        <v>12000.0</v>
      </c>
      <c r="J172" s="244">
        <f t="shared" si="51"/>
        <v>6000</v>
      </c>
      <c r="K172" s="250">
        <f t="shared" si="52"/>
        <v>1000</v>
      </c>
      <c r="L172" s="251">
        <f t="shared" si="53"/>
        <v>0.2</v>
      </c>
      <c r="M172" s="252"/>
    </row>
    <row r="173" ht="15.75" customHeight="1">
      <c r="A173" s="239">
        <v>13.0</v>
      </c>
      <c r="B173" s="275" t="s">
        <v>1680</v>
      </c>
      <c r="C173" s="239" t="s">
        <v>109</v>
      </c>
      <c r="D173" s="254">
        <v>3.0</v>
      </c>
      <c r="E173" s="241" t="str">
        <f>'Daftar Harga'!D216</f>
        <v/>
      </c>
      <c r="F173" s="242" t="str">
        <f t="shared" si="49"/>
        <v/>
      </c>
      <c r="G173" s="199">
        <v>17000.0</v>
      </c>
      <c r="H173" s="243">
        <f t="shared" si="50"/>
        <v>51000</v>
      </c>
      <c r="I173" s="200">
        <v>20000.0</v>
      </c>
      <c r="J173" s="244">
        <f t="shared" si="51"/>
        <v>60000</v>
      </c>
      <c r="K173" s="245">
        <f t="shared" si="52"/>
        <v>9000</v>
      </c>
      <c r="L173" s="246">
        <f t="shared" si="53"/>
        <v>0.1764705882</v>
      </c>
      <c r="M173" s="247"/>
    </row>
    <row r="174" ht="15.75" customHeight="1">
      <c r="A174" s="248">
        <v>14.0</v>
      </c>
      <c r="B174" s="276" t="s">
        <v>1681</v>
      </c>
      <c r="C174" s="278" t="s">
        <v>633</v>
      </c>
      <c r="D174" s="277">
        <v>50.0</v>
      </c>
      <c r="E174" s="241" t="str">
        <f>'Daftar Harga'!D224</f>
        <v/>
      </c>
      <c r="F174" s="242" t="str">
        <f t="shared" si="49"/>
        <v/>
      </c>
      <c r="G174" s="199">
        <v>21250.0</v>
      </c>
      <c r="H174" s="243">
        <f t="shared" si="50"/>
        <v>1062500</v>
      </c>
      <c r="I174" s="200">
        <v>24000.0</v>
      </c>
      <c r="J174" s="244">
        <f t="shared" si="51"/>
        <v>1200000</v>
      </c>
      <c r="K174" s="250">
        <f t="shared" si="52"/>
        <v>137500</v>
      </c>
      <c r="L174" s="251">
        <f t="shared" si="53"/>
        <v>0.1294117647</v>
      </c>
      <c r="M174" s="252"/>
    </row>
    <row r="175" ht="15.75" customHeight="1">
      <c r="A175" s="239">
        <v>15.0</v>
      </c>
      <c r="B175" s="275" t="s">
        <v>1152</v>
      </c>
      <c r="C175" s="239" t="s">
        <v>109</v>
      </c>
      <c r="D175" s="254">
        <v>2550.0</v>
      </c>
      <c r="E175" s="241" t="str">
        <f>'Daftar Harga'!D226</f>
        <v/>
      </c>
      <c r="F175" s="242" t="str">
        <f t="shared" si="49"/>
        <v/>
      </c>
      <c r="G175" s="199">
        <v>1800.0</v>
      </c>
      <c r="H175" s="263">
        <f t="shared" si="50"/>
        <v>4590000</v>
      </c>
      <c r="I175" s="200">
        <v>2000.0</v>
      </c>
      <c r="J175" s="264">
        <f t="shared" si="51"/>
        <v>5100000</v>
      </c>
      <c r="K175" s="245">
        <f t="shared" si="52"/>
        <v>510000</v>
      </c>
      <c r="L175" s="246">
        <f t="shared" si="53"/>
        <v>0.1111111111</v>
      </c>
      <c r="M175" s="247"/>
    </row>
    <row r="176" ht="15.75" customHeight="1">
      <c r="A176" s="279" t="s">
        <v>1682</v>
      </c>
      <c r="B176" s="206"/>
      <c r="C176" s="206"/>
      <c r="D176" s="174"/>
      <c r="E176" s="257"/>
      <c r="F176" s="258">
        <f>SUMIF(F161:F175,"&lt;&gt;",F161:F175)</f>
        <v>0</v>
      </c>
      <c r="G176" s="259"/>
      <c r="H176" s="260">
        <f>SUMIF(H161:H175,"&lt;&gt;",H161:H175)</f>
        <v>15119000</v>
      </c>
      <c r="I176" s="265"/>
      <c r="J176" s="260">
        <f>SUMIF(J161:J175,"&lt;&gt;",J161:J175)</f>
        <v>17417500</v>
      </c>
      <c r="K176" s="261">
        <f t="shared" si="52"/>
        <v>2298500</v>
      </c>
      <c r="L176" s="262">
        <f t="shared" si="53"/>
        <v>0.1520272505</v>
      </c>
      <c r="M176" s="257"/>
    </row>
    <row r="177" ht="15.75" customHeight="1"/>
    <row r="178" ht="15.75" customHeight="1">
      <c r="A178" s="273" t="s">
        <v>1683</v>
      </c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6"/>
    </row>
    <row r="179" ht="15.75" customHeight="1">
      <c r="A179" s="229" t="s">
        <v>1509</v>
      </c>
      <c r="B179" s="229" t="s">
        <v>1510</v>
      </c>
      <c r="C179" s="229" t="s">
        <v>1511</v>
      </c>
      <c r="D179" s="229" t="s">
        <v>1614</v>
      </c>
      <c r="E179" s="230" t="s">
        <v>1615</v>
      </c>
      <c r="F179" s="174"/>
      <c r="G179" s="231" t="s">
        <v>1616</v>
      </c>
      <c r="H179" s="174"/>
      <c r="I179" s="232" t="s">
        <v>1617</v>
      </c>
      <c r="J179" s="174"/>
      <c r="K179" s="233" t="s">
        <v>1618</v>
      </c>
      <c r="L179" s="174"/>
      <c r="M179" s="229" t="s">
        <v>1619</v>
      </c>
    </row>
    <row r="180" ht="15.75" customHeight="1">
      <c r="A180" s="234" t="s">
        <v>1509</v>
      </c>
      <c r="B180" s="234" t="s">
        <v>1510</v>
      </c>
      <c r="C180" s="234" t="s">
        <v>1511</v>
      </c>
      <c r="D180" s="234" t="s">
        <v>1614</v>
      </c>
      <c r="E180" s="235" t="s">
        <v>1620</v>
      </c>
      <c r="F180" s="235" t="s">
        <v>1621</v>
      </c>
      <c r="G180" s="236"/>
      <c r="H180" s="236" t="s">
        <v>1623</v>
      </c>
      <c r="I180" s="237" t="s">
        <v>1624</v>
      </c>
      <c r="J180" s="237" t="s">
        <v>1625</v>
      </c>
      <c r="K180" s="238" t="s">
        <v>1626</v>
      </c>
      <c r="L180" s="238" t="s">
        <v>1627</v>
      </c>
      <c r="M180" s="234" t="s">
        <v>1619</v>
      </c>
    </row>
    <row r="181" ht="15.75" customHeight="1">
      <c r="A181" s="239">
        <v>1.0</v>
      </c>
      <c r="B181" s="275" t="s">
        <v>1527</v>
      </c>
      <c r="C181" s="239" t="s">
        <v>109</v>
      </c>
      <c r="D181" s="254">
        <v>125.0</v>
      </c>
      <c r="E181" s="241" t="str">
        <f>'Daftar Harga'!D144</f>
        <v/>
      </c>
      <c r="F181" s="242" t="str">
        <f t="shared" ref="F181:F193" si="54">IF(E181&lt;&gt;"",D181*E181,"")</f>
        <v/>
      </c>
      <c r="G181" s="199">
        <v>14500.0</v>
      </c>
      <c r="H181" s="243">
        <f t="shared" ref="H181:H201" si="55">IF(G181&lt;&gt;"",D181*G181,"")</f>
        <v>1812500</v>
      </c>
      <c r="I181" s="200">
        <v>15700.0</v>
      </c>
      <c r="J181" s="244">
        <f t="shared" ref="J181:J201" si="56">IF(I181&lt;&gt;"",D181*I181,"")</f>
        <v>1962500</v>
      </c>
      <c r="K181" s="245">
        <f t="shared" ref="K181:K202" si="57">IF(J181&lt;&gt;"",IF(H181&lt;&gt;"",J181-H181,IF(F181&lt;&gt;"",J181-F181,"")),"")</f>
        <v>150000</v>
      </c>
      <c r="L181" s="246">
        <f t="shared" ref="L181:L202" si="58">IF(K181&lt;&gt;"",IF(H181&lt;&gt;"",IF(H181&lt;&gt;0,K181/H181,""),IF(F181&lt;&gt;"",IF(F181&lt;&gt;0,K181/F181,""),"")),"")</f>
        <v>0.08275862069</v>
      </c>
      <c r="M181" s="247"/>
    </row>
    <row r="182" ht="15.75" customHeight="1">
      <c r="A182" s="248">
        <v>2.0</v>
      </c>
      <c r="B182" s="276" t="s">
        <v>1684</v>
      </c>
      <c r="C182" s="239" t="s">
        <v>109</v>
      </c>
      <c r="D182" s="277">
        <v>80.0</v>
      </c>
      <c r="E182" s="241" t="str">
        <f>'Daftar Harga'!D152</f>
        <v/>
      </c>
      <c r="F182" s="242" t="str">
        <f t="shared" si="54"/>
        <v/>
      </c>
      <c r="G182" s="199">
        <v>150000.0</v>
      </c>
      <c r="H182" s="243">
        <f t="shared" si="55"/>
        <v>12000000</v>
      </c>
      <c r="I182" s="200">
        <v>155000.0</v>
      </c>
      <c r="J182" s="244">
        <f t="shared" si="56"/>
        <v>12400000</v>
      </c>
      <c r="K182" s="250">
        <f t="shared" si="57"/>
        <v>400000</v>
      </c>
      <c r="L182" s="251">
        <f t="shared" si="58"/>
        <v>0.03333333333</v>
      </c>
      <c r="M182" s="252"/>
    </row>
    <row r="183" ht="15.75" customHeight="1">
      <c r="A183" s="239">
        <v>3.0</v>
      </c>
      <c r="B183" s="275" t="s">
        <v>1685</v>
      </c>
      <c r="C183" s="239" t="s">
        <v>109</v>
      </c>
      <c r="D183" s="254">
        <v>2.0</v>
      </c>
      <c r="E183" s="241" t="str">
        <f>'Daftar Harga'!D163</f>
        <v/>
      </c>
      <c r="F183" s="242" t="str">
        <f t="shared" si="54"/>
        <v/>
      </c>
      <c r="G183" s="199">
        <v>50000.0</v>
      </c>
      <c r="H183" s="243">
        <f t="shared" si="55"/>
        <v>100000</v>
      </c>
      <c r="I183" s="200">
        <v>70000.0</v>
      </c>
      <c r="J183" s="244">
        <f t="shared" si="56"/>
        <v>140000</v>
      </c>
      <c r="K183" s="245">
        <f t="shared" si="57"/>
        <v>40000</v>
      </c>
      <c r="L183" s="246">
        <f t="shared" si="58"/>
        <v>0.4</v>
      </c>
      <c r="M183" s="247"/>
    </row>
    <row r="184" ht="15.75" customHeight="1">
      <c r="A184" s="248">
        <v>4.0</v>
      </c>
      <c r="B184" s="276" t="s">
        <v>1522</v>
      </c>
      <c r="C184" s="239" t="s">
        <v>109</v>
      </c>
      <c r="D184" s="277">
        <v>2.0</v>
      </c>
      <c r="E184" s="241" t="str">
        <f>'Daftar Harga'!D164</f>
        <v/>
      </c>
      <c r="F184" s="242" t="str">
        <f t="shared" si="54"/>
        <v/>
      </c>
      <c r="G184" s="199">
        <v>28000.0</v>
      </c>
      <c r="H184" s="243">
        <f t="shared" si="55"/>
        <v>56000</v>
      </c>
      <c r="I184" s="200">
        <v>35000.0</v>
      </c>
      <c r="J184" s="244">
        <f t="shared" si="56"/>
        <v>70000</v>
      </c>
      <c r="K184" s="250">
        <f t="shared" si="57"/>
        <v>14000</v>
      </c>
      <c r="L184" s="251">
        <f t="shared" si="58"/>
        <v>0.25</v>
      </c>
      <c r="M184" s="252"/>
    </row>
    <row r="185" ht="15.75" customHeight="1">
      <c r="A185" s="239">
        <v>5.0</v>
      </c>
      <c r="B185" s="275" t="s">
        <v>1686</v>
      </c>
      <c r="C185" s="239" t="s">
        <v>109</v>
      </c>
      <c r="D185" s="254">
        <v>2.0</v>
      </c>
      <c r="E185" s="241" t="str">
        <f>'Daftar Harga'!D173</f>
        <v/>
      </c>
      <c r="F185" s="242" t="str">
        <f t="shared" si="54"/>
        <v/>
      </c>
      <c r="G185" s="199">
        <v>23000.0</v>
      </c>
      <c r="H185" s="243">
        <f t="shared" si="55"/>
        <v>46000</v>
      </c>
      <c r="I185" s="200">
        <v>30000.0</v>
      </c>
      <c r="J185" s="244">
        <f t="shared" si="56"/>
        <v>60000</v>
      </c>
      <c r="K185" s="245">
        <f t="shared" si="57"/>
        <v>14000</v>
      </c>
      <c r="L185" s="246">
        <f t="shared" si="58"/>
        <v>0.3043478261</v>
      </c>
      <c r="M185" s="247"/>
    </row>
    <row r="186" ht="15.75" customHeight="1">
      <c r="A186" s="248">
        <v>6.0</v>
      </c>
      <c r="B186" s="276" t="s">
        <v>1687</v>
      </c>
      <c r="C186" s="239" t="s">
        <v>109</v>
      </c>
      <c r="D186" s="277">
        <v>2.0</v>
      </c>
      <c r="E186" s="241" t="str">
        <f>'Daftar Harga'!D194</f>
        <v/>
      </c>
      <c r="F186" s="242" t="str">
        <f t="shared" si="54"/>
        <v/>
      </c>
      <c r="G186" s="199">
        <v>95000.0</v>
      </c>
      <c r="H186" s="243">
        <f t="shared" si="55"/>
        <v>190000</v>
      </c>
      <c r="I186" s="200">
        <v>100000.0</v>
      </c>
      <c r="J186" s="244">
        <f t="shared" si="56"/>
        <v>200000</v>
      </c>
      <c r="K186" s="250">
        <f t="shared" si="57"/>
        <v>10000</v>
      </c>
      <c r="L186" s="251">
        <f t="shared" si="58"/>
        <v>0.05263157895</v>
      </c>
      <c r="M186" s="252"/>
    </row>
    <row r="187" ht="15.75" customHeight="1">
      <c r="A187" s="239">
        <v>7.0</v>
      </c>
      <c r="B187" s="275" t="s">
        <v>1688</v>
      </c>
      <c r="C187" s="278" t="s">
        <v>1676</v>
      </c>
      <c r="D187" s="254">
        <v>2.0</v>
      </c>
      <c r="E187" s="267"/>
      <c r="F187" s="268" t="str">
        <f t="shared" si="54"/>
        <v/>
      </c>
      <c r="G187" s="199">
        <v>95000.0</v>
      </c>
      <c r="H187" s="243">
        <f t="shared" si="55"/>
        <v>190000</v>
      </c>
      <c r="I187" s="200">
        <v>120000.0</v>
      </c>
      <c r="J187" s="244">
        <f t="shared" si="56"/>
        <v>240000</v>
      </c>
      <c r="K187" s="245">
        <f t="shared" si="57"/>
        <v>50000</v>
      </c>
      <c r="L187" s="246">
        <f t="shared" si="58"/>
        <v>0.2631578947</v>
      </c>
      <c r="M187" s="247"/>
    </row>
    <row r="188" ht="15.75" customHeight="1">
      <c r="A188" s="248">
        <v>8.0</v>
      </c>
      <c r="B188" s="276" t="s">
        <v>1637</v>
      </c>
      <c r="C188" s="278" t="s">
        <v>1676</v>
      </c>
      <c r="D188" s="277">
        <v>2.0</v>
      </c>
      <c r="E188" s="241" t="str">
        <f>'Daftar Harga'!D208</f>
        <v/>
      </c>
      <c r="F188" s="242" t="str">
        <f t="shared" si="54"/>
        <v/>
      </c>
      <c r="G188" s="199">
        <v>85000.0</v>
      </c>
      <c r="H188" s="243">
        <f t="shared" si="55"/>
        <v>170000</v>
      </c>
      <c r="I188" s="200">
        <v>105000.0</v>
      </c>
      <c r="J188" s="244">
        <f t="shared" si="56"/>
        <v>210000</v>
      </c>
      <c r="K188" s="250">
        <f t="shared" si="57"/>
        <v>40000</v>
      </c>
      <c r="L188" s="251">
        <f t="shared" si="58"/>
        <v>0.2352941176</v>
      </c>
      <c r="M188" s="252"/>
    </row>
    <row r="189" ht="15.75" customHeight="1">
      <c r="A189" s="239">
        <v>9.0</v>
      </c>
      <c r="B189" s="275" t="s">
        <v>1643</v>
      </c>
      <c r="C189" s="278" t="s">
        <v>1676</v>
      </c>
      <c r="D189" s="254">
        <v>2.0</v>
      </c>
      <c r="E189" s="241" t="str">
        <f>'Daftar Harga'!D209</f>
        <v/>
      </c>
      <c r="F189" s="242" t="str">
        <f t="shared" si="54"/>
        <v/>
      </c>
      <c r="G189" s="199">
        <v>190000.0</v>
      </c>
      <c r="H189" s="243">
        <f t="shared" si="55"/>
        <v>380000</v>
      </c>
      <c r="I189" s="200">
        <v>210000.0</v>
      </c>
      <c r="J189" s="244">
        <f t="shared" si="56"/>
        <v>420000</v>
      </c>
      <c r="K189" s="245">
        <f t="shared" si="57"/>
        <v>40000</v>
      </c>
      <c r="L189" s="246">
        <f t="shared" si="58"/>
        <v>0.1052631579</v>
      </c>
      <c r="M189" s="247"/>
    </row>
    <row r="190" ht="15.75" customHeight="1">
      <c r="A190" s="248">
        <v>10.0</v>
      </c>
      <c r="B190" s="276" t="s">
        <v>1344</v>
      </c>
      <c r="C190" s="278" t="s">
        <v>69</v>
      </c>
      <c r="D190" s="277">
        <v>2600.0</v>
      </c>
      <c r="E190" s="241" t="str">
        <f>'Daftar Harga'!D211</f>
        <v/>
      </c>
      <c r="F190" s="242" t="str">
        <f t="shared" si="54"/>
        <v/>
      </c>
      <c r="G190" s="199">
        <v>480.0</v>
      </c>
      <c r="H190" s="243">
        <f t="shared" si="55"/>
        <v>1248000</v>
      </c>
      <c r="I190" s="200">
        <v>700.0</v>
      </c>
      <c r="J190" s="244">
        <f t="shared" si="56"/>
        <v>1820000</v>
      </c>
      <c r="K190" s="250">
        <f t="shared" si="57"/>
        <v>572000</v>
      </c>
      <c r="L190" s="251">
        <f t="shared" si="58"/>
        <v>0.4583333333</v>
      </c>
      <c r="M190" s="252"/>
    </row>
    <row r="191" ht="15.75" customHeight="1">
      <c r="A191" s="239">
        <v>11.0</v>
      </c>
      <c r="B191" s="275" t="s">
        <v>1681</v>
      </c>
      <c r="C191" s="278" t="s">
        <v>1689</v>
      </c>
      <c r="D191" s="254">
        <v>50.0</v>
      </c>
      <c r="E191" s="267"/>
      <c r="F191" s="268" t="str">
        <f t="shared" si="54"/>
        <v/>
      </c>
      <c r="G191" s="199">
        <v>21500.0</v>
      </c>
      <c r="H191" s="243">
        <f t="shared" si="55"/>
        <v>1075000</v>
      </c>
      <c r="I191" s="200">
        <v>23000.0</v>
      </c>
      <c r="J191" s="244">
        <f t="shared" si="56"/>
        <v>1150000</v>
      </c>
      <c r="K191" s="245">
        <f t="shared" si="57"/>
        <v>75000</v>
      </c>
      <c r="L191" s="246">
        <f t="shared" si="58"/>
        <v>0.06976744186</v>
      </c>
      <c r="M191" s="247"/>
    </row>
    <row r="192" ht="15.75" customHeight="1">
      <c r="A192" s="248">
        <v>12.0</v>
      </c>
      <c r="B192" s="276" t="s">
        <v>1566</v>
      </c>
      <c r="C192" s="239" t="s">
        <v>109</v>
      </c>
      <c r="D192" s="277">
        <v>2.0</v>
      </c>
      <c r="E192" s="241" t="str">
        <f>'Daftar Harga'!D232</f>
        <v/>
      </c>
      <c r="F192" s="242" t="str">
        <f t="shared" si="54"/>
        <v/>
      </c>
      <c r="G192" s="199">
        <v>95000.0</v>
      </c>
      <c r="H192" s="243">
        <f t="shared" si="55"/>
        <v>190000</v>
      </c>
      <c r="I192" s="200">
        <v>105000.0</v>
      </c>
      <c r="J192" s="244">
        <f t="shared" si="56"/>
        <v>210000</v>
      </c>
      <c r="K192" s="250">
        <f t="shared" si="57"/>
        <v>20000</v>
      </c>
      <c r="L192" s="251">
        <f t="shared" si="58"/>
        <v>0.1052631579</v>
      </c>
      <c r="M192" s="252"/>
    </row>
    <row r="193" ht="15.75" customHeight="1">
      <c r="A193" s="239">
        <v>13.0</v>
      </c>
      <c r="B193" s="275" t="s">
        <v>1543</v>
      </c>
      <c r="C193" s="239" t="s">
        <v>109</v>
      </c>
      <c r="D193" s="254">
        <v>5.0</v>
      </c>
      <c r="E193" s="241" t="str">
        <f>'Daftar Harga'!D236</f>
        <v/>
      </c>
      <c r="F193" s="242" t="str">
        <f t="shared" si="54"/>
        <v/>
      </c>
      <c r="G193" s="199">
        <v>8000.0</v>
      </c>
      <c r="H193" s="243">
        <f t="shared" si="55"/>
        <v>40000</v>
      </c>
      <c r="I193" s="200">
        <v>10000.0</v>
      </c>
      <c r="J193" s="244">
        <f t="shared" si="56"/>
        <v>50000</v>
      </c>
      <c r="K193" s="245">
        <f t="shared" si="57"/>
        <v>10000</v>
      </c>
      <c r="L193" s="246">
        <f t="shared" si="58"/>
        <v>0.25</v>
      </c>
      <c r="M193" s="247"/>
    </row>
    <row r="194" ht="15.75" customHeight="1">
      <c r="A194" s="248">
        <v>14.0</v>
      </c>
      <c r="B194" s="275" t="s">
        <v>1567</v>
      </c>
      <c r="C194" s="239" t="s">
        <v>109</v>
      </c>
      <c r="D194" s="254">
        <v>70.0</v>
      </c>
      <c r="E194" s="241"/>
      <c r="F194" s="242"/>
      <c r="G194" s="199">
        <v>7000.0</v>
      </c>
      <c r="H194" s="243">
        <f t="shared" si="55"/>
        <v>490000</v>
      </c>
      <c r="I194" s="200">
        <v>12000.0</v>
      </c>
      <c r="J194" s="244">
        <f t="shared" si="56"/>
        <v>840000</v>
      </c>
      <c r="K194" s="245">
        <f t="shared" si="57"/>
        <v>350000</v>
      </c>
      <c r="L194" s="246">
        <f t="shared" si="58"/>
        <v>0.7142857143</v>
      </c>
      <c r="M194" s="247"/>
    </row>
    <row r="195" ht="15.75" customHeight="1">
      <c r="A195" s="239">
        <v>15.0</v>
      </c>
      <c r="B195" s="275" t="s">
        <v>1609</v>
      </c>
      <c r="C195" s="239" t="s">
        <v>109</v>
      </c>
      <c r="D195" s="254">
        <v>30.0</v>
      </c>
      <c r="E195" s="241"/>
      <c r="F195" s="242"/>
      <c r="G195" s="199">
        <v>14000.0</v>
      </c>
      <c r="H195" s="243">
        <f t="shared" si="55"/>
        <v>420000</v>
      </c>
      <c r="I195" s="200">
        <v>17000.0</v>
      </c>
      <c r="J195" s="244">
        <f t="shared" si="56"/>
        <v>510000</v>
      </c>
      <c r="K195" s="245">
        <f t="shared" si="57"/>
        <v>90000</v>
      </c>
      <c r="L195" s="246">
        <f t="shared" si="58"/>
        <v>0.2142857143</v>
      </c>
      <c r="M195" s="247"/>
    </row>
    <row r="196" ht="15.75" customHeight="1">
      <c r="A196" s="248">
        <v>16.0</v>
      </c>
      <c r="B196" s="275" t="s">
        <v>1644</v>
      </c>
      <c r="C196" s="239" t="s">
        <v>109</v>
      </c>
      <c r="D196" s="254">
        <v>10.0</v>
      </c>
      <c r="E196" s="241"/>
      <c r="F196" s="242"/>
      <c r="G196" s="199">
        <v>7000.0</v>
      </c>
      <c r="H196" s="243">
        <f t="shared" si="55"/>
        <v>70000</v>
      </c>
      <c r="I196" s="200">
        <v>12000.0</v>
      </c>
      <c r="J196" s="244">
        <f t="shared" si="56"/>
        <v>120000</v>
      </c>
      <c r="K196" s="245">
        <f t="shared" si="57"/>
        <v>50000</v>
      </c>
      <c r="L196" s="246">
        <f t="shared" si="58"/>
        <v>0.7142857143</v>
      </c>
      <c r="M196" s="247"/>
    </row>
    <row r="197" ht="15.75" customHeight="1">
      <c r="A197" s="239">
        <v>17.0</v>
      </c>
      <c r="B197" s="275" t="s">
        <v>1690</v>
      </c>
      <c r="C197" s="239" t="s">
        <v>109</v>
      </c>
      <c r="D197" s="254">
        <v>10.0</v>
      </c>
      <c r="E197" s="241"/>
      <c r="F197" s="242"/>
      <c r="G197" s="199">
        <v>11000.0</v>
      </c>
      <c r="H197" s="243">
        <f t="shared" si="55"/>
        <v>110000</v>
      </c>
      <c r="I197" s="200">
        <v>14000.0</v>
      </c>
      <c r="J197" s="244">
        <f t="shared" si="56"/>
        <v>140000</v>
      </c>
      <c r="K197" s="245">
        <f t="shared" si="57"/>
        <v>30000</v>
      </c>
      <c r="L197" s="246">
        <f t="shared" si="58"/>
        <v>0.2727272727</v>
      </c>
      <c r="M197" s="247"/>
    </row>
    <row r="198" ht="15.75" customHeight="1">
      <c r="A198" s="248">
        <v>18.0</v>
      </c>
      <c r="B198" s="275" t="s">
        <v>1651</v>
      </c>
      <c r="C198" s="239" t="s">
        <v>109</v>
      </c>
      <c r="D198" s="254">
        <v>265.0</v>
      </c>
      <c r="E198" s="241"/>
      <c r="F198" s="242"/>
      <c r="G198" s="199">
        <v>19500.0</v>
      </c>
      <c r="H198" s="243">
        <f t="shared" si="55"/>
        <v>5167500</v>
      </c>
      <c r="I198" s="200">
        <v>21000.0</v>
      </c>
      <c r="J198" s="244">
        <f t="shared" si="56"/>
        <v>5565000</v>
      </c>
      <c r="K198" s="245">
        <f t="shared" si="57"/>
        <v>397500</v>
      </c>
      <c r="L198" s="246">
        <f t="shared" si="58"/>
        <v>0.07692307692</v>
      </c>
      <c r="M198" s="247"/>
    </row>
    <row r="199" ht="15.75" customHeight="1">
      <c r="A199" s="239">
        <v>19.0</v>
      </c>
      <c r="B199" s="275" t="s">
        <v>1691</v>
      </c>
      <c r="C199" s="239" t="s">
        <v>109</v>
      </c>
      <c r="D199" s="254">
        <v>5.0</v>
      </c>
      <c r="E199" s="241"/>
      <c r="F199" s="242"/>
      <c r="G199" s="199">
        <v>32500.0</v>
      </c>
      <c r="H199" s="243">
        <f t="shared" si="55"/>
        <v>162500</v>
      </c>
      <c r="I199" s="200">
        <v>40000.0</v>
      </c>
      <c r="J199" s="244">
        <f t="shared" si="56"/>
        <v>200000</v>
      </c>
      <c r="K199" s="245">
        <f t="shared" si="57"/>
        <v>37500</v>
      </c>
      <c r="L199" s="246">
        <f t="shared" si="58"/>
        <v>0.2307692308</v>
      </c>
      <c r="M199" s="247"/>
    </row>
    <row r="200" ht="15.75" customHeight="1">
      <c r="A200" s="248">
        <v>20.0</v>
      </c>
      <c r="B200" s="275" t="s">
        <v>1692</v>
      </c>
      <c r="C200" s="239" t="s">
        <v>109</v>
      </c>
      <c r="D200" s="254">
        <v>2.0</v>
      </c>
      <c r="E200" s="241"/>
      <c r="F200" s="242"/>
      <c r="G200" s="199">
        <v>7000.0</v>
      </c>
      <c r="H200" s="243">
        <f t="shared" si="55"/>
        <v>14000</v>
      </c>
      <c r="I200" s="200">
        <v>10000.0</v>
      </c>
      <c r="J200" s="244">
        <f t="shared" si="56"/>
        <v>20000</v>
      </c>
      <c r="K200" s="245">
        <f t="shared" si="57"/>
        <v>6000</v>
      </c>
      <c r="L200" s="246">
        <f t="shared" si="58"/>
        <v>0.4285714286</v>
      </c>
      <c r="M200" s="247"/>
    </row>
    <row r="201" ht="15.75" customHeight="1">
      <c r="A201" s="239">
        <v>21.0</v>
      </c>
      <c r="B201" s="275" t="s">
        <v>1693</v>
      </c>
      <c r="C201" s="239" t="s">
        <v>109</v>
      </c>
      <c r="D201" s="254">
        <v>5.0</v>
      </c>
      <c r="E201" s="241"/>
      <c r="F201" s="242"/>
      <c r="G201" s="199">
        <v>150000.0</v>
      </c>
      <c r="H201" s="243">
        <f t="shared" si="55"/>
        <v>750000</v>
      </c>
      <c r="I201" s="200">
        <v>150000.0</v>
      </c>
      <c r="J201" s="244">
        <f t="shared" si="56"/>
        <v>750000</v>
      </c>
      <c r="K201" s="245">
        <f t="shared" si="57"/>
        <v>0</v>
      </c>
      <c r="L201" s="246">
        <f t="shared" si="58"/>
        <v>0</v>
      </c>
      <c r="M201" s="247"/>
    </row>
    <row r="202" ht="15.75" customHeight="1">
      <c r="A202" s="272" t="s">
        <v>1694</v>
      </c>
      <c r="B202" s="206"/>
      <c r="C202" s="206"/>
      <c r="D202" s="174"/>
      <c r="E202" s="257"/>
      <c r="F202" s="258">
        <f>SUMIF(F181:F201,"&lt;&gt;",F181:F201)</f>
        <v>0</v>
      </c>
      <c r="G202" s="259"/>
      <c r="H202" s="260">
        <f>SUMIF(H181:H201,"&lt;&gt;",H181:H201)</f>
        <v>24681500</v>
      </c>
      <c r="I202" s="265"/>
      <c r="J202" s="260">
        <f>SUMIF(J181:J201,"&lt;&gt;",J181:J201)</f>
        <v>27077500</v>
      </c>
      <c r="K202" s="261">
        <f t="shared" si="57"/>
        <v>2396000</v>
      </c>
      <c r="L202" s="262">
        <f t="shared" si="58"/>
        <v>0.0970767579</v>
      </c>
      <c r="M202" s="257"/>
    </row>
    <row r="203" ht="15.75" customHeight="1"/>
    <row r="204" ht="15.75" customHeight="1">
      <c r="A204" s="273" t="s">
        <v>1695</v>
      </c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6"/>
    </row>
    <row r="205" ht="15.75" customHeight="1">
      <c r="A205" s="229" t="s">
        <v>1509</v>
      </c>
      <c r="B205" s="229" t="s">
        <v>1510</v>
      </c>
      <c r="C205" s="229" t="s">
        <v>1511</v>
      </c>
      <c r="D205" s="229" t="s">
        <v>1614</v>
      </c>
      <c r="E205" s="230" t="s">
        <v>1615</v>
      </c>
      <c r="F205" s="174"/>
      <c r="G205" s="231" t="s">
        <v>1616</v>
      </c>
      <c r="H205" s="174"/>
      <c r="I205" s="232" t="s">
        <v>1617</v>
      </c>
      <c r="J205" s="174"/>
      <c r="K205" s="233" t="s">
        <v>1618</v>
      </c>
      <c r="L205" s="174"/>
      <c r="M205" s="229" t="s">
        <v>1619</v>
      </c>
    </row>
    <row r="206" ht="15.75" customHeight="1">
      <c r="A206" s="234" t="s">
        <v>1509</v>
      </c>
      <c r="B206" s="234" t="s">
        <v>1510</v>
      </c>
      <c r="C206" s="234" t="s">
        <v>1511</v>
      </c>
      <c r="D206" s="234" t="s">
        <v>1614</v>
      </c>
      <c r="E206" s="235" t="s">
        <v>1620</v>
      </c>
      <c r="F206" s="235" t="s">
        <v>1621</v>
      </c>
      <c r="G206" s="236"/>
      <c r="H206" s="236" t="s">
        <v>1623</v>
      </c>
      <c r="I206" s="237" t="s">
        <v>1624</v>
      </c>
      <c r="J206" s="237" t="s">
        <v>1625</v>
      </c>
      <c r="K206" s="238" t="s">
        <v>1626</v>
      </c>
      <c r="L206" s="238" t="s">
        <v>1627</v>
      </c>
      <c r="M206" s="234" t="s">
        <v>1619</v>
      </c>
    </row>
    <row r="207" ht="15.75" customHeight="1">
      <c r="A207" s="239">
        <v>1.0</v>
      </c>
      <c r="B207" s="275" t="s">
        <v>1527</v>
      </c>
      <c r="C207" s="239" t="s">
        <v>109</v>
      </c>
      <c r="D207" s="254">
        <v>125.0</v>
      </c>
      <c r="E207" s="241" t="str">
        <f>'Daftar Harga'!D170</f>
        <v/>
      </c>
      <c r="F207" s="242" t="str">
        <f t="shared" ref="F207:F219" si="59">IF(E207&lt;&gt;"",D207*E207,"")</f>
        <v/>
      </c>
      <c r="G207" s="199">
        <v>14500.0</v>
      </c>
      <c r="H207" s="243">
        <f t="shared" ref="H207:H224" si="60">IF(G207&lt;&gt;"",D207*G207,"")</f>
        <v>1812500</v>
      </c>
      <c r="I207" s="200">
        <v>15700.0</v>
      </c>
      <c r="J207" s="244">
        <f t="shared" ref="J207:J224" si="61">IF(I207&lt;&gt;"",D207*I207,"")</f>
        <v>1962500</v>
      </c>
      <c r="K207" s="245">
        <f t="shared" ref="K207:K225" si="62">IF(J207&lt;&gt;"",IF(H207&lt;&gt;"",J207-H207,IF(F207&lt;&gt;"",J207-F207,"")),"")</f>
        <v>150000</v>
      </c>
      <c r="L207" s="246">
        <f t="shared" ref="L207:L225" si="63">IF(K207&lt;&gt;"",IF(H207&lt;&gt;"",IF(H207&lt;&gt;0,K207/H207,""),IF(F207&lt;&gt;"",IF(F207&lt;&gt;0,K207/F207,""),"")),"")</f>
        <v>0.08275862069</v>
      </c>
      <c r="M207" s="247"/>
    </row>
    <row r="208" ht="15.75" customHeight="1">
      <c r="A208" s="248">
        <v>2.0</v>
      </c>
      <c r="B208" s="276" t="s">
        <v>1600</v>
      </c>
      <c r="C208" s="239" t="s">
        <v>109</v>
      </c>
      <c r="D208" s="277">
        <v>170.0</v>
      </c>
      <c r="E208" s="241" t="str">
        <f>'Daftar Harga'!D178</f>
        <v/>
      </c>
      <c r="F208" s="242" t="str">
        <f t="shared" si="59"/>
        <v/>
      </c>
      <c r="G208" s="199">
        <v>23800.0</v>
      </c>
      <c r="H208" s="243">
        <f t="shared" si="60"/>
        <v>4046000</v>
      </c>
      <c r="I208" s="200">
        <v>27000.0</v>
      </c>
      <c r="J208" s="244">
        <f t="shared" si="61"/>
        <v>4590000</v>
      </c>
      <c r="K208" s="250">
        <f t="shared" si="62"/>
        <v>544000</v>
      </c>
      <c r="L208" s="251">
        <f t="shared" si="63"/>
        <v>0.1344537815</v>
      </c>
      <c r="M208" s="252"/>
    </row>
    <row r="209" ht="15.75" customHeight="1">
      <c r="A209" s="239">
        <v>3.0</v>
      </c>
      <c r="B209" s="275" t="s">
        <v>1637</v>
      </c>
      <c r="C209" s="278" t="s">
        <v>1676</v>
      </c>
      <c r="D209" s="254">
        <v>2.0</v>
      </c>
      <c r="E209" s="241" t="str">
        <f>'Daftar Harga'!D189</f>
        <v/>
      </c>
      <c r="F209" s="242" t="str">
        <f t="shared" si="59"/>
        <v/>
      </c>
      <c r="G209" s="199">
        <v>99500.0</v>
      </c>
      <c r="H209" s="243">
        <f t="shared" si="60"/>
        <v>199000</v>
      </c>
      <c r="I209" s="200">
        <v>110000.0</v>
      </c>
      <c r="J209" s="244">
        <f t="shared" si="61"/>
        <v>220000</v>
      </c>
      <c r="K209" s="245">
        <f t="shared" si="62"/>
        <v>21000</v>
      </c>
      <c r="L209" s="246">
        <f t="shared" si="63"/>
        <v>0.1055276382</v>
      </c>
      <c r="M209" s="247"/>
    </row>
    <row r="210" ht="15.75" customHeight="1">
      <c r="A210" s="248">
        <v>4.0</v>
      </c>
      <c r="B210" s="276" t="s">
        <v>1688</v>
      </c>
      <c r="C210" s="278" t="s">
        <v>1676</v>
      </c>
      <c r="D210" s="277">
        <v>2.0</v>
      </c>
      <c r="E210" s="241" t="str">
        <f>'Daftar Harga'!D190</f>
        <v/>
      </c>
      <c r="F210" s="242" t="str">
        <f t="shared" si="59"/>
        <v/>
      </c>
      <c r="G210" s="199">
        <v>121000.0</v>
      </c>
      <c r="H210" s="243">
        <f t="shared" si="60"/>
        <v>242000</v>
      </c>
      <c r="I210" s="200">
        <v>130000.0</v>
      </c>
      <c r="J210" s="244">
        <f t="shared" si="61"/>
        <v>260000</v>
      </c>
      <c r="K210" s="250">
        <f t="shared" si="62"/>
        <v>18000</v>
      </c>
      <c r="L210" s="251">
        <f t="shared" si="63"/>
        <v>0.07438016529</v>
      </c>
      <c r="M210" s="252"/>
    </row>
    <row r="211" ht="15.75" customHeight="1">
      <c r="A211" s="239">
        <v>5.0</v>
      </c>
      <c r="B211" s="275" t="s">
        <v>1655</v>
      </c>
      <c r="C211" s="239" t="s">
        <v>109</v>
      </c>
      <c r="D211" s="254">
        <v>5.0</v>
      </c>
      <c r="E211" s="241" t="str">
        <f>'Daftar Harga'!D199</f>
        <v/>
      </c>
      <c r="F211" s="242" t="str">
        <f t="shared" si="59"/>
        <v/>
      </c>
      <c r="G211" s="199">
        <v>18500.0</v>
      </c>
      <c r="H211" s="243">
        <f t="shared" si="60"/>
        <v>92500</v>
      </c>
      <c r="I211" s="200">
        <v>20000.0</v>
      </c>
      <c r="J211" s="244">
        <f t="shared" si="61"/>
        <v>100000</v>
      </c>
      <c r="K211" s="245">
        <f t="shared" si="62"/>
        <v>7500</v>
      </c>
      <c r="L211" s="246">
        <f t="shared" si="63"/>
        <v>0.08108108108</v>
      </c>
      <c r="M211" s="247"/>
    </row>
    <row r="212" ht="15.75" customHeight="1">
      <c r="A212" s="248">
        <v>6.0</v>
      </c>
      <c r="B212" s="276" t="s">
        <v>1522</v>
      </c>
      <c r="C212" s="239" t="s">
        <v>109</v>
      </c>
      <c r="D212" s="277">
        <v>3.0</v>
      </c>
      <c r="E212" s="241" t="str">
        <f>'Daftar Harga'!D220</f>
        <v/>
      </c>
      <c r="F212" s="242" t="str">
        <f t="shared" si="59"/>
        <v/>
      </c>
      <c r="G212" s="199">
        <v>28000.0</v>
      </c>
      <c r="H212" s="243">
        <f t="shared" si="60"/>
        <v>84000</v>
      </c>
      <c r="I212" s="200">
        <v>35000.0</v>
      </c>
      <c r="J212" s="244">
        <f t="shared" si="61"/>
        <v>105000</v>
      </c>
      <c r="K212" s="250">
        <f t="shared" si="62"/>
        <v>21000</v>
      </c>
      <c r="L212" s="251">
        <f t="shared" si="63"/>
        <v>0.25</v>
      </c>
      <c r="M212" s="252"/>
    </row>
    <row r="213" ht="15.75" customHeight="1">
      <c r="A213" s="239">
        <v>7.0</v>
      </c>
      <c r="B213" s="275" t="s">
        <v>1696</v>
      </c>
      <c r="C213" s="239" t="s">
        <v>109</v>
      </c>
      <c r="D213" s="254">
        <v>2.0</v>
      </c>
      <c r="E213" s="267"/>
      <c r="F213" s="268" t="str">
        <f t="shared" si="59"/>
        <v/>
      </c>
      <c r="G213" s="199">
        <v>50000.0</v>
      </c>
      <c r="H213" s="243">
        <f t="shared" si="60"/>
        <v>100000</v>
      </c>
      <c r="I213" s="200">
        <v>70000.0</v>
      </c>
      <c r="J213" s="244">
        <f t="shared" si="61"/>
        <v>140000</v>
      </c>
      <c r="K213" s="245">
        <f t="shared" si="62"/>
        <v>40000</v>
      </c>
      <c r="L213" s="246">
        <f t="shared" si="63"/>
        <v>0.4</v>
      </c>
      <c r="M213" s="247"/>
    </row>
    <row r="214" ht="15.75" customHeight="1">
      <c r="A214" s="248">
        <v>8.0</v>
      </c>
      <c r="B214" s="276" t="s">
        <v>1697</v>
      </c>
      <c r="C214" s="239" t="s">
        <v>109</v>
      </c>
      <c r="D214" s="277">
        <v>2.0</v>
      </c>
      <c r="E214" s="241" t="str">
        <f>'Daftar Harga'!D234</f>
        <v/>
      </c>
      <c r="F214" s="242" t="str">
        <f t="shared" si="59"/>
        <v/>
      </c>
      <c r="G214" s="199">
        <v>25000.0</v>
      </c>
      <c r="H214" s="243">
        <f t="shared" si="60"/>
        <v>50000</v>
      </c>
      <c r="I214" s="200">
        <v>30000.0</v>
      </c>
      <c r="J214" s="244">
        <f t="shared" si="61"/>
        <v>60000</v>
      </c>
      <c r="K214" s="250">
        <f t="shared" si="62"/>
        <v>10000</v>
      </c>
      <c r="L214" s="251">
        <f t="shared" si="63"/>
        <v>0.2</v>
      </c>
      <c r="M214" s="252"/>
    </row>
    <row r="215" ht="15.75" customHeight="1">
      <c r="A215" s="239">
        <v>9.0</v>
      </c>
      <c r="B215" s="275" t="s">
        <v>1601</v>
      </c>
      <c r="C215" s="278" t="s">
        <v>67</v>
      </c>
      <c r="D215" s="254">
        <v>130.0</v>
      </c>
      <c r="E215" s="241" t="str">
        <f>'Daftar Harga'!D235</f>
        <v/>
      </c>
      <c r="F215" s="242" t="str">
        <f t="shared" si="59"/>
        <v/>
      </c>
      <c r="G215" s="199">
        <v>12000.0</v>
      </c>
      <c r="H215" s="243">
        <f t="shared" si="60"/>
        <v>1560000</v>
      </c>
      <c r="I215" s="200">
        <v>14000.0</v>
      </c>
      <c r="J215" s="244">
        <f t="shared" si="61"/>
        <v>1820000</v>
      </c>
      <c r="K215" s="245">
        <f t="shared" si="62"/>
        <v>260000</v>
      </c>
      <c r="L215" s="246">
        <f t="shared" si="63"/>
        <v>0.1666666667</v>
      </c>
      <c r="M215" s="247"/>
    </row>
    <row r="216" ht="15.75" customHeight="1">
      <c r="A216" s="248">
        <v>10.0</v>
      </c>
      <c r="B216" s="276" t="s">
        <v>1641</v>
      </c>
      <c r="C216" s="239" t="s">
        <v>109</v>
      </c>
      <c r="D216" s="277">
        <v>3.0</v>
      </c>
      <c r="E216" s="241" t="str">
        <f>'Daftar Harga'!D237</f>
        <v/>
      </c>
      <c r="F216" s="242" t="str">
        <f t="shared" si="59"/>
        <v/>
      </c>
      <c r="G216" s="199">
        <v>45000.0</v>
      </c>
      <c r="H216" s="243">
        <f t="shared" si="60"/>
        <v>135000</v>
      </c>
      <c r="I216" s="200">
        <v>45000.0</v>
      </c>
      <c r="J216" s="244">
        <f t="shared" si="61"/>
        <v>135000</v>
      </c>
      <c r="K216" s="250">
        <f t="shared" si="62"/>
        <v>0</v>
      </c>
      <c r="L216" s="251">
        <f t="shared" si="63"/>
        <v>0</v>
      </c>
      <c r="M216" s="252"/>
    </row>
    <row r="217" ht="15.75" customHeight="1">
      <c r="A217" s="239">
        <v>11.0</v>
      </c>
      <c r="B217" s="275" t="s">
        <v>1640</v>
      </c>
      <c r="C217" s="239" t="s">
        <v>109</v>
      </c>
      <c r="D217" s="254">
        <v>3.0</v>
      </c>
      <c r="E217" s="267"/>
      <c r="F217" s="268" t="str">
        <f t="shared" si="59"/>
        <v/>
      </c>
      <c r="G217" s="199">
        <v>45000.0</v>
      </c>
      <c r="H217" s="243">
        <f t="shared" si="60"/>
        <v>135000</v>
      </c>
      <c r="I217" s="200">
        <v>54000.0</v>
      </c>
      <c r="J217" s="244">
        <f t="shared" si="61"/>
        <v>162000</v>
      </c>
      <c r="K217" s="245">
        <f t="shared" si="62"/>
        <v>27000</v>
      </c>
      <c r="L217" s="246">
        <f t="shared" si="63"/>
        <v>0.2</v>
      </c>
      <c r="M217" s="247"/>
    </row>
    <row r="218" ht="15.75" customHeight="1">
      <c r="A218" s="248">
        <v>12.0</v>
      </c>
      <c r="B218" s="276" t="s">
        <v>1677</v>
      </c>
      <c r="C218" s="278" t="s">
        <v>1676</v>
      </c>
      <c r="D218" s="277">
        <v>2.0</v>
      </c>
      <c r="E218" s="241" t="str">
        <f>'Daftar Harga'!D258</f>
        <v/>
      </c>
      <c r="F218" s="242" t="str">
        <f t="shared" si="59"/>
        <v/>
      </c>
      <c r="G218" s="199">
        <v>190000.0</v>
      </c>
      <c r="H218" s="243">
        <f t="shared" si="60"/>
        <v>380000</v>
      </c>
      <c r="I218" s="200">
        <v>210000.0</v>
      </c>
      <c r="J218" s="244">
        <f t="shared" si="61"/>
        <v>420000</v>
      </c>
      <c r="K218" s="250">
        <f t="shared" si="62"/>
        <v>40000</v>
      </c>
      <c r="L218" s="251">
        <f t="shared" si="63"/>
        <v>0.1052631579</v>
      </c>
      <c r="M218" s="252"/>
    </row>
    <row r="219" ht="15.75" customHeight="1">
      <c r="A219" s="239">
        <v>13.0</v>
      </c>
      <c r="B219" s="275" t="s">
        <v>1680</v>
      </c>
      <c r="C219" s="239" t="s">
        <v>109</v>
      </c>
      <c r="D219" s="254">
        <v>3.0</v>
      </c>
      <c r="E219" s="241" t="str">
        <f>'Daftar Harga'!D262</f>
        <v/>
      </c>
      <c r="F219" s="242" t="str">
        <f t="shared" si="59"/>
        <v/>
      </c>
      <c r="G219" s="199">
        <v>17000.0</v>
      </c>
      <c r="H219" s="243">
        <f t="shared" si="60"/>
        <v>51000</v>
      </c>
      <c r="I219" s="200">
        <v>20000.0</v>
      </c>
      <c r="J219" s="244">
        <f t="shared" si="61"/>
        <v>60000</v>
      </c>
      <c r="K219" s="245">
        <f t="shared" si="62"/>
        <v>9000</v>
      </c>
      <c r="L219" s="246">
        <f t="shared" si="63"/>
        <v>0.1764705882</v>
      </c>
      <c r="M219" s="247"/>
    </row>
    <row r="220" ht="15.75" customHeight="1">
      <c r="A220" s="248">
        <v>14.0</v>
      </c>
      <c r="B220" s="275" t="s">
        <v>1567</v>
      </c>
      <c r="C220" s="239" t="s">
        <v>109</v>
      </c>
      <c r="D220" s="254">
        <v>30.0</v>
      </c>
      <c r="E220" s="241"/>
      <c r="F220" s="242"/>
      <c r="G220" s="199">
        <v>7500.0</v>
      </c>
      <c r="H220" s="243">
        <f t="shared" si="60"/>
        <v>225000</v>
      </c>
      <c r="I220" s="200">
        <v>14000.0</v>
      </c>
      <c r="J220" s="244">
        <f t="shared" si="61"/>
        <v>420000</v>
      </c>
      <c r="K220" s="245">
        <f t="shared" si="62"/>
        <v>195000</v>
      </c>
      <c r="L220" s="246">
        <f t="shared" si="63"/>
        <v>0.8666666667</v>
      </c>
      <c r="M220" s="247"/>
    </row>
    <row r="221" ht="15.75" customHeight="1">
      <c r="A221" s="239">
        <v>15.0</v>
      </c>
      <c r="B221" s="275" t="s">
        <v>1607</v>
      </c>
      <c r="C221" s="239" t="s">
        <v>109</v>
      </c>
      <c r="D221" s="254">
        <v>80.0</v>
      </c>
      <c r="E221" s="241"/>
      <c r="F221" s="242"/>
      <c r="G221" s="199">
        <v>7000.0</v>
      </c>
      <c r="H221" s="243">
        <f t="shared" si="60"/>
        <v>560000</v>
      </c>
      <c r="I221" s="200">
        <v>12000.0</v>
      </c>
      <c r="J221" s="244">
        <f t="shared" si="61"/>
        <v>960000</v>
      </c>
      <c r="K221" s="245">
        <f t="shared" si="62"/>
        <v>400000</v>
      </c>
      <c r="L221" s="246">
        <f t="shared" si="63"/>
        <v>0.7142857143</v>
      </c>
      <c r="M221" s="247"/>
    </row>
    <row r="222" ht="15.75" customHeight="1">
      <c r="A222" s="248">
        <v>16.0</v>
      </c>
      <c r="B222" s="275" t="s">
        <v>1171</v>
      </c>
      <c r="C222" s="239" t="s">
        <v>109</v>
      </c>
      <c r="D222" s="254">
        <v>270.0</v>
      </c>
      <c r="E222" s="241"/>
      <c r="F222" s="242"/>
      <c r="G222" s="199">
        <v>25000.0</v>
      </c>
      <c r="H222" s="243">
        <f t="shared" si="60"/>
        <v>6750000</v>
      </c>
      <c r="I222" s="200">
        <v>27500.0</v>
      </c>
      <c r="J222" s="244">
        <f t="shared" si="61"/>
        <v>7425000</v>
      </c>
      <c r="K222" s="245">
        <f t="shared" si="62"/>
        <v>675000</v>
      </c>
      <c r="L222" s="246">
        <f t="shared" si="63"/>
        <v>0.1</v>
      </c>
      <c r="M222" s="247"/>
    </row>
    <row r="223" ht="15.75" customHeight="1">
      <c r="A223" s="239">
        <v>17.0</v>
      </c>
      <c r="B223" s="275" t="s">
        <v>1665</v>
      </c>
      <c r="C223" s="239" t="s">
        <v>109</v>
      </c>
      <c r="D223" s="254">
        <v>5.0</v>
      </c>
      <c r="E223" s="241"/>
      <c r="F223" s="242"/>
      <c r="G223" s="199">
        <v>26000.0</v>
      </c>
      <c r="H223" s="243">
        <f t="shared" si="60"/>
        <v>130000</v>
      </c>
      <c r="I223" s="200">
        <v>27000.0</v>
      </c>
      <c r="J223" s="244">
        <f t="shared" si="61"/>
        <v>135000</v>
      </c>
      <c r="K223" s="245">
        <f t="shared" si="62"/>
        <v>5000</v>
      </c>
      <c r="L223" s="246">
        <f t="shared" si="63"/>
        <v>0.03846153846</v>
      </c>
      <c r="M223" s="247"/>
    </row>
    <row r="224" ht="15.75" customHeight="1">
      <c r="A224" s="248">
        <v>18.0</v>
      </c>
      <c r="B224" s="275" t="s">
        <v>1681</v>
      </c>
      <c r="C224" s="278" t="s">
        <v>1579</v>
      </c>
      <c r="D224" s="254">
        <v>50.0</v>
      </c>
      <c r="E224" s="241"/>
      <c r="F224" s="242"/>
      <c r="G224" s="199">
        <v>21500.0</v>
      </c>
      <c r="H224" s="243">
        <f t="shared" si="60"/>
        <v>1075000</v>
      </c>
      <c r="I224" s="200">
        <v>24000.0</v>
      </c>
      <c r="J224" s="244">
        <f t="shared" si="61"/>
        <v>1200000</v>
      </c>
      <c r="K224" s="245">
        <f t="shared" si="62"/>
        <v>125000</v>
      </c>
      <c r="L224" s="246">
        <f t="shared" si="63"/>
        <v>0.1162790698</v>
      </c>
      <c r="M224" s="247"/>
    </row>
    <row r="225" ht="15.75" customHeight="1">
      <c r="A225" s="272" t="s">
        <v>1698</v>
      </c>
      <c r="B225" s="206"/>
      <c r="C225" s="206"/>
      <c r="D225" s="174"/>
      <c r="E225" s="257"/>
      <c r="F225" s="258">
        <f>SUMIF(F207:F224,"&lt;&gt;",F207:F224)</f>
        <v>0</v>
      </c>
      <c r="G225" s="259"/>
      <c r="H225" s="260">
        <f>SUMIF(H207:H224,"&lt;&gt;",H207:H224)</f>
        <v>17627000</v>
      </c>
      <c r="I225" s="265"/>
      <c r="J225" s="260">
        <f>SUMIF(J207:J224,"&lt;&gt;",J207:J224)</f>
        <v>20174500</v>
      </c>
      <c r="K225" s="261">
        <f t="shared" si="62"/>
        <v>2547500</v>
      </c>
      <c r="L225" s="262">
        <f t="shared" si="63"/>
        <v>0.1445226074</v>
      </c>
      <c r="M225" s="257"/>
    </row>
    <row r="226" ht="15.75" customHeight="1"/>
    <row r="227" ht="15.75" customHeight="1">
      <c r="A227" s="273" t="s">
        <v>1699</v>
      </c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6"/>
    </row>
    <row r="228" ht="15.75" customHeight="1">
      <c r="A228" s="229" t="s">
        <v>1509</v>
      </c>
      <c r="B228" s="229" t="s">
        <v>1510</v>
      </c>
      <c r="C228" s="229" t="s">
        <v>1511</v>
      </c>
      <c r="D228" s="229" t="s">
        <v>1614</v>
      </c>
      <c r="E228" s="230" t="s">
        <v>1615</v>
      </c>
      <c r="F228" s="174"/>
      <c r="G228" s="231" t="s">
        <v>1616</v>
      </c>
      <c r="H228" s="174"/>
      <c r="I228" s="232" t="s">
        <v>1617</v>
      </c>
      <c r="J228" s="174"/>
      <c r="K228" s="233" t="s">
        <v>1618</v>
      </c>
      <c r="L228" s="174"/>
      <c r="M228" s="229" t="s">
        <v>1619</v>
      </c>
    </row>
    <row r="229" ht="15.75" customHeight="1">
      <c r="A229" s="234" t="s">
        <v>1509</v>
      </c>
      <c r="B229" s="234" t="s">
        <v>1510</v>
      </c>
      <c r="C229" s="234" t="s">
        <v>1511</v>
      </c>
      <c r="D229" s="234" t="s">
        <v>1614</v>
      </c>
      <c r="E229" s="235" t="s">
        <v>1620</v>
      </c>
      <c r="F229" s="235" t="s">
        <v>1621</v>
      </c>
      <c r="G229" s="236" t="s">
        <v>1622</v>
      </c>
      <c r="H229" s="236" t="s">
        <v>1623</v>
      </c>
      <c r="I229" s="237" t="s">
        <v>1624</v>
      </c>
      <c r="J229" s="237" t="s">
        <v>1625</v>
      </c>
      <c r="K229" s="238" t="s">
        <v>1626</v>
      </c>
      <c r="L229" s="238" t="s">
        <v>1627</v>
      </c>
      <c r="M229" s="234" t="s">
        <v>1619</v>
      </c>
    </row>
    <row r="230" ht="15.75" customHeight="1">
      <c r="A230" s="239">
        <v>1.0</v>
      </c>
      <c r="B230" s="275" t="s">
        <v>1581</v>
      </c>
      <c r="C230" s="278" t="s">
        <v>1390</v>
      </c>
      <c r="D230" s="254">
        <v>2550.0</v>
      </c>
      <c r="E230" s="241" t="str">
        <f>'Daftar Harga'!D202</f>
        <v/>
      </c>
      <c r="F230" s="242" t="str">
        <f t="shared" ref="F230:F233" si="64">IF(E230&lt;&gt;"",D230*E230,"")</f>
        <v/>
      </c>
      <c r="G230" s="199">
        <v>2000.0</v>
      </c>
      <c r="H230" s="243">
        <f t="shared" ref="H230:H235" si="65">IF(G230&lt;&gt;"",D230*G230,"")</f>
        <v>5100000</v>
      </c>
      <c r="I230" s="200">
        <v>2300.0</v>
      </c>
      <c r="J230" s="244">
        <f t="shared" ref="J230:J235" si="66">IF(I230&lt;&gt;"",D230*I230,"")</f>
        <v>5865000</v>
      </c>
      <c r="K230" s="245">
        <f t="shared" ref="K230:K236" si="67">IF(J230&lt;&gt;"",IF(H230&lt;&gt;"",J230-H230,IF(F230&lt;&gt;"",J230-F230,"")),"")</f>
        <v>765000</v>
      </c>
      <c r="L230" s="246">
        <f t="shared" ref="L230:L236" si="68">IF(K230&lt;&gt;"",IF(H230&lt;&gt;"",IF(H230&lt;&gt;0,K230/H230,""),IF(F230&lt;&gt;"",IF(F230&lt;&gt;0,K230/F230,""),"")),"")</f>
        <v>0.15</v>
      </c>
      <c r="M230" s="247"/>
    </row>
    <row r="231" ht="15.75" customHeight="1">
      <c r="A231" s="248">
        <v>2.0</v>
      </c>
      <c r="B231" s="276" t="s">
        <v>1700</v>
      </c>
      <c r="C231" s="280" t="s">
        <v>1390</v>
      </c>
      <c r="D231" s="277">
        <v>2550.0</v>
      </c>
      <c r="E231" s="241" t="str">
        <f>'Daftar Harga'!D205</f>
        <v/>
      </c>
      <c r="F231" s="242" t="str">
        <f t="shared" si="64"/>
        <v/>
      </c>
      <c r="G231" s="199">
        <v>2900.0</v>
      </c>
      <c r="H231" s="243">
        <f t="shared" si="65"/>
        <v>7395000</v>
      </c>
      <c r="I231" s="200">
        <v>2950.0</v>
      </c>
      <c r="J231" s="244">
        <f t="shared" si="66"/>
        <v>7522500</v>
      </c>
      <c r="K231" s="250">
        <f t="shared" si="67"/>
        <v>127500</v>
      </c>
      <c r="L231" s="251">
        <f t="shared" si="68"/>
        <v>0.01724137931</v>
      </c>
      <c r="M231" s="252"/>
    </row>
    <row r="232" ht="15.75" customHeight="1">
      <c r="A232" s="239">
        <v>3.0</v>
      </c>
      <c r="B232" s="275" t="s">
        <v>1594</v>
      </c>
      <c r="C232" s="239" t="s">
        <v>109</v>
      </c>
      <c r="D232" s="254">
        <v>30.0</v>
      </c>
      <c r="E232" s="241" t="str">
        <f>'Daftar Harga'!D211</f>
        <v/>
      </c>
      <c r="F232" s="242" t="str">
        <f t="shared" si="64"/>
        <v/>
      </c>
      <c r="G232" s="199">
        <v>30000.0</v>
      </c>
      <c r="H232" s="243">
        <f t="shared" si="65"/>
        <v>900000</v>
      </c>
      <c r="I232" s="200">
        <v>32000.0</v>
      </c>
      <c r="J232" s="244">
        <f t="shared" si="66"/>
        <v>960000</v>
      </c>
      <c r="K232" s="245">
        <f t="shared" si="67"/>
        <v>60000</v>
      </c>
      <c r="L232" s="246">
        <f t="shared" si="68"/>
        <v>0.06666666667</v>
      </c>
      <c r="M232" s="247"/>
    </row>
    <row r="233" ht="15.75" customHeight="1">
      <c r="A233" s="248">
        <v>4.0</v>
      </c>
      <c r="B233" s="276" t="s">
        <v>1607</v>
      </c>
      <c r="C233" s="280" t="s">
        <v>109</v>
      </c>
      <c r="D233" s="277">
        <v>80.0</v>
      </c>
      <c r="E233" s="241" t="str">
        <f>'Daftar Harga'!D217</f>
        <v/>
      </c>
      <c r="F233" s="242" t="str">
        <f t="shared" si="64"/>
        <v/>
      </c>
      <c r="G233" s="199">
        <v>8000.0</v>
      </c>
      <c r="H233" s="243">
        <f t="shared" si="65"/>
        <v>640000</v>
      </c>
      <c r="I233" s="200">
        <v>10000.0</v>
      </c>
      <c r="J233" s="244">
        <f t="shared" si="66"/>
        <v>800000</v>
      </c>
      <c r="K233" s="250">
        <f t="shared" si="67"/>
        <v>160000</v>
      </c>
      <c r="L233" s="251">
        <f t="shared" si="68"/>
        <v>0.25</v>
      </c>
      <c r="M233" s="252"/>
    </row>
    <row r="234" ht="15.75" customHeight="1">
      <c r="A234" s="239">
        <v>5.0</v>
      </c>
      <c r="B234" s="276" t="s">
        <v>1648</v>
      </c>
      <c r="C234" s="280" t="s">
        <v>109</v>
      </c>
      <c r="D234" s="277">
        <v>87.0</v>
      </c>
      <c r="E234" s="267"/>
      <c r="F234" s="268"/>
      <c r="G234" s="199">
        <v>36000.0</v>
      </c>
      <c r="H234" s="243">
        <f t="shared" si="65"/>
        <v>3132000</v>
      </c>
      <c r="I234" s="200">
        <v>35000.0</v>
      </c>
      <c r="J234" s="244">
        <f t="shared" si="66"/>
        <v>3045000</v>
      </c>
      <c r="K234" s="250">
        <f t="shared" si="67"/>
        <v>-87000</v>
      </c>
      <c r="L234" s="251">
        <f t="shared" si="68"/>
        <v>-0.02777777778</v>
      </c>
      <c r="M234" s="252"/>
    </row>
    <row r="235" ht="15.75" customHeight="1">
      <c r="A235" s="248">
        <v>6.0</v>
      </c>
      <c r="B235" s="276" t="s">
        <v>1112</v>
      </c>
      <c r="C235" s="248" t="s">
        <v>109</v>
      </c>
      <c r="D235" s="277">
        <v>270.0</v>
      </c>
      <c r="E235" s="241" t="str">
        <f>'Daftar Harga'!D234</f>
        <v/>
      </c>
      <c r="F235" s="242" t="str">
        <f>IF(E235&lt;&gt;"",D235*E235,"")</f>
        <v/>
      </c>
      <c r="G235" s="199">
        <v>19000.0</v>
      </c>
      <c r="H235" s="243">
        <f t="shared" si="65"/>
        <v>5130000</v>
      </c>
      <c r="I235" s="200">
        <v>19500.0</v>
      </c>
      <c r="J235" s="244">
        <f t="shared" si="66"/>
        <v>5265000</v>
      </c>
      <c r="K235" s="250">
        <f t="shared" si="67"/>
        <v>135000</v>
      </c>
      <c r="L235" s="251">
        <f t="shared" si="68"/>
        <v>0.02631578947</v>
      </c>
      <c r="M235" s="252"/>
    </row>
    <row r="236" ht="15.75" customHeight="1">
      <c r="A236" s="272" t="s">
        <v>1701</v>
      </c>
      <c r="B236" s="206"/>
      <c r="C236" s="206"/>
      <c r="D236" s="174"/>
      <c r="E236" s="257"/>
      <c r="F236" s="258">
        <f>SUMIF(F230:F235,"&lt;&gt;",F230:F235)</f>
        <v>0</v>
      </c>
      <c r="G236" s="259"/>
      <c r="H236" s="260">
        <f>SUMIF(H230:H235,"&lt;&gt;",H230:H235)</f>
        <v>22297000</v>
      </c>
      <c r="I236" s="265"/>
      <c r="J236" s="260">
        <f>SUMIF(J230:J235,"&lt;&gt;",J230:J235)</f>
        <v>23457500</v>
      </c>
      <c r="K236" s="261">
        <f t="shared" si="67"/>
        <v>1160500</v>
      </c>
      <c r="L236" s="262">
        <f t="shared" si="68"/>
        <v>0.05204736063</v>
      </c>
      <c r="M236" s="257"/>
    </row>
    <row r="237" ht="15.75" customHeight="1"/>
    <row r="238" ht="15.75" customHeight="1">
      <c r="A238" s="269"/>
      <c r="C238" s="273" t="s">
        <v>1702</v>
      </c>
      <c r="D238" s="155"/>
      <c r="E238" s="155"/>
      <c r="F238" s="155"/>
      <c r="G238" s="155"/>
      <c r="H238" s="155"/>
      <c r="I238" s="155"/>
      <c r="J238" s="155"/>
      <c r="K238" s="155"/>
      <c r="L238" s="155"/>
      <c r="M238" s="269"/>
    </row>
    <row r="239" ht="15.75" customHeight="1">
      <c r="A239" s="229" t="s">
        <v>1509</v>
      </c>
      <c r="B239" s="229" t="s">
        <v>1510</v>
      </c>
      <c r="C239" s="229" t="s">
        <v>1511</v>
      </c>
      <c r="D239" s="229" t="s">
        <v>1614</v>
      </c>
      <c r="E239" s="230" t="s">
        <v>1615</v>
      </c>
      <c r="F239" s="174"/>
      <c r="G239" s="231" t="s">
        <v>1616</v>
      </c>
      <c r="H239" s="174"/>
      <c r="I239" s="232" t="s">
        <v>1617</v>
      </c>
      <c r="J239" s="174"/>
      <c r="K239" s="233" t="s">
        <v>1618</v>
      </c>
      <c r="L239" s="174"/>
      <c r="M239" s="229" t="s">
        <v>1619</v>
      </c>
    </row>
    <row r="240" ht="15.75" customHeight="1">
      <c r="A240" s="234" t="s">
        <v>1509</v>
      </c>
      <c r="B240" s="234" t="s">
        <v>1510</v>
      </c>
      <c r="C240" s="234" t="s">
        <v>1511</v>
      </c>
      <c r="D240" s="234" t="s">
        <v>1614</v>
      </c>
      <c r="E240" s="235" t="s">
        <v>1620</v>
      </c>
      <c r="F240" s="235" t="s">
        <v>1621</v>
      </c>
      <c r="G240" s="236" t="s">
        <v>1622</v>
      </c>
      <c r="H240" s="236" t="s">
        <v>1623</v>
      </c>
      <c r="I240" s="237" t="s">
        <v>1624</v>
      </c>
      <c r="J240" s="237" t="s">
        <v>1625</v>
      </c>
      <c r="K240" s="238" t="s">
        <v>1626</v>
      </c>
      <c r="L240" s="238" t="s">
        <v>1627</v>
      </c>
      <c r="M240" s="234" t="s">
        <v>1619</v>
      </c>
    </row>
    <row r="241" ht="15.75" customHeight="1">
      <c r="A241" s="248">
        <v>1.0</v>
      </c>
      <c r="B241" s="276" t="s">
        <v>1516</v>
      </c>
      <c r="C241" s="280" t="s">
        <v>1208</v>
      </c>
      <c r="D241" s="254">
        <v>14.0</v>
      </c>
      <c r="E241" s="267"/>
      <c r="F241" s="268" t="str">
        <f>IF(E241&lt;&gt;"",D241*E241,"")</f>
        <v/>
      </c>
      <c r="G241" s="199">
        <v>650000.0</v>
      </c>
      <c r="H241" s="243">
        <f t="shared" ref="H241:H244" si="69">IF(G241&lt;&gt;"",D241*G241,"")</f>
        <v>9100000</v>
      </c>
      <c r="I241" s="200">
        <v>670000.0</v>
      </c>
      <c r="J241" s="244">
        <f t="shared" ref="J241:J244" si="70">IF(I241&lt;&gt;"",D241*I241,"")</f>
        <v>9380000</v>
      </c>
      <c r="K241" s="245">
        <f t="shared" ref="K241:K245" si="71">IF(J241&lt;&gt;"",IF(H241&lt;&gt;"",J241-H241,IF(F241&lt;&gt;"",J241-F241,"")),"")</f>
        <v>280000</v>
      </c>
      <c r="L241" s="246">
        <f t="shared" ref="L241:L245" si="72">IF(K241&lt;&gt;"",IF(H241&lt;&gt;"",IF(H241&lt;&gt;0,K241/H241,""),IF(F241&lt;&gt;"",IF(F241&lt;&gt;0,K241/F241,""),"")),"")</f>
        <v>0.03076923077</v>
      </c>
      <c r="M241" s="252"/>
    </row>
    <row r="242" ht="15.75" customHeight="1">
      <c r="A242" s="280">
        <v>2.0</v>
      </c>
      <c r="B242" s="276" t="s">
        <v>1668</v>
      </c>
      <c r="C242" s="280" t="s">
        <v>69</v>
      </c>
      <c r="D242" s="254">
        <v>2556.0</v>
      </c>
      <c r="E242" s="267"/>
      <c r="F242" s="268"/>
      <c r="G242" s="199">
        <v>3230.0</v>
      </c>
      <c r="H242" s="243">
        <f t="shared" si="69"/>
        <v>8255880</v>
      </c>
      <c r="I242" s="200">
        <v>3600.0</v>
      </c>
      <c r="J242" s="244">
        <f t="shared" si="70"/>
        <v>9201600</v>
      </c>
      <c r="K242" s="245">
        <f t="shared" si="71"/>
        <v>945720</v>
      </c>
      <c r="L242" s="246">
        <f t="shared" si="72"/>
        <v>0.1145510836</v>
      </c>
      <c r="M242" s="252"/>
    </row>
    <row r="243" ht="15.75" customHeight="1">
      <c r="A243" s="280">
        <v>3.0</v>
      </c>
      <c r="B243" s="276" t="s">
        <v>1655</v>
      </c>
      <c r="C243" s="280" t="s">
        <v>109</v>
      </c>
      <c r="D243" s="254">
        <v>30.0</v>
      </c>
      <c r="E243" s="267"/>
      <c r="F243" s="268"/>
      <c r="G243" s="199">
        <v>18500.0</v>
      </c>
      <c r="H243" s="243">
        <f t="shared" si="69"/>
        <v>555000</v>
      </c>
      <c r="I243" s="200">
        <v>20000.0</v>
      </c>
      <c r="J243" s="244">
        <f t="shared" si="70"/>
        <v>600000</v>
      </c>
      <c r="K243" s="245">
        <f t="shared" si="71"/>
        <v>45000</v>
      </c>
      <c r="L243" s="246">
        <f t="shared" si="72"/>
        <v>0.08108108108</v>
      </c>
      <c r="M243" s="252"/>
    </row>
    <row r="244" ht="15.75" customHeight="1">
      <c r="A244" s="278">
        <v>4.0</v>
      </c>
      <c r="B244" s="276" t="s">
        <v>1703</v>
      </c>
      <c r="C244" s="239" t="s">
        <v>1208</v>
      </c>
      <c r="D244" s="254">
        <v>10.0</v>
      </c>
      <c r="E244" s="267"/>
      <c r="F244" s="268" t="str">
        <f>IF(E244&lt;&gt;"",D244*E244,"")</f>
        <v/>
      </c>
      <c r="G244" s="199">
        <v>51000.0</v>
      </c>
      <c r="H244" s="243">
        <f t="shared" si="69"/>
        <v>510000</v>
      </c>
      <c r="I244" s="200">
        <v>55000.0</v>
      </c>
      <c r="J244" s="244">
        <f t="shared" si="70"/>
        <v>550000</v>
      </c>
      <c r="K244" s="245">
        <f t="shared" si="71"/>
        <v>40000</v>
      </c>
      <c r="L244" s="246">
        <f t="shared" si="72"/>
        <v>0.07843137255</v>
      </c>
      <c r="M244" s="247"/>
    </row>
    <row r="245" ht="15.75" customHeight="1">
      <c r="A245" s="272" t="s">
        <v>1704</v>
      </c>
      <c r="B245" s="206"/>
      <c r="C245" s="206"/>
      <c r="D245" s="174"/>
      <c r="E245" s="257"/>
      <c r="F245" s="258">
        <f>SUMIF(F241:F244,"&lt;&gt;",F241:F244)</f>
        <v>0</v>
      </c>
      <c r="G245" s="259"/>
      <c r="H245" s="260">
        <f>SUMIF(H241:H244,"&lt;&gt;",H241:H244)</f>
        <v>18420880</v>
      </c>
      <c r="I245" s="265"/>
      <c r="J245" s="260">
        <f>SUMIF(J241:J244,"&lt;&gt;",J241:J244)</f>
        <v>19731600</v>
      </c>
      <c r="K245" s="261">
        <f t="shared" si="71"/>
        <v>1310720</v>
      </c>
      <c r="L245" s="262">
        <f t="shared" si="72"/>
        <v>0.07115403824</v>
      </c>
      <c r="M245" s="257"/>
    </row>
    <row r="246" ht="15.75" customHeight="1"/>
    <row r="247" ht="15.75" customHeight="1">
      <c r="A247" s="273" t="s">
        <v>1705</v>
      </c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6"/>
    </row>
    <row r="248" ht="15.75" customHeight="1">
      <c r="A248" s="229" t="s">
        <v>1509</v>
      </c>
      <c r="B248" s="229" t="s">
        <v>1510</v>
      </c>
      <c r="C248" s="229" t="s">
        <v>1511</v>
      </c>
      <c r="D248" s="229" t="s">
        <v>1614</v>
      </c>
      <c r="E248" s="230" t="s">
        <v>1615</v>
      </c>
      <c r="F248" s="174"/>
      <c r="G248" s="231" t="s">
        <v>1616</v>
      </c>
      <c r="H248" s="174"/>
      <c r="I248" s="232" t="s">
        <v>1617</v>
      </c>
      <c r="J248" s="174"/>
      <c r="K248" s="233" t="s">
        <v>1618</v>
      </c>
      <c r="L248" s="174"/>
      <c r="M248" s="229" t="s">
        <v>1619</v>
      </c>
    </row>
    <row r="249" ht="15.75" customHeight="1">
      <c r="A249" s="234" t="s">
        <v>1509</v>
      </c>
      <c r="B249" s="234" t="s">
        <v>1510</v>
      </c>
      <c r="C249" s="234" t="s">
        <v>1511</v>
      </c>
      <c r="D249" s="234" t="s">
        <v>1614</v>
      </c>
      <c r="E249" s="235" t="s">
        <v>1620</v>
      </c>
      <c r="F249" s="235" t="s">
        <v>1621</v>
      </c>
      <c r="G249" s="236"/>
      <c r="H249" s="236" t="s">
        <v>1623</v>
      </c>
      <c r="I249" s="237" t="s">
        <v>1624</v>
      </c>
      <c r="J249" s="237" t="s">
        <v>1625</v>
      </c>
      <c r="K249" s="238" t="s">
        <v>1626</v>
      </c>
      <c r="L249" s="238" t="s">
        <v>1627</v>
      </c>
      <c r="M249" s="234" t="s">
        <v>1619</v>
      </c>
    </row>
    <row r="250" ht="15.75" customHeight="1">
      <c r="A250" s="239">
        <v>1.0</v>
      </c>
      <c r="B250" s="275" t="s">
        <v>1527</v>
      </c>
      <c r="C250" s="239" t="s">
        <v>109</v>
      </c>
      <c r="D250" s="254">
        <v>125.0</v>
      </c>
      <c r="E250" s="241" t="str">
        <f>'Daftar Harga'!D213</f>
        <v/>
      </c>
      <c r="F250" s="242" t="str">
        <f t="shared" ref="F250:F262" si="73">IF(E250&lt;&gt;"",D250*E250,"")</f>
        <v/>
      </c>
      <c r="G250" s="199">
        <v>14500.0</v>
      </c>
      <c r="H250" s="243">
        <f t="shared" ref="H250:H265" si="74">IF(G250&lt;&gt;"",D250*G250,"")</f>
        <v>1812500</v>
      </c>
      <c r="I250" s="200">
        <v>15700.0</v>
      </c>
      <c r="J250" s="244">
        <f t="shared" ref="J250:J265" si="75">IF(I250&lt;&gt;"",D250*I250,"")</f>
        <v>1962500</v>
      </c>
      <c r="K250" s="245">
        <f t="shared" ref="K250:K266" si="76">IF(J250&lt;&gt;"",IF(H250&lt;&gt;"",J250-H250,IF(F250&lt;&gt;"",J250-F250,"")),"")</f>
        <v>150000</v>
      </c>
      <c r="L250" s="246">
        <f t="shared" ref="L250:L266" si="77">IF(K250&lt;&gt;"",IF(H250&lt;&gt;"",IF(H250&lt;&gt;0,K250/H250,""),IF(F250&lt;&gt;"",IF(F250&lt;&gt;0,K250/F250,""),"")),"")</f>
        <v>0.08275862069</v>
      </c>
      <c r="M250" s="247"/>
    </row>
    <row r="251" ht="15.75" customHeight="1">
      <c r="A251" s="248">
        <v>2.0</v>
      </c>
      <c r="B251" s="276" t="s">
        <v>1706</v>
      </c>
      <c r="C251" s="239" t="s">
        <v>109</v>
      </c>
      <c r="D251" s="277">
        <v>260.0</v>
      </c>
      <c r="E251" s="241" t="str">
        <f>'Daftar Harga'!D221</f>
        <v/>
      </c>
      <c r="F251" s="242" t="str">
        <f t="shared" si="73"/>
        <v/>
      </c>
      <c r="G251" s="199">
        <v>31000.0</v>
      </c>
      <c r="H251" s="243">
        <f t="shared" si="74"/>
        <v>8060000</v>
      </c>
      <c r="I251" s="200">
        <v>35000.0</v>
      </c>
      <c r="J251" s="244">
        <f t="shared" si="75"/>
        <v>9100000</v>
      </c>
      <c r="K251" s="250">
        <f t="shared" si="76"/>
        <v>1040000</v>
      </c>
      <c r="L251" s="251">
        <f t="shared" si="77"/>
        <v>0.1290322581</v>
      </c>
      <c r="M251" s="252"/>
    </row>
    <row r="252" ht="15.75" customHeight="1">
      <c r="A252" s="239">
        <v>3.0</v>
      </c>
      <c r="B252" s="275" t="s">
        <v>1640</v>
      </c>
      <c r="C252" s="278" t="s">
        <v>1676</v>
      </c>
      <c r="D252" s="254">
        <v>3.0</v>
      </c>
      <c r="E252" s="241" t="str">
        <f>'Daftar Harga'!D232</f>
        <v/>
      </c>
      <c r="F252" s="242" t="str">
        <f t="shared" si="73"/>
        <v/>
      </c>
      <c r="G252" s="199">
        <v>45000.0</v>
      </c>
      <c r="H252" s="243">
        <f t="shared" si="74"/>
        <v>135000</v>
      </c>
      <c r="I252" s="200">
        <v>54000.0</v>
      </c>
      <c r="J252" s="244">
        <f t="shared" si="75"/>
        <v>162000</v>
      </c>
      <c r="K252" s="245">
        <f t="shared" si="76"/>
        <v>27000</v>
      </c>
      <c r="L252" s="246">
        <f t="shared" si="77"/>
        <v>0.2</v>
      </c>
      <c r="M252" s="247"/>
    </row>
    <row r="253" ht="15.75" customHeight="1">
      <c r="A253" s="248">
        <v>4.0</v>
      </c>
      <c r="B253" s="276" t="s">
        <v>1641</v>
      </c>
      <c r="C253" s="278" t="s">
        <v>1676</v>
      </c>
      <c r="D253" s="277">
        <v>3.0</v>
      </c>
      <c r="E253" s="241" t="str">
        <f>'Daftar Harga'!D233</f>
        <v/>
      </c>
      <c r="F253" s="242" t="str">
        <f t="shared" si="73"/>
        <v/>
      </c>
      <c r="G253" s="199">
        <v>40000.0</v>
      </c>
      <c r="H253" s="243">
        <f t="shared" si="74"/>
        <v>120000</v>
      </c>
      <c r="I253" s="200">
        <v>45000.0</v>
      </c>
      <c r="J253" s="244">
        <f t="shared" si="75"/>
        <v>135000</v>
      </c>
      <c r="K253" s="250">
        <f t="shared" si="76"/>
        <v>15000</v>
      </c>
      <c r="L253" s="251">
        <f t="shared" si="77"/>
        <v>0.125</v>
      </c>
      <c r="M253" s="252"/>
    </row>
    <row r="254" ht="15.75" customHeight="1">
      <c r="A254" s="239">
        <v>5.0</v>
      </c>
      <c r="B254" s="275" t="s">
        <v>1569</v>
      </c>
      <c r="C254" s="239" t="s">
        <v>109</v>
      </c>
      <c r="D254" s="254">
        <v>3.0</v>
      </c>
      <c r="E254" s="241" t="str">
        <f>'Daftar Harga'!D242</f>
        <v/>
      </c>
      <c r="F254" s="242" t="str">
        <f t="shared" si="73"/>
        <v/>
      </c>
      <c r="G254" s="199">
        <v>8000.0</v>
      </c>
      <c r="H254" s="243">
        <f t="shared" si="74"/>
        <v>24000</v>
      </c>
      <c r="I254" s="200">
        <v>18000.0</v>
      </c>
      <c r="J254" s="244">
        <f t="shared" si="75"/>
        <v>54000</v>
      </c>
      <c r="K254" s="245">
        <f t="shared" si="76"/>
        <v>30000</v>
      </c>
      <c r="L254" s="246">
        <f t="shared" si="77"/>
        <v>1.25</v>
      </c>
      <c r="M254" s="247"/>
    </row>
    <row r="255" ht="15.75" customHeight="1">
      <c r="A255" s="248">
        <v>6.0</v>
      </c>
      <c r="B255" s="276" t="s">
        <v>1677</v>
      </c>
      <c r="C255" s="278" t="s">
        <v>1676</v>
      </c>
      <c r="D255" s="277">
        <v>3.0</v>
      </c>
      <c r="E255" s="241" t="str">
        <f>'Daftar Harga'!D263</f>
        <v/>
      </c>
      <c r="F255" s="242" t="str">
        <f t="shared" si="73"/>
        <v/>
      </c>
      <c r="G255" s="199">
        <v>190000.0</v>
      </c>
      <c r="H255" s="243">
        <f t="shared" si="74"/>
        <v>570000</v>
      </c>
      <c r="I255" s="200">
        <v>210000.0</v>
      </c>
      <c r="J255" s="244">
        <f t="shared" si="75"/>
        <v>630000</v>
      </c>
      <c r="K255" s="250">
        <f t="shared" si="76"/>
        <v>60000</v>
      </c>
      <c r="L255" s="251">
        <f t="shared" si="77"/>
        <v>0.1052631579</v>
      </c>
      <c r="M255" s="252"/>
    </row>
    <row r="256" ht="15.75" customHeight="1">
      <c r="A256" s="239">
        <v>7.0</v>
      </c>
      <c r="B256" s="275" t="s">
        <v>1566</v>
      </c>
      <c r="C256" s="239" t="s">
        <v>109</v>
      </c>
      <c r="D256" s="254">
        <v>3.0</v>
      </c>
      <c r="E256" s="267"/>
      <c r="F256" s="268" t="str">
        <f t="shared" si="73"/>
        <v/>
      </c>
      <c r="G256" s="199">
        <v>95000.0</v>
      </c>
      <c r="H256" s="243">
        <f t="shared" si="74"/>
        <v>285000</v>
      </c>
      <c r="I256" s="200">
        <v>105000.0</v>
      </c>
      <c r="J256" s="244">
        <f t="shared" si="75"/>
        <v>315000</v>
      </c>
      <c r="K256" s="245">
        <f t="shared" si="76"/>
        <v>30000</v>
      </c>
      <c r="L256" s="246">
        <f t="shared" si="77"/>
        <v>0.1052631579</v>
      </c>
      <c r="M256" s="247"/>
    </row>
    <row r="257" ht="15.75" customHeight="1">
      <c r="A257" s="248">
        <v>8.0</v>
      </c>
      <c r="B257" s="276" t="s">
        <v>1679</v>
      </c>
      <c r="C257" s="239" t="s">
        <v>109</v>
      </c>
      <c r="D257" s="277">
        <v>1.0</v>
      </c>
      <c r="E257" s="241" t="str">
        <f>'Daftar Harga'!D277</f>
        <v/>
      </c>
      <c r="F257" s="242" t="str">
        <f t="shared" si="73"/>
        <v/>
      </c>
      <c r="G257" s="199">
        <v>14667.0</v>
      </c>
      <c r="H257" s="243">
        <f t="shared" si="74"/>
        <v>14667</v>
      </c>
      <c r="I257" s="200">
        <v>30000.0</v>
      </c>
      <c r="J257" s="244">
        <f t="shared" si="75"/>
        <v>30000</v>
      </c>
      <c r="K257" s="250">
        <f t="shared" si="76"/>
        <v>15333</v>
      </c>
      <c r="L257" s="251">
        <f t="shared" si="77"/>
        <v>1.045408059</v>
      </c>
      <c r="M257" s="252"/>
    </row>
    <row r="258" ht="15.75" customHeight="1">
      <c r="A258" s="239">
        <v>9.0</v>
      </c>
      <c r="B258" s="275" t="s">
        <v>1595</v>
      </c>
      <c r="C258" s="278" t="s">
        <v>67</v>
      </c>
      <c r="D258" s="254">
        <v>1.0</v>
      </c>
      <c r="E258" s="241" t="str">
        <f>'Daftar Harga'!D278</f>
        <v/>
      </c>
      <c r="F258" s="242" t="str">
        <f t="shared" si="73"/>
        <v/>
      </c>
      <c r="G258" s="199">
        <v>9000.0</v>
      </c>
      <c r="H258" s="243">
        <f t="shared" si="74"/>
        <v>9000</v>
      </c>
      <c r="I258" s="200">
        <v>15000.0</v>
      </c>
      <c r="J258" s="244">
        <f t="shared" si="75"/>
        <v>15000</v>
      </c>
      <c r="K258" s="245">
        <f t="shared" si="76"/>
        <v>6000</v>
      </c>
      <c r="L258" s="246">
        <f t="shared" si="77"/>
        <v>0.6666666667</v>
      </c>
      <c r="M258" s="247"/>
    </row>
    <row r="259" ht="15.75" customHeight="1">
      <c r="A259" s="248">
        <v>10.0</v>
      </c>
      <c r="B259" s="276" t="s">
        <v>1567</v>
      </c>
      <c r="C259" s="239" t="s">
        <v>109</v>
      </c>
      <c r="D259" s="277">
        <v>65.0</v>
      </c>
      <c r="E259" s="241" t="str">
        <f>'Daftar Harga'!D280</f>
        <v/>
      </c>
      <c r="F259" s="242" t="str">
        <f t="shared" si="73"/>
        <v/>
      </c>
      <c r="G259" s="199">
        <v>6500.0</v>
      </c>
      <c r="H259" s="243">
        <f t="shared" si="74"/>
        <v>422500</v>
      </c>
      <c r="I259" s="200">
        <v>14000.0</v>
      </c>
      <c r="J259" s="244">
        <f t="shared" si="75"/>
        <v>910000</v>
      </c>
      <c r="K259" s="250">
        <f t="shared" si="76"/>
        <v>487500</v>
      </c>
      <c r="L259" s="251">
        <f t="shared" si="77"/>
        <v>1.153846154</v>
      </c>
      <c r="M259" s="252"/>
    </row>
    <row r="260" ht="15.75" customHeight="1">
      <c r="A260" s="239">
        <v>11.0</v>
      </c>
      <c r="B260" s="275" t="s">
        <v>1607</v>
      </c>
      <c r="C260" s="239" t="s">
        <v>109</v>
      </c>
      <c r="D260" s="254">
        <v>30.0</v>
      </c>
      <c r="E260" s="267"/>
      <c r="F260" s="268" t="str">
        <f t="shared" si="73"/>
        <v/>
      </c>
      <c r="G260" s="199">
        <v>8000.0</v>
      </c>
      <c r="H260" s="243">
        <f t="shared" si="74"/>
        <v>240000</v>
      </c>
      <c r="I260" s="200">
        <v>12000.0</v>
      </c>
      <c r="J260" s="244">
        <f t="shared" si="75"/>
        <v>360000</v>
      </c>
      <c r="K260" s="245">
        <f t="shared" si="76"/>
        <v>120000</v>
      </c>
      <c r="L260" s="246">
        <f t="shared" si="77"/>
        <v>0.5</v>
      </c>
      <c r="M260" s="247"/>
    </row>
    <row r="261" ht="15.75" customHeight="1">
      <c r="A261" s="248">
        <v>12.0</v>
      </c>
      <c r="B261" s="276" t="s">
        <v>1707</v>
      </c>
      <c r="C261" s="278" t="s">
        <v>69</v>
      </c>
      <c r="D261" s="277">
        <v>2600.0</v>
      </c>
      <c r="E261" s="241" t="str">
        <f>'Daftar Harga'!D301</f>
        <v/>
      </c>
      <c r="F261" s="242" t="str">
        <f t="shared" si="73"/>
        <v/>
      </c>
      <c r="G261" s="199">
        <v>570.0</v>
      </c>
      <c r="H261" s="243">
        <f t="shared" si="74"/>
        <v>1482000</v>
      </c>
      <c r="I261" s="200">
        <v>800.0</v>
      </c>
      <c r="J261" s="244">
        <f t="shared" si="75"/>
        <v>2080000</v>
      </c>
      <c r="K261" s="250">
        <f t="shared" si="76"/>
        <v>598000</v>
      </c>
      <c r="L261" s="251">
        <f t="shared" si="77"/>
        <v>0.4035087719</v>
      </c>
      <c r="M261" s="252"/>
    </row>
    <row r="262" ht="15.75" customHeight="1">
      <c r="A262" s="239">
        <v>13.0</v>
      </c>
      <c r="B262" s="275" t="s">
        <v>1609</v>
      </c>
      <c r="C262" s="239" t="s">
        <v>109</v>
      </c>
      <c r="D262" s="254">
        <v>3.0</v>
      </c>
      <c r="E262" s="241" t="str">
        <f>'Daftar Harga'!D305</f>
        <v/>
      </c>
      <c r="F262" s="242" t="str">
        <f t="shared" si="73"/>
        <v/>
      </c>
      <c r="G262" s="199">
        <v>15500.0</v>
      </c>
      <c r="H262" s="243">
        <f t="shared" si="74"/>
        <v>46500</v>
      </c>
      <c r="I262" s="200">
        <v>18000.0</v>
      </c>
      <c r="J262" s="244">
        <f t="shared" si="75"/>
        <v>54000</v>
      </c>
      <c r="K262" s="245">
        <f t="shared" si="76"/>
        <v>7500</v>
      </c>
      <c r="L262" s="246">
        <f t="shared" si="77"/>
        <v>0.1612903226</v>
      </c>
      <c r="M262" s="247"/>
    </row>
    <row r="263" ht="15.75" customHeight="1">
      <c r="A263" s="248">
        <v>14.0</v>
      </c>
      <c r="B263" s="275" t="s">
        <v>1642</v>
      </c>
      <c r="C263" s="239" t="s">
        <v>109</v>
      </c>
      <c r="D263" s="254">
        <v>2.0</v>
      </c>
      <c r="E263" s="241"/>
      <c r="F263" s="242"/>
      <c r="G263" s="199">
        <v>18000.0</v>
      </c>
      <c r="H263" s="243">
        <f t="shared" si="74"/>
        <v>36000</v>
      </c>
      <c r="I263" s="200">
        <v>17000.0</v>
      </c>
      <c r="J263" s="244">
        <f t="shared" si="75"/>
        <v>34000</v>
      </c>
      <c r="K263" s="245">
        <f t="shared" si="76"/>
        <v>-2000</v>
      </c>
      <c r="L263" s="246">
        <f t="shared" si="77"/>
        <v>-0.05555555556</v>
      </c>
      <c r="M263" s="247"/>
    </row>
    <row r="264" ht="15.75" customHeight="1">
      <c r="A264" s="239">
        <v>15.0</v>
      </c>
      <c r="B264" s="275" t="s">
        <v>1152</v>
      </c>
      <c r="C264" s="239" t="s">
        <v>109</v>
      </c>
      <c r="D264" s="254">
        <v>2550.0</v>
      </c>
      <c r="E264" s="241"/>
      <c r="F264" s="242"/>
      <c r="G264" s="199">
        <v>1800.0</v>
      </c>
      <c r="H264" s="243">
        <f t="shared" si="74"/>
        <v>4590000</v>
      </c>
      <c r="I264" s="200">
        <v>2000.0</v>
      </c>
      <c r="J264" s="244">
        <f t="shared" si="75"/>
        <v>5100000</v>
      </c>
      <c r="K264" s="245">
        <f t="shared" si="76"/>
        <v>510000</v>
      </c>
      <c r="L264" s="246">
        <f t="shared" si="77"/>
        <v>0.1111111111</v>
      </c>
      <c r="M264" s="247"/>
    </row>
    <row r="265" ht="15.75" customHeight="1">
      <c r="A265" s="248">
        <v>16.0</v>
      </c>
      <c r="B265" s="275" t="s">
        <v>1681</v>
      </c>
      <c r="C265" s="239" t="s">
        <v>109</v>
      </c>
      <c r="D265" s="254">
        <v>30.0</v>
      </c>
      <c r="E265" s="241"/>
      <c r="F265" s="242"/>
      <c r="G265" s="199">
        <v>21500.0</v>
      </c>
      <c r="H265" s="263">
        <f t="shared" si="74"/>
        <v>645000</v>
      </c>
      <c r="I265" s="281">
        <v>24000.0</v>
      </c>
      <c r="J265" s="264">
        <f t="shared" si="75"/>
        <v>720000</v>
      </c>
      <c r="K265" s="245">
        <f t="shared" si="76"/>
        <v>75000</v>
      </c>
      <c r="L265" s="246">
        <f t="shared" si="77"/>
        <v>0.1162790698</v>
      </c>
      <c r="M265" s="247"/>
    </row>
    <row r="266" ht="15.75" customHeight="1">
      <c r="A266" s="272" t="s">
        <v>1708</v>
      </c>
      <c r="B266" s="206"/>
      <c r="C266" s="206"/>
      <c r="D266" s="174"/>
      <c r="E266" s="257"/>
      <c r="F266" s="258">
        <f>SUMIF(F250:F265,"&lt;&gt;",F250:F265)</f>
        <v>0</v>
      </c>
      <c r="G266" s="259"/>
      <c r="H266" s="282">
        <f>SUMIF(H250:H265,"&lt;&gt;",H250:H265)</f>
        <v>18492167</v>
      </c>
      <c r="I266" s="283"/>
      <c r="J266" s="282">
        <f>SUMIF(J250:J265,"&lt;&gt;",J250:J265)</f>
        <v>21661500</v>
      </c>
      <c r="K266" s="261">
        <f t="shared" si="76"/>
        <v>3169333</v>
      </c>
      <c r="L266" s="262">
        <f t="shared" si="77"/>
        <v>0.1713878638</v>
      </c>
      <c r="M266" s="257"/>
    </row>
    <row r="267" ht="15.75" customHeight="1"/>
    <row r="268" ht="15.75" customHeight="1">
      <c r="A268" s="273" t="s">
        <v>1709</v>
      </c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6"/>
    </row>
    <row r="269" ht="15.75" customHeight="1">
      <c r="A269" s="229" t="s">
        <v>1509</v>
      </c>
      <c r="B269" s="229" t="s">
        <v>1510</v>
      </c>
      <c r="C269" s="229" t="s">
        <v>1511</v>
      </c>
      <c r="D269" s="229" t="s">
        <v>1614</v>
      </c>
      <c r="E269" s="230" t="s">
        <v>1615</v>
      </c>
      <c r="F269" s="174"/>
      <c r="G269" s="231" t="s">
        <v>1616</v>
      </c>
      <c r="H269" s="174"/>
      <c r="I269" s="232" t="s">
        <v>1617</v>
      </c>
      <c r="J269" s="174"/>
      <c r="K269" s="233" t="s">
        <v>1618</v>
      </c>
      <c r="L269" s="174"/>
      <c r="M269" s="229" t="s">
        <v>1619</v>
      </c>
    </row>
    <row r="270" ht="15.75" customHeight="1">
      <c r="A270" s="234" t="s">
        <v>1509</v>
      </c>
      <c r="B270" s="234" t="s">
        <v>1510</v>
      </c>
      <c r="C270" s="234" t="s">
        <v>1511</v>
      </c>
      <c r="D270" s="234" t="s">
        <v>1614</v>
      </c>
      <c r="E270" s="235" t="s">
        <v>1620</v>
      </c>
      <c r="F270" s="235" t="s">
        <v>1621</v>
      </c>
      <c r="G270" s="236"/>
      <c r="H270" s="236" t="s">
        <v>1623</v>
      </c>
      <c r="I270" s="237" t="s">
        <v>1624</v>
      </c>
      <c r="J270" s="237" t="s">
        <v>1625</v>
      </c>
      <c r="K270" s="238" t="s">
        <v>1626</v>
      </c>
      <c r="L270" s="238" t="s">
        <v>1627</v>
      </c>
      <c r="M270" s="234" t="s">
        <v>1619</v>
      </c>
    </row>
    <row r="271" ht="15.75" customHeight="1">
      <c r="A271" s="239">
        <v>1.0</v>
      </c>
      <c r="B271" s="275" t="s">
        <v>1527</v>
      </c>
      <c r="C271" s="239" t="s">
        <v>109</v>
      </c>
      <c r="D271" s="254">
        <v>125.0</v>
      </c>
      <c r="E271" s="241" t="str">
        <f>'Daftar Harga'!D234</f>
        <v/>
      </c>
      <c r="F271" s="242" t="str">
        <f t="shared" ref="F271:F283" si="78">IF(E271&lt;&gt;"",D271*E271,"")</f>
        <v/>
      </c>
      <c r="G271" s="199">
        <v>14500.0</v>
      </c>
      <c r="H271" s="243">
        <f t="shared" ref="H271:H285" si="79">IF(G271&lt;&gt;"",D271*G271,"")</f>
        <v>1812500</v>
      </c>
      <c r="I271" s="200">
        <v>15700.0</v>
      </c>
      <c r="J271" s="244">
        <f t="shared" ref="J271:J285" si="80">IF(I271&lt;&gt;"",D271*I271,"")</f>
        <v>1962500</v>
      </c>
      <c r="K271" s="245">
        <f t="shared" ref="K271:K286" si="81">IF(J271&lt;&gt;"",IF(H271&lt;&gt;"",J271-H271,IF(F271&lt;&gt;"",J271-F271,"")),"")</f>
        <v>150000</v>
      </c>
      <c r="L271" s="246">
        <f t="shared" ref="L271:L286" si="82">IF(K271&lt;&gt;"",IF(H271&lt;&gt;"",IF(H271&lt;&gt;0,K271/H271,""),IF(F271&lt;&gt;"",IF(F271&lt;&gt;0,K271/F271,""),"")),"")</f>
        <v>0.08275862069</v>
      </c>
      <c r="M271" s="247"/>
    </row>
    <row r="272" ht="15.75" customHeight="1">
      <c r="A272" s="248">
        <v>2.0</v>
      </c>
      <c r="B272" s="276" t="s">
        <v>1710</v>
      </c>
      <c r="C272" s="278" t="s">
        <v>69</v>
      </c>
      <c r="D272" s="277">
        <v>2550.0</v>
      </c>
      <c r="E272" s="241" t="str">
        <f>'Daftar Harga'!D242</f>
        <v/>
      </c>
      <c r="F272" s="242" t="str">
        <f t="shared" si="78"/>
        <v/>
      </c>
      <c r="G272" s="199">
        <v>3500.0</v>
      </c>
      <c r="H272" s="243">
        <f t="shared" si="79"/>
        <v>8925000</v>
      </c>
      <c r="I272" s="200">
        <v>3800.0</v>
      </c>
      <c r="J272" s="244">
        <f t="shared" si="80"/>
        <v>9690000</v>
      </c>
      <c r="K272" s="245">
        <f t="shared" si="81"/>
        <v>765000</v>
      </c>
      <c r="L272" s="246">
        <f t="shared" si="82"/>
        <v>0.08571428571</v>
      </c>
      <c r="M272" s="252"/>
    </row>
    <row r="273" ht="15.75" customHeight="1">
      <c r="A273" s="239">
        <v>3.0</v>
      </c>
      <c r="B273" s="275" t="s">
        <v>1601</v>
      </c>
      <c r="C273" s="278" t="s">
        <v>67</v>
      </c>
      <c r="D273" s="254">
        <v>130.0</v>
      </c>
      <c r="E273" s="241" t="str">
        <f>'Daftar Harga'!D253</f>
        <v/>
      </c>
      <c r="F273" s="242" t="str">
        <f t="shared" si="78"/>
        <v/>
      </c>
      <c r="G273" s="199">
        <v>12000.0</v>
      </c>
      <c r="H273" s="243">
        <f t="shared" si="79"/>
        <v>1560000</v>
      </c>
      <c r="I273" s="200">
        <v>14000.0</v>
      </c>
      <c r="J273" s="244">
        <f t="shared" si="80"/>
        <v>1820000</v>
      </c>
      <c r="K273" s="245">
        <f t="shared" si="81"/>
        <v>260000</v>
      </c>
      <c r="L273" s="246">
        <f t="shared" si="82"/>
        <v>0.1666666667</v>
      </c>
      <c r="M273" s="247"/>
    </row>
    <row r="274" ht="15.75" customHeight="1">
      <c r="A274" s="248">
        <v>4.0</v>
      </c>
      <c r="B274" s="276" t="s">
        <v>1677</v>
      </c>
      <c r="C274" s="278" t="s">
        <v>1676</v>
      </c>
      <c r="D274" s="277">
        <v>2.0</v>
      </c>
      <c r="E274" s="241" t="str">
        <f>'Daftar Harga'!D254</f>
        <v/>
      </c>
      <c r="F274" s="242" t="str">
        <f t="shared" si="78"/>
        <v/>
      </c>
      <c r="G274" s="199">
        <v>190000.0</v>
      </c>
      <c r="H274" s="243">
        <f t="shared" si="79"/>
        <v>380000</v>
      </c>
      <c r="I274" s="200">
        <v>210000.0</v>
      </c>
      <c r="J274" s="244">
        <f t="shared" si="80"/>
        <v>420000</v>
      </c>
      <c r="K274" s="250">
        <f t="shared" si="81"/>
        <v>40000</v>
      </c>
      <c r="L274" s="251">
        <f t="shared" si="82"/>
        <v>0.1052631579</v>
      </c>
      <c r="M274" s="252"/>
    </row>
    <row r="275" ht="15.75" customHeight="1">
      <c r="A275" s="239">
        <v>5.0</v>
      </c>
      <c r="B275" s="275" t="s">
        <v>1711</v>
      </c>
      <c r="C275" s="239" t="s">
        <v>109</v>
      </c>
      <c r="D275" s="254">
        <v>3.0</v>
      </c>
      <c r="E275" s="241" t="str">
        <f>'Daftar Harga'!D263</f>
        <v/>
      </c>
      <c r="F275" s="242" t="str">
        <f t="shared" si="78"/>
        <v/>
      </c>
      <c r="G275" s="199">
        <v>25000.0</v>
      </c>
      <c r="H275" s="243">
        <f t="shared" si="79"/>
        <v>75000</v>
      </c>
      <c r="I275" s="200">
        <v>35000.0</v>
      </c>
      <c r="J275" s="244">
        <f t="shared" si="80"/>
        <v>105000</v>
      </c>
      <c r="K275" s="245">
        <f t="shared" si="81"/>
        <v>30000</v>
      </c>
      <c r="L275" s="246">
        <f t="shared" si="82"/>
        <v>0.4</v>
      </c>
      <c r="M275" s="247"/>
    </row>
    <row r="276" ht="15.75" customHeight="1">
      <c r="A276" s="248">
        <v>6.0</v>
      </c>
      <c r="B276" s="276" t="s">
        <v>1696</v>
      </c>
      <c r="C276" s="239" t="s">
        <v>109</v>
      </c>
      <c r="D276" s="277">
        <v>2.0</v>
      </c>
      <c r="E276" s="241" t="str">
        <f>'Daftar Harga'!D284</f>
        <v/>
      </c>
      <c r="F276" s="242" t="str">
        <f t="shared" si="78"/>
        <v/>
      </c>
      <c r="G276" s="199">
        <v>32000.0</v>
      </c>
      <c r="H276" s="243">
        <f t="shared" si="79"/>
        <v>64000</v>
      </c>
      <c r="I276" s="200">
        <v>50000.0</v>
      </c>
      <c r="J276" s="244">
        <f t="shared" si="80"/>
        <v>100000</v>
      </c>
      <c r="K276" s="250">
        <f t="shared" si="81"/>
        <v>36000</v>
      </c>
      <c r="L276" s="251">
        <f t="shared" si="82"/>
        <v>0.5625</v>
      </c>
      <c r="M276" s="252"/>
    </row>
    <row r="277" ht="15.75" customHeight="1">
      <c r="A277" s="239">
        <v>7.0</v>
      </c>
      <c r="B277" s="275" t="s">
        <v>1640</v>
      </c>
      <c r="C277" s="239" t="s">
        <v>109</v>
      </c>
      <c r="D277" s="254">
        <v>3.0</v>
      </c>
      <c r="E277" s="267"/>
      <c r="F277" s="268" t="str">
        <f t="shared" si="78"/>
        <v/>
      </c>
      <c r="G277" s="199">
        <v>45000.0</v>
      </c>
      <c r="H277" s="243">
        <f t="shared" si="79"/>
        <v>135000</v>
      </c>
      <c r="I277" s="200">
        <v>54000.0</v>
      </c>
      <c r="J277" s="244">
        <f t="shared" si="80"/>
        <v>162000</v>
      </c>
      <c r="K277" s="245">
        <f t="shared" si="81"/>
        <v>27000</v>
      </c>
      <c r="L277" s="246">
        <f t="shared" si="82"/>
        <v>0.2</v>
      </c>
      <c r="M277" s="247"/>
    </row>
    <row r="278" ht="15.75" customHeight="1">
      <c r="A278" s="248">
        <v>8.0</v>
      </c>
      <c r="B278" s="276" t="s">
        <v>1641</v>
      </c>
      <c r="C278" s="239" t="s">
        <v>109</v>
      </c>
      <c r="D278" s="277">
        <v>3.0</v>
      </c>
      <c r="E278" s="241" t="str">
        <f>'Daftar Harga'!D298</f>
        <v/>
      </c>
      <c r="F278" s="242" t="str">
        <f t="shared" si="78"/>
        <v/>
      </c>
      <c r="G278" s="199">
        <v>40000.0</v>
      </c>
      <c r="H278" s="243">
        <f t="shared" si="79"/>
        <v>120000</v>
      </c>
      <c r="I278" s="200">
        <v>45000.0</v>
      </c>
      <c r="J278" s="244">
        <f t="shared" si="80"/>
        <v>135000</v>
      </c>
      <c r="K278" s="250">
        <f t="shared" si="81"/>
        <v>15000</v>
      </c>
      <c r="L278" s="251">
        <f t="shared" si="82"/>
        <v>0.125</v>
      </c>
      <c r="M278" s="252"/>
    </row>
    <row r="279" ht="15.75" customHeight="1">
      <c r="A279" s="239">
        <v>9.0</v>
      </c>
      <c r="B279" s="275" t="s">
        <v>1609</v>
      </c>
      <c r="C279" s="239" t="s">
        <v>109</v>
      </c>
      <c r="D279" s="254">
        <v>20.0</v>
      </c>
      <c r="E279" s="241" t="str">
        <f>'Daftar Harga'!D299</f>
        <v/>
      </c>
      <c r="F279" s="242" t="str">
        <f t="shared" si="78"/>
        <v/>
      </c>
      <c r="G279" s="199">
        <v>15000.0</v>
      </c>
      <c r="H279" s="243">
        <f t="shared" si="79"/>
        <v>300000</v>
      </c>
      <c r="I279" s="200">
        <v>17000.0</v>
      </c>
      <c r="J279" s="244">
        <f t="shared" si="80"/>
        <v>340000</v>
      </c>
      <c r="K279" s="245">
        <f t="shared" si="81"/>
        <v>40000</v>
      </c>
      <c r="L279" s="246">
        <f t="shared" si="82"/>
        <v>0.1333333333</v>
      </c>
      <c r="M279" s="247"/>
    </row>
    <row r="280" ht="15.75" customHeight="1">
      <c r="A280" s="248">
        <v>10.0</v>
      </c>
      <c r="B280" s="276" t="s">
        <v>1712</v>
      </c>
      <c r="C280" s="239" t="s">
        <v>109</v>
      </c>
      <c r="D280" s="277">
        <v>30.0</v>
      </c>
      <c r="E280" s="241" t="str">
        <f>'Daftar Harga'!D301</f>
        <v/>
      </c>
      <c r="F280" s="242" t="str">
        <f t="shared" si="78"/>
        <v/>
      </c>
      <c r="G280" s="199">
        <v>9000.0</v>
      </c>
      <c r="H280" s="243">
        <f t="shared" si="79"/>
        <v>270000</v>
      </c>
      <c r="I280" s="200">
        <v>12000.0</v>
      </c>
      <c r="J280" s="244">
        <f t="shared" si="80"/>
        <v>360000</v>
      </c>
      <c r="K280" s="250">
        <f t="shared" si="81"/>
        <v>90000</v>
      </c>
      <c r="L280" s="251">
        <f t="shared" si="82"/>
        <v>0.3333333333</v>
      </c>
      <c r="M280" s="252"/>
    </row>
    <row r="281" ht="15.75" customHeight="1">
      <c r="A281" s="239">
        <v>11.0</v>
      </c>
      <c r="B281" s="275" t="s">
        <v>1567</v>
      </c>
      <c r="C281" s="239" t="s">
        <v>109</v>
      </c>
      <c r="D281" s="254">
        <v>70.0</v>
      </c>
      <c r="E281" s="267"/>
      <c r="F281" s="268" t="str">
        <f t="shared" si="78"/>
        <v/>
      </c>
      <c r="G281" s="199">
        <v>7500.0</v>
      </c>
      <c r="H281" s="243">
        <f t="shared" si="79"/>
        <v>525000</v>
      </c>
      <c r="I281" s="200">
        <v>12000.0</v>
      </c>
      <c r="J281" s="244">
        <f t="shared" si="80"/>
        <v>840000</v>
      </c>
      <c r="K281" s="245">
        <f t="shared" si="81"/>
        <v>315000</v>
      </c>
      <c r="L281" s="246">
        <f t="shared" si="82"/>
        <v>0.6</v>
      </c>
      <c r="M281" s="247"/>
    </row>
    <row r="282" ht="15.75" customHeight="1">
      <c r="A282" s="248">
        <v>12.0</v>
      </c>
      <c r="B282" s="276" t="s">
        <v>1563</v>
      </c>
      <c r="C282" s="239" t="s">
        <v>109</v>
      </c>
      <c r="D282" s="277">
        <v>2.0</v>
      </c>
      <c r="E282" s="241" t="str">
        <f>'Daftar Harga'!D322</f>
        <v/>
      </c>
      <c r="F282" s="242" t="str">
        <f t="shared" si="78"/>
        <v/>
      </c>
      <c r="G282" s="199">
        <v>46000.0</v>
      </c>
      <c r="H282" s="243">
        <f t="shared" si="79"/>
        <v>92000</v>
      </c>
      <c r="I282" s="200">
        <v>55000.0</v>
      </c>
      <c r="J282" s="244">
        <f t="shared" si="80"/>
        <v>110000</v>
      </c>
      <c r="K282" s="250">
        <f t="shared" si="81"/>
        <v>18000</v>
      </c>
      <c r="L282" s="251">
        <f t="shared" si="82"/>
        <v>0.1956521739</v>
      </c>
      <c r="M282" s="252"/>
    </row>
    <row r="283" ht="15.75" customHeight="1">
      <c r="A283" s="239">
        <v>13.0</v>
      </c>
      <c r="B283" s="275" t="s">
        <v>1713</v>
      </c>
      <c r="C283" s="239" t="s">
        <v>109</v>
      </c>
      <c r="D283" s="254">
        <v>1.0</v>
      </c>
      <c r="E283" s="241" t="str">
        <f>'Daftar Harga'!D326</f>
        <v/>
      </c>
      <c r="F283" s="242" t="str">
        <f t="shared" si="78"/>
        <v/>
      </c>
      <c r="G283" s="199">
        <v>160000.0</v>
      </c>
      <c r="H283" s="243">
        <f t="shared" si="79"/>
        <v>160000</v>
      </c>
      <c r="I283" s="200">
        <v>180000.0</v>
      </c>
      <c r="J283" s="244">
        <f t="shared" si="80"/>
        <v>180000</v>
      </c>
      <c r="K283" s="245">
        <f t="shared" si="81"/>
        <v>20000</v>
      </c>
      <c r="L283" s="246">
        <f t="shared" si="82"/>
        <v>0.125</v>
      </c>
      <c r="M283" s="247"/>
    </row>
    <row r="284" ht="15.75" customHeight="1">
      <c r="A284" s="248">
        <v>14.0</v>
      </c>
      <c r="B284" s="275" t="s">
        <v>1171</v>
      </c>
      <c r="C284" s="239" t="s">
        <v>109</v>
      </c>
      <c r="D284" s="254">
        <v>270.0</v>
      </c>
      <c r="E284" s="241"/>
      <c r="F284" s="242"/>
      <c r="G284" s="199">
        <v>25000.0</v>
      </c>
      <c r="H284" s="243">
        <f t="shared" si="79"/>
        <v>6750000</v>
      </c>
      <c r="I284" s="200">
        <v>27500.0</v>
      </c>
      <c r="J284" s="244">
        <f t="shared" si="80"/>
        <v>7425000</v>
      </c>
      <c r="K284" s="245">
        <f t="shared" si="81"/>
        <v>675000</v>
      </c>
      <c r="L284" s="246">
        <f t="shared" si="82"/>
        <v>0.1</v>
      </c>
      <c r="M284" s="247"/>
    </row>
    <row r="285" ht="15.75" customHeight="1">
      <c r="A285" s="239">
        <v>15.0</v>
      </c>
      <c r="B285" s="275" t="s">
        <v>1681</v>
      </c>
      <c r="C285" s="278" t="s">
        <v>1714</v>
      </c>
      <c r="D285" s="254">
        <v>30.0</v>
      </c>
      <c r="E285" s="241"/>
      <c r="F285" s="242"/>
      <c r="G285" s="199">
        <v>21750.0</v>
      </c>
      <c r="H285" s="243">
        <f t="shared" si="79"/>
        <v>652500</v>
      </c>
      <c r="I285" s="200">
        <v>24000.0</v>
      </c>
      <c r="J285" s="244">
        <f t="shared" si="80"/>
        <v>720000</v>
      </c>
      <c r="K285" s="245">
        <f t="shared" si="81"/>
        <v>67500</v>
      </c>
      <c r="L285" s="246">
        <f t="shared" si="82"/>
        <v>0.1034482759</v>
      </c>
      <c r="M285" s="247"/>
    </row>
    <row r="286" ht="15.75" customHeight="1">
      <c r="A286" s="272" t="s">
        <v>1715</v>
      </c>
      <c r="B286" s="206"/>
      <c r="C286" s="206"/>
      <c r="D286" s="174"/>
      <c r="E286" s="257"/>
      <c r="F286" s="258">
        <f>SUMIF(F271:F285,"&lt;&gt;",F271:F285)</f>
        <v>0</v>
      </c>
      <c r="G286" s="259"/>
      <c r="H286" s="282">
        <f>SUMIF(H271:H285,"&lt;&gt;",H271:H285)</f>
        <v>21821000</v>
      </c>
      <c r="I286" s="283"/>
      <c r="J286" s="282">
        <f>SUMIF(J271:J285,"&lt;&gt;",J271:J285)</f>
        <v>24369500</v>
      </c>
      <c r="K286" s="261">
        <f t="shared" si="81"/>
        <v>2548500</v>
      </c>
      <c r="L286" s="262">
        <f t="shared" si="82"/>
        <v>0.1167911645</v>
      </c>
      <c r="M286" s="257"/>
    </row>
    <row r="287" ht="15.75" customHeight="1"/>
    <row r="288" ht="15.75" customHeight="1">
      <c r="A288" s="273" t="s">
        <v>1716</v>
      </c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6"/>
    </row>
    <row r="289" ht="15.75" customHeight="1">
      <c r="A289" s="229" t="s">
        <v>1509</v>
      </c>
      <c r="B289" s="229" t="s">
        <v>1510</v>
      </c>
      <c r="C289" s="229" t="s">
        <v>1511</v>
      </c>
      <c r="D289" s="229" t="s">
        <v>1614</v>
      </c>
      <c r="E289" s="230" t="s">
        <v>1615</v>
      </c>
      <c r="F289" s="174"/>
      <c r="G289" s="231" t="s">
        <v>1616</v>
      </c>
      <c r="H289" s="174"/>
      <c r="I289" s="232" t="s">
        <v>1617</v>
      </c>
      <c r="J289" s="174"/>
      <c r="K289" s="233" t="s">
        <v>1618</v>
      </c>
      <c r="L289" s="174"/>
      <c r="M289" s="229" t="s">
        <v>1619</v>
      </c>
    </row>
    <row r="290" ht="15.75" customHeight="1">
      <c r="A290" s="234" t="s">
        <v>1509</v>
      </c>
      <c r="B290" s="234" t="s">
        <v>1510</v>
      </c>
      <c r="C290" s="234" t="s">
        <v>1511</v>
      </c>
      <c r="D290" s="234" t="s">
        <v>1614</v>
      </c>
      <c r="E290" s="235" t="s">
        <v>1620</v>
      </c>
      <c r="F290" s="235" t="s">
        <v>1621</v>
      </c>
      <c r="G290" s="236"/>
      <c r="H290" s="236" t="s">
        <v>1623</v>
      </c>
      <c r="I290" s="237" t="s">
        <v>1624</v>
      </c>
      <c r="J290" s="237" t="s">
        <v>1625</v>
      </c>
      <c r="K290" s="238" t="s">
        <v>1626</v>
      </c>
      <c r="L290" s="238" t="s">
        <v>1627</v>
      </c>
      <c r="M290" s="234" t="s">
        <v>1619</v>
      </c>
    </row>
    <row r="291" ht="15.75" customHeight="1">
      <c r="A291" s="239">
        <v>1.0</v>
      </c>
      <c r="B291" s="275" t="s">
        <v>1527</v>
      </c>
      <c r="C291" s="239" t="s">
        <v>109</v>
      </c>
      <c r="D291" s="254">
        <v>125.0</v>
      </c>
      <c r="E291" s="241" t="str">
        <f>'Daftar Harga'!D254</f>
        <v/>
      </c>
      <c r="F291" s="242" t="str">
        <f t="shared" ref="F291:F303" si="83">IF(E291&lt;&gt;"",D291*E291,"")</f>
        <v/>
      </c>
      <c r="G291" s="199">
        <v>14500.0</v>
      </c>
      <c r="H291" s="243">
        <f t="shared" ref="H291:H306" si="84">IF(G291&lt;&gt;"",D291*G291,"")</f>
        <v>1812500</v>
      </c>
      <c r="I291" s="200">
        <v>15700.0</v>
      </c>
      <c r="J291" s="244">
        <f t="shared" ref="J291:J306" si="85">IF(I291&lt;&gt;"",D291*I291,"")</f>
        <v>1962500</v>
      </c>
      <c r="K291" s="245">
        <f t="shared" ref="K291:K307" si="86">IF(J291&lt;&gt;"",IF(H291&lt;&gt;"",J291-H291,IF(F291&lt;&gt;"",J291-F291,"")),"")</f>
        <v>150000</v>
      </c>
      <c r="L291" s="246">
        <f t="shared" ref="L291:L307" si="87">IF(K291&lt;&gt;"",IF(H291&lt;&gt;"",IF(H291&lt;&gt;0,K291/H291,""),IF(F291&lt;&gt;"",IF(F291&lt;&gt;0,K291/F291,""),"")),"")</f>
        <v>0.08275862069</v>
      </c>
      <c r="M291" s="247"/>
    </row>
    <row r="292" ht="15.75" customHeight="1">
      <c r="A292" s="248">
        <v>2.0</v>
      </c>
      <c r="B292" s="276" t="s">
        <v>1600</v>
      </c>
      <c r="C292" s="239" t="s">
        <v>109</v>
      </c>
      <c r="D292" s="277">
        <v>158.5</v>
      </c>
      <c r="E292" s="241" t="str">
        <f>'Daftar Harga'!D262</f>
        <v/>
      </c>
      <c r="F292" s="242" t="str">
        <f t="shared" si="83"/>
        <v/>
      </c>
      <c r="G292" s="199">
        <v>24500.0</v>
      </c>
      <c r="H292" s="243">
        <f t="shared" si="84"/>
        <v>3883250</v>
      </c>
      <c r="I292" s="200">
        <v>27000.0</v>
      </c>
      <c r="J292" s="244">
        <f t="shared" si="85"/>
        <v>4279500</v>
      </c>
      <c r="K292" s="245">
        <f t="shared" si="86"/>
        <v>396250</v>
      </c>
      <c r="L292" s="246">
        <f t="shared" si="87"/>
        <v>0.1020408163</v>
      </c>
      <c r="M292" s="252"/>
    </row>
    <row r="293" ht="15.75" customHeight="1">
      <c r="A293" s="239">
        <v>3.0</v>
      </c>
      <c r="B293" s="275" t="s">
        <v>1717</v>
      </c>
      <c r="C293" s="239" t="s">
        <v>109</v>
      </c>
      <c r="D293" s="254">
        <v>2.0</v>
      </c>
      <c r="E293" s="241" t="str">
        <f>'Daftar Harga'!D273</f>
        <v/>
      </c>
      <c r="F293" s="242" t="str">
        <f t="shared" si="83"/>
        <v/>
      </c>
      <c r="G293" s="199">
        <v>56667.0</v>
      </c>
      <c r="H293" s="243">
        <f t="shared" si="84"/>
        <v>113334</v>
      </c>
      <c r="I293" s="200">
        <v>65000.0</v>
      </c>
      <c r="J293" s="244">
        <f t="shared" si="85"/>
        <v>130000</v>
      </c>
      <c r="K293" s="245">
        <f t="shared" si="86"/>
        <v>16666</v>
      </c>
      <c r="L293" s="246">
        <f t="shared" si="87"/>
        <v>0.1470520762</v>
      </c>
      <c r="M293" s="247"/>
    </row>
    <row r="294" ht="15.75" customHeight="1">
      <c r="A294" s="248">
        <v>4.0</v>
      </c>
      <c r="B294" s="276" t="s">
        <v>1718</v>
      </c>
      <c r="C294" s="239" t="s">
        <v>109</v>
      </c>
      <c r="D294" s="277">
        <v>2550.0</v>
      </c>
      <c r="E294" s="241" t="str">
        <f>'Daftar Harga'!D274</f>
        <v/>
      </c>
      <c r="F294" s="242" t="str">
        <f t="shared" si="83"/>
        <v/>
      </c>
      <c r="G294" s="199">
        <v>417.0</v>
      </c>
      <c r="H294" s="243">
        <f t="shared" si="84"/>
        <v>1063350</v>
      </c>
      <c r="I294" s="200">
        <v>500.0</v>
      </c>
      <c r="J294" s="244">
        <f t="shared" si="85"/>
        <v>1275000</v>
      </c>
      <c r="K294" s="250">
        <f t="shared" si="86"/>
        <v>211650</v>
      </c>
      <c r="L294" s="251">
        <f t="shared" si="87"/>
        <v>0.1990407674</v>
      </c>
      <c r="M294" s="252"/>
    </row>
    <row r="295" ht="15.75" customHeight="1">
      <c r="A295" s="239">
        <v>5.0</v>
      </c>
      <c r="B295" s="275" t="s">
        <v>1607</v>
      </c>
      <c r="C295" s="239" t="s">
        <v>109</v>
      </c>
      <c r="D295" s="254">
        <v>80.0</v>
      </c>
      <c r="E295" s="241" t="str">
        <f>'Daftar Harga'!D283</f>
        <v/>
      </c>
      <c r="F295" s="242" t="str">
        <f t="shared" si="83"/>
        <v/>
      </c>
      <c r="G295" s="199">
        <v>8000.0</v>
      </c>
      <c r="H295" s="243">
        <f t="shared" si="84"/>
        <v>640000</v>
      </c>
      <c r="I295" s="200">
        <v>12000.0</v>
      </c>
      <c r="J295" s="244">
        <f t="shared" si="85"/>
        <v>960000</v>
      </c>
      <c r="K295" s="245">
        <f t="shared" si="86"/>
        <v>320000</v>
      </c>
      <c r="L295" s="246">
        <f t="shared" si="87"/>
        <v>0.5</v>
      </c>
      <c r="M295" s="247"/>
    </row>
    <row r="296" ht="15.75" customHeight="1">
      <c r="A296" s="248">
        <v>6.0</v>
      </c>
      <c r="B296" s="276" t="s">
        <v>1609</v>
      </c>
      <c r="C296" s="239" t="s">
        <v>109</v>
      </c>
      <c r="D296" s="277">
        <v>30.0</v>
      </c>
      <c r="E296" s="241" t="str">
        <f>'Daftar Harga'!D304</f>
        <v/>
      </c>
      <c r="F296" s="242" t="str">
        <f t="shared" si="83"/>
        <v/>
      </c>
      <c r="G296" s="199">
        <v>16000.0</v>
      </c>
      <c r="H296" s="243">
        <f t="shared" si="84"/>
        <v>480000</v>
      </c>
      <c r="I296" s="200">
        <v>17000.0</v>
      </c>
      <c r="J296" s="244">
        <f t="shared" si="85"/>
        <v>510000</v>
      </c>
      <c r="K296" s="250">
        <f t="shared" si="86"/>
        <v>30000</v>
      </c>
      <c r="L296" s="251">
        <f t="shared" si="87"/>
        <v>0.0625</v>
      </c>
      <c r="M296" s="252"/>
    </row>
    <row r="297" ht="15.75" customHeight="1">
      <c r="A297" s="239">
        <v>7.0</v>
      </c>
      <c r="B297" s="275" t="s">
        <v>108</v>
      </c>
      <c r="C297" s="239" t="s">
        <v>109</v>
      </c>
      <c r="D297" s="254">
        <v>10.0</v>
      </c>
      <c r="E297" s="267"/>
      <c r="F297" s="268" t="str">
        <f t="shared" si="83"/>
        <v/>
      </c>
      <c r="G297" s="199">
        <v>60000.0</v>
      </c>
      <c r="H297" s="243">
        <f t="shared" si="84"/>
        <v>600000</v>
      </c>
      <c r="I297" s="200">
        <v>75000.0</v>
      </c>
      <c r="J297" s="244">
        <f t="shared" si="85"/>
        <v>750000</v>
      </c>
      <c r="K297" s="245">
        <f t="shared" si="86"/>
        <v>150000</v>
      </c>
      <c r="L297" s="246">
        <f t="shared" si="87"/>
        <v>0.25</v>
      </c>
      <c r="M297" s="247"/>
    </row>
    <row r="298" ht="15.75" customHeight="1">
      <c r="A298" s="248">
        <v>8.0</v>
      </c>
      <c r="B298" s="276" t="s">
        <v>1601</v>
      </c>
      <c r="C298" s="239" t="s">
        <v>109</v>
      </c>
      <c r="D298" s="277">
        <v>65.0</v>
      </c>
      <c r="E298" s="241" t="str">
        <f>'Daftar Harga'!D318</f>
        <v/>
      </c>
      <c r="F298" s="242" t="str">
        <f t="shared" si="83"/>
        <v/>
      </c>
      <c r="G298" s="199">
        <v>12000.0</v>
      </c>
      <c r="H298" s="243">
        <f t="shared" si="84"/>
        <v>780000</v>
      </c>
      <c r="I298" s="200">
        <v>14000.0</v>
      </c>
      <c r="J298" s="244">
        <f t="shared" si="85"/>
        <v>910000</v>
      </c>
      <c r="K298" s="250">
        <f t="shared" si="86"/>
        <v>130000</v>
      </c>
      <c r="L298" s="251">
        <f t="shared" si="87"/>
        <v>0.1666666667</v>
      </c>
      <c r="M298" s="252"/>
    </row>
    <row r="299" ht="15.75" customHeight="1">
      <c r="A299" s="239">
        <v>9.0</v>
      </c>
      <c r="B299" s="275" t="s">
        <v>1344</v>
      </c>
      <c r="C299" s="239" t="s">
        <v>109</v>
      </c>
      <c r="D299" s="254">
        <v>1300.0</v>
      </c>
      <c r="E299" s="241" t="str">
        <f>'Daftar Harga'!D319</f>
        <v/>
      </c>
      <c r="F299" s="242" t="str">
        <f t="shared" si="83"/>
        <v/>
      </c>
      <c r="G299" s="199">
        <v>480.0</v>
      </c>
      <c r="H299" s="243">
        <f t="shared" si="84"/>
        <v>624000</v>
      </c>
      <c r="I299" s="200">
        <v>700.0</v>
      </c>
      <c r="J299" s="244">
        <f t="shared" si="85"/>
        <v>910000</v>
      </c>
      <c r="K299" s="245">
        <f t="shared" si="86"/>
        <v>286000</v>
      </c>
      <c r="L299" s="246">
        <f t="shared" si="87"/>
        <v>0.4583333333</v>
      </c>
      <c r="M299" s="247"/>
    </row>
    <row r="300" ht="15.75" customHeight="1">
      <c r="A300" s="248">
        <v>10.0</v>
      </c>
      <c r="B300" s="276" t="s">
        <v>1152</v>
      </c>
      <c r="C300" s="239" t="s">
        <v>109</v>
      </c>
      <c r="D300" s="277">
        <v>2550.0</v>
      </c>
      <c r="E300" s="241" t="str">
        <f>'Daftar Harga'!D321</f>
        <v/>
      </c>
      <c r="F300" s="242" t="str">
        <f t="shared" si="83"/>
        <v/>
      </c>
      <c r="G300" s="199">
        <v>1800.0</v>
      </c>
      <c r="H300" s="243">
        <f t="shared" si="84"/>
        <v>4590000</v>
      </c>
      <c r="I300" s="200">
        <v>2000.0</v>
      </c>
      <c r="J300" s="244">
        <f t="shared" si="85"/>
        <v>5100000</v>
      </c>
      <c r="K300" s="250">
        <f t="shared" si="86"/>
        <v>510000</v>
      </c>
      <c r="L300" s="251">
        <f t="shared" si="87"/>
        <v>0.1111111111</v>
      </c>
      <c r="M300" s="252"/>
    </row>
    <row r="301" ht="15.75" customHeight="1">
      <c r="A301" s="239">
        <v>11.0</v>
      </c>
      <c r="B301" s="275" t="s">
        <v>1696</v>
      </c>
      <c r="C301" s="239" t="s">
        <v>109</v>
      </c>
      <c r="D301" s="254">
        <v>3.0</v>
      </c>
      <c r="E301" s="267"/>
      <c r="F301" s="268" t="str">
        <f t="shared" si="83"/>
        <v/>
      </c>
      <c r="G301" s="199">
        <v>35000.0</v>
      </c>
      <c r="H301" s="243">
        <f t="shared" si="84"/>
        <v>105000</v>
      </c>
      <c r="I301" s="200">
        <v>65000.0</v>
      </c>
      <c r="J301" s="244">
        <f t="shared" si="85"/>
        <v>195000</v>
      </c>
      <c r="K301" s="245">
        <f t="shared" si="86"/>
        <v>90000</v>
      </c>
      <c r="L301" s="246">
        <f t="shared" si="87"/>
        <v>0.8571428571</v>
      </c>
      <c r="M301" s="247"/>
    </row>
    <row r="302" ht="15.75" customHeight="1">
      <c r="A302" s="248">
        <v>12.0</v>
      </c>
      <c r="B302" s="276" t="s">
        <v>1719</v>
      </c>
      <c r="C302" s="239" t="s">
        <v>109</v>
      </c>
      <c r="D302" s="277">
        <v>3.0</v>
      </c>
      <c r="E302" s="241" t="str">
        <f>'Daftar Harga'!D342</f>
        <v/>
      </c>
      <c r="F302" s="242" t="str">
        <f t="shared" si="83"/>
        <v/>
      </c>
      <c r="G302" s="199">
        <v>65000.0</v>
      </c>
      <c r="H302" s="243">
        <f t="shared" si="84"/>
        <v>195000</v>
      </c>
      <c r="I302" s="200">
        <v>70000.0</v>
      </c>
      <c r="J302" s="244">
        <f t="shared" si="85"/>
        <v>210000</v>
      </c>
      <c r="K302" s="250">
        <f t="shared" si="86"/>
        <v>15000</v>
      </c>
      <c r="L302" s="251">
        <f t="shared" si="87"/>
        <v>0.07692307692</v>
      </c>
      <c r="M302" s="252"/>
    </row>
    <row r="303" ht="15.75" customHeight="1">
      <c r="A303" s="239">
        <v>13.0</v>
      </c>
      <c r="B303" s="275" t="s">
        <v>1640</v>
      </c>
      <c r="C303" s="239" t="s">
        <v>109</v>
      </c>
      <c r="D303" s="254">
        <v>3.0</v>
      </c>
      <c r="E303" s="241" t="str">
        <f>'Daftar Harga'!D346</f>
        <v/>
      </c>
      <c r="F303" s="242" t="str">
        <f t="shared" si="83"/>
        <v/>
      </c>
      <c r="G303" s="199">
        <v>45000.0</v>
      </c>
      <c r="H303" s="243">
        <f t="shared" si="84"/>
        <v>135000</v>
      </c>
      <c r="I303" s="200">
        <v>54000.0</v>
      </c>
      <c r="J303" s="244">
        <f t="shared" si="85"/>
        <v>162000</v>
      </c>
      <c r="K303" s="245">
        <f t="shared" si="86"/>
        <v>27000</v>
      </c>
      <c r="L303" s="246">
        <f t="shared" si="87"/>
        <v>0.2</v>
      </c>
      <c r="M303" s="247"/>
    </row>
    <row r="304" ht="15.75" customHeight="1">
      <c r="A304" s="248">
        <v>14.0</v>
      </c>
      <c r="B304" s="275" t="s">
        <v>1641</v>
      </c>
      <c r="C304" s="239" t="s">
        <v>109</v>
      </c>
      <c r="D304" s="254">
        <v>3.0</v>
      </c>
      <c r="E304" s="241"/>
      <c r="F304" s="242"/>
      <c r="G304" s="199">
        <v>40000.0</v>
      </c>
      <c r="H304" s="243">
        <f t="shared" si="84"/>
        <v>120000</v>
      </c>
      <c r="I304" s="200">
        <v>45000.0</v>
      </c>
      <c r="J304" s="244">
        <f t="shared" si="85"/>
        <v>135000</v>
      </c>
      <c r="K304" s="245">
        <f t="shared" si="86"/>
        <v>15000</v>
      </c>
      <c r="L304" s="246">
        <f t="shared" si="87"/>
        <v>0.125</v>
      </c>
      <c r="M304" s="247"/>
    </row>
    <row r="305" ht="15.75" customHeight="1">
      <c r="A305" s="278">
        <v>15.0</v>
      </c>
      <c r="B305" s="275" t="s">
        <v>1720</v>
      </c>
      <c r="C305" s="239" t="s">
        <v>109</v>
      </c>
      <c r="D305" s="254">
        <v>0.5</v>
      </c>
      <c r="E305" s="241"/>
      <c r="F305" s="242"/>
      <c r="G305" s="199">
        <v>290000.0</v>
      </c>
      <c r="H305" s="243">
        <f t="shared" si="84"/>
        <v>145000</v>
      </c>
      <c r="I305" s="200">
        <v>310000.0</v>
      </c>
      <c r="J305" s="244">
        <f t="shared" si="85"/>
        <v>155000</v>
      </c>
      <c r="K305" s="245">
        <f t="shared" si="86"/>
        <v>10000</v>
      </c>
      <c r="L305" s="246">
        <f t="shared" si="87"/>
        <v>0.06896551724</v>
      </c>
      <c r="M305" s="247"/>
    </row>
    <row r="306" ht="15.75" customHeight="1">
      <c r="A306" s="278">
        <v>16.0</v>
      </c>
      <c r="B306" s="275" t="s">
        <v>1681</v>
      </c>
      <c r="C306" s="239" t="s">
        <v>109</v>
      </c>
      <c r="D306" s="254">
        <v>30.0</v>
      </c>
      <c r="E306" s="241"/>
      <c r="F306" s="242"/>
      <c r="G306" s="199">
        <v>21750.0</v>
      </c>
      <c r="H306" s="243">
        <f t="shared" si="84"/>
        <v>652500</v>
      </c>
      <c r="I306" s="200">
        <v>24000.0</v>
      </c>
      <c r="J306" s="244">
        <f t="shared" si="85"/>
        <v>720000</v>
      </c>
      <c r="K306" s="245">
        <f t="shared" si="86"/>
        <v>67500</v>
      </c>
      <c r="L306" s="246">
        <f t="shared" si="87"/>
        <v>0.1034482759</v>
      </c>
      <c r="M306" s="247"/>
    </row>
    <row r="307" ht="15.75" customHeight="1">
      <c r="A307" s="272" t="s">
        <v>1721</v>
      </c>
      <c r="B307" s="206"/>
      <c r="C307" s="206"/>
      <c r="D307" s="174"/>
      <c r="E307" s="257"/>
      <c r="F307" s="258">
        <f>SUMIF(F291:F306,"&lt;&gt;",F291:F306)</f>
        <v>0</v>
      </c>
      <c r="G307" s="259"/>
      <c r="H307" s="282">
        <f>SUMIF(H291:H306,"&lt;&gt;",H291:H306)</f>
        <v>15938934</v>
      </c>
      <c r="I307" s="283"/>
      <c r="J307" s="282">
        <f>SUMIF(J291:J306,"&lt;&gt;",J291:J306)</f>
        <v>18364000</v>
      </c>
      <c r="K307" s="261">
        <f t="shared" si="86"/>
        <v>2425066</v>
      </c>
      <c r="L307" s="262">
        <f t="shared" si="87"/>
        <v>0.1521473142</v>
      </c>
      <c r="M307" s="257"/>
    </row>
    <row r="308" ht="15.75" customHeight="1"/>
    <row r="309" ht="15.75" customHeight="1">
      <c r="A309" s="273" t="s">
        <v>1722</v>
      </c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6"/>
    </row>
    <row r="310" ht="15.75" customHeight="1">
      <c r="A310" s="229" t="s">
        <v>1509</v>
      </c>
      <c r="B310" s="229" t="s">
        <v>1510</v>
      </c>
      <c r="C310" s="229" t="s">
        <v>1511</v>
      </c>
      <c r="D310" s="229" t="s">
        <v>1614</v>
      </c>
      <c r="E310" s="230" t="s">
        <v>1615</v>
      </c>
      <c r="F310" s="174"/>
      <c r="G310" s="231" t="s">
        <v>1616</v>
      </c>
      <c r="H310" s="174"/>
      <c r="I310" s="232" t="s">
        <v>1617</v>
      </c>
      <c r="J310" s="174"/>
      <c r="K310" s="233" t="s">
        <v>1618</v>
      </c>
      <c r="L310" s="174"/>
      <c r="M310" s="229" t="s">
        <v>1619</v>
      </c>
    </row>
    <row r="311" ht="15.75" customHeight="1">
      <c r="A311" s="234" t="s">
        <v>1509</v>
      </c>
      <c r="B311" s="234" t="s">
        <v>1510</v>
      </c>
      <c r="C311" s="234" t="s">
        <v>1511</v>
      </c>
      <c r="D311" s="234" t="s">
        <v>1614</v>
      </c>
      <c r="E311" s="235" t="s">
        <v>1620</v>
      </c>
      <c r="F311" s="235" t="s">
        <v>1621</v>
      </c>
      <c r="G311" s="236"/>
      <c r="H311" s="236" t="s">
        <v>1623</v>
      </c>
      <c r="I311" s="237" t="s">
        <v>1624</v>
      </c>
      <c r="J311" s="237" t="s">
        <v>1625</v>
      </c>
      <c r="K311" s="238" t="s">
        <v>1626</v>
      </c>
      <c r="L311" s="238" t="s">
        <v>1627</v>
      </c>
      <c r="M311" s="234" t="s">
        <v>1619</v>
      </c>
    </row>
    <row r="312" ht="15.75" customHeight="1">
      <c r="A312" s="239">
        <v>1.0</v>
      </c>
      <c r="B312" s="275" t="s">
        <v>1723</v>
      </c>
      <c r="C312" s="278" t="s">
        <v>1724</v>
      </c>
      <c r="D312" s="254">
        <v>250.0</v>
      </c>
      <c r="E312" s="241" t="str">
        <f>'Daftar Harga'!D275</f>
        <v/>
      </c>
      <c r="F312" s="242" t="str">
        <f t="shared" ref="F312:F320" si="88">IF(E312&lt;&gt;"",D312*E312,"")</f>
        <v/>
      </c>
      <c r="G312" s="199">
        <v>13000.0</v>
      </c>
      <c r="H312" s="243">
        <f t="shared" ref="H312:H320" si="89">IF(G312&lt;&gt;"",D312*G312,"")</f>
        <v>3250000</v>
      </c>
      <c r="I312" s="200">
        <v>15000.0</v>
      </c>
      <c r="J312" s="244">
        <f t="shared" ref="J312:J320" si="90">IF(I312&lt;&gt;"",D312*I312,"")</f>
        <v>3750000</v>
      </c>
      <c r="K312" s="245">
        <f t="shared" ref="K312:K321" si="91">IF(J312&lt;&gt;"",IF(H312&lt;&gt;"",J312-H312,IF(F312&lt;&gt;"",J312-F312,"")),"")</f>
        <v>500000</v>
      </c>
      <c r="L312" s="246">
        <f t="shared" ref="L312:L321" si="92">IF(K312&lt;&gt;"",IF(H312&lt;&gt;"",IF(H312&lt;&gt;0,K312/H312,""),IF(F312&lt;&gt;"",IF(F312&lt;&gt;0,K312/F312,""),"")),"")</f>
        <v>0.1538461538</v>
      </c>
      <c r="M312" s="247"/>
    </row>
    <row r="313" ht="15.75" customHeight="1">
      <c r="A313" s="248">
        <v>2.0</v>
      </c>
      <c r="B313" s="276" t="s">
        <v>1725</v>
      </c>
      <c r="C313" s="278" t="s">
        <v>1583</v>
      </c>
      <c r="D313" s="277">
        <v>302.0</v>
      </c>
      <c r="E313" s="241" t="str">
        <f>'Daftar Harga'!D283</f>
        <v/>
      </c>
      <c r="F313" s="242" t="str">
        <f t="shared" si="88"/>
        <v/>
      </c>
      <c r="G313" s="199">
        <v>27000.0</v>
      </c>
      <c r="H313" s="243">
        <f t="shared" si="89"/>
        <v>8154000</v>
      </c>
      <c r="I313" s="200">
        <v>28000.0</v>
      </c>
      <c r="J313" s="244">
        <f t="shared" si="90"/>
        <v>8456000</v>
      </c>
      <c r="K313" s="245">
        <f t="shared" si="91"/>
        <v>302000</v>
      </c>
      <c r="L313" s="246">
        <f t="shared" si="92"/>
        <v>0.03703703704</v>
      </c>
      <c r="M313" s="252"/>
    </row>
    <row r="314" ht="15.75" customHeight="1">
      <c r="A314" s="239">
        <v>3.0</v>
      </c>
      <c r="B314" s="275" t="s">
        <v>1594</v>
      </c>
      <c r="C314" s="278" t="s">
        <v>109</v>
      </c>
      <c r="D314" s="254">
        <v>25.0</v>
      </c>
      <c r="E314" s="241" t="str">
        <f>'Daftar Harga'!D294</f>
        <v/>
      </c>
      <c r="F314" s="242" t="str">
        <f t="shared" si="88"/>
        <v/>
      </c>
      <c r="G314" s="199">
        <v>30000.0</v>
      </c>
      <c r="H314" s="243">
        <f t="shared" si="89"/>
        <v>750000</v>
      </c>
      <c r="I314" s="200">
        <v>34000.0</v>
      </c>
      <c r="J314" s="244">
        <f t="shared" si="90"/>
        <v>850000</v>
      </c>
      <c r="K314" s="245">
        <f t="shared" si="91"/>
        <v>100000</v>
      </c>
      <c r="L314" s="246">
        <f t="shared" si="92"/>
        <v>0.1333333333</v>
      </c>
      <c r="M314" s="247"/>
    </row>
    <row r="315" ht="15.75" customHeight="1">
      <c r="A315" s="248">
        <v>4.0</v>
      </c>
      <c r="B315" s="276" t="s">
        <v>1607</v>
      </c>
      <c r="C315" s="278" t="s">
        <v>109</v>
      </c>
      <c r="D315" s="277">
        <v>70.0</v>
      </c>
      <c r="E315" s="241" t="str">
        <f>'Daftar Harga'!D295</f>
        <v/>
      </c>
      <c r="F315" s="242" t="str">
        <f t="shared" si="88"/>
        <v/>
      </c>
      <c r="G315" s="199">
        <v>8000.0</v>
      </c>
      <c r="H315" s="243">
        <f t="shared" si="89"/>
        <v>560000</v>
      </c>
      <c r="I315" s="200">
        <v>12000.0</v>
      </c>
      <c r="J315" s="244">
        <f t="shared" si="90"/>
        <v>840000</v>
      </c>
      <c r="K315" s="250">
        <f t="shared" si="91"/>
        <v>280000</v>
      </c>
      <c r="L315" s="251">
        <f t="shared" si="92"/>
        <v>0.5</v>
      </c>
      <c r="M315" s="252"/>
    </row>
    <row r="316" ht="15.75" customHeight="1">
      <c r="A316" s="239">
        <v>5.0</v>
      </c>
      <c r="B316" s="275" t="s">
        <v>1354</v>
      </c>
      <c r="C316" s="278" t="s">
        <v>109</v>
      </c>
      <c r="D316" s="254">
        <v>90.0</v>
      </c>
      <c r="E316" s="241" t="str">
        <f>'Daftar Harga'!D304</f>
        <v/>
      </c>
      <c r="F316" s="242" t="str">
        <f t="shared" si="88"/>
        <v/>
      </c>
      <c r="G316" s="199">
        <v>34000.0</v>
      </c>
      <c r="H316" s="243">
        <f t="shared" si="89"/>
        <v>3060000</v>
      </c>
      <c r="I316" s="200">
        <v>36000.0</v>
      </c>
      <c r="J316" s="244">
        <f t="shared" si="90"/>
        <v>3240000</v>
      </c>
      <c r="K316" s="245">
        <f t="shared" si="91"/>
        <v>180000</v>
      </c>
      <c r="L316" s="246">
        <f t="shared" si="92"/>
        <v>0.05882352941</v>
      </c>
      <c r="M316" s="247"/>
    </row>
    <row r="317" ht="15.75" customHeight="1">
      <c r="A317" s="248">
        <v>6.0</v>
      </c>
      <c r="B317" s="276" t="s">
        <v>1651</v>
      </c>
      <c r="C317" s="278" t="s">
        <v>109</v>
      </c>
      <c r="D317" s="277">
        <v>250.0</v>
      </c>
      <c r="E317" s="241" t="str">
        <f>'Daftar Harga'!D325</f>
        <v/>
      </c>
      <c r="F317" s="242" t="str">
        <f t="shared" si="88"/>
        <v/>
      </c>
      <c r="G317" s="199">
        <v>19000.0</v>
      </c>
      <c r="H317" s="243">
        <f t="shared" si="89"/>
        <v>4750000</v>
      </c>
      <c r="I317" s="200">
        <v>20000.0</v>
      </c>
      <c r="J317" s="244">
        <f t="shared" si="90"/>
        <v>5000000</v>
      </c>
      <c r="K317" s="250">
        <f t="shared" si="91"/>
        <v>250000</v>
      </c>
      <c r="L317" s="251">
        <f t="shared" si="92"/>
        <v>0.05263157895</v>
      </c>
      <c r="M317" s="252"/>
    </row>
    <row r="318" ht="15.75" customHeight="1">
      <c r="A318" s="239">
        <v>7.0</v>
      </c>
      <c r="B318" s="275" t="s">
        <v>1726</v>
      </c>
      <c r="C318" s="278" t="s">
        <v>109</v>
      </c>
      <c r="D318" s="254">
        <v>5.0</v>
      </c>
      <c r="E318" s="267"/>
      <c r="F318" s="268" t="str">
        <f t="shared" si="88"/>
        <v/>
      </c>
      <c r="G318" s="199">
        <v>23500.0</v>
      </c>
      <c r="H318" s="243">
        <f t="shared" si="89"/>
        <v>117500</v>
      </c>
      <c r="I318" s="200">
        <v>27000.0</v>
      </c>
      <c r="J318" s="244">
        <f t="shared" si="90"/>
        <v>135000</v>
      </c>
      <c r="K318" s="245">
        <f t="shared" si="91"/>
        <v>17500</v>
      </c>
      <c r="L318" s="246">
        <f t="shared" si="92"/>
        <v>0.1489361702</v>
      </c>
      <c r="M318" s="247"/>
    </row>
    <row r="319" ht="15.75" customHeight="1">
      <c r="A319" s="248">
        <v>8.0</v>
      </c>
      <c r="B319" s="276" t="s">
        <v>1727</v>
      </c>
      <c r="C319" s="278" t="s">
        <v>1583</v>
      </c>
      <c r="D319" s="277">
        <v>110.0</v>
      </c>
      <c r="E319" s="241" t="str">
        <f>'Daftar Harga'!D339</f>
        <v/>
      </c>
      <c r="F319" s="242" t="str">
        <f t="shared" si="88"/>
        <v/>
      </c>
      <c r="G319" s="199">
        <v>6042.0</v>
      </c>
      <c r="H319" s="243">
        <f t="shared" si="89"/>
        <v>664620</v>
      </c>
      <c r="I319" s="200">
        <v>7000.0</v>
      </c>
      <c r="J319" s="244">
        <f t="shared" si="90"/>
        <v>770000</v>
      </c>
      <c r="K319" s="250">
        <f t="shared" si="91"/>
        <v>105380</v>
      </c>
      <c r="L319" s="251">
        <f t="shared" si="92"/>
        <v>0.1585567693</v>
      </c>
      <c r="M319" s="252"/>
    </row>
    <row r="320" ht="15.75" customHeight="1">
      <c r="A320" s="239">
        <v>9.0</v>
      </c>
      <c r="B320" s="275" t="s">
        <v>1681</v>
      </c>
      <c r="C320" s="278" t="s">
        <v>1728</v>
      </c>
      <c r="D320" s="254">
        <v>30.0</v>
      </c>
      <c r="E320" s="241" t="str">
        <f>'Daftar Harga'!D340</f>
        <v/>
      </c>
      <c r="F320" s="242" t="str">
        <f t="shared" si="88"/>
        <v/>
      </c>
      <c r="G320" s="199">
        <v>21750.0</v>
      </c>
      <c r="H320" s="243">
        <f t="shared" si="89"/>
        <v>652500</v>
      </c>
      <c r="I320" s="200">
        <v>24000.0</v>
      </c>
      <c r="J320" s="244">
        <f t="shared" si="90"/>
        <v>720000</v>
      </c>
      <c r="K320" s="245">
        <f t="shared" si="91"/>
        <v>67500</v>
      </c>
      <c r="L320" s="246">
        <f t="shared" si="92"/>
        <v>0.1034482759</v>
      </c>
      <c r="M320" s="247"/>
    </row>
    <row r="321" ht="15.75" customHeight="1">
      <c r="A321" s="272" t="s">
        <v>1729</v>
      </c>
      <c r="B321" s="206"/>
      <c r="C321" s="206"/>
      <c r="D321" s="174"/>
      <c r="E321" s="257"/>
      <c r="F321" s="258">
        <f>SUMIF(F312:F320,"&lt;&gt;",F312:F320)</f>
        <v>0</v>
      </c>
      <c r="G321" s="259"/>
      <c r="H321" s="282">
        <f>SUMIF(H312:H320,"&lt;&gt;",H312:H320)</f>
        <v>21958620</v>
      </c>
      <c r="I321" s="283"/>
      <c r="J321" s="282">
        <f>SUMIF(J312:J320,"&lt;&gt;",J312:J320)</f>
        <v>23761000</v>
      </c>
      <c r="K321" s="261">
        <f t="shared" si="91"/>
        <v>1802380</v>
      </c>
      <c r="L321" s="262">
        <f t="shared" si="92"/>
        <v>0.08208075007</v>
      </c>
      <c r="M321" s="257"/>
    </row>
    <row r="322" ht="15.75" customHeight="1"/>
    <row r="323" ht="15.75" customHeight="1">
      <c r="A323" s="273" t="s">
        <v>1730</v>
      </c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6"/>
    </row>
    <row r="324" ht="15.75" customHeight="1">
      <c r="A324" s="229" t="s">
        <v>1509</v>
      </c>
      <c r="B324" s="229" t="s">
        <v>1510</v>
      </c>
      <c r="C324" s="229" t="s">
        <v>1511</v>
      </c>
      <c r="D324" s="229" t="s">
        <v>1614</v>
      </c>
      <c r="E324" s="230" t="s">
        <v>1615</v>
      </c>
      <c r="F324" s="174"/>
      <c r="G324" s="231" t="s">
        <v>1616</v>
      </c>
      <c r="H324" s="174"/>
      <c r="I324" s="232" t="s">
        <v>1617</v>
      </c>
      <c r="J324" s="174"/>
      <c r="K324" s="233" t="s">
        <v>1618</v>
      </c>
      <c r="L324" s="174"/>
      <c r="M324" s="229" t="s">
        <v>1619</v>
      </c>
    </row>
    <row r="325" ht="15.75" customHeight="1">
      <c r="A325" s="234" t="s">
        <v>1509</v>
      </c>
      <c r="B325" s="234" t="s">
        <v>1510</v>
      </c>
      <c r="C325" s="234" t="s">
        <v>1511</v>
      </c>
      <c r="D325" s="234" t="s">
        <v>1614</v>
      </c>
      <c r="E325" s="235" t="s">
        <v>1620</v>
      </c>
      <c r="F325" s="235" t="s">
        <v>1621</v>
      </c>
      <c r="G325" s="236"/>
      <c r="H325" s="236" t="s">
        <v>1623</v>
      </c>
      <c r="I325" s="237" t="s">
        <v>1624</v>
      </c>
      <c r="J325" s="237" t="s">
        <v>1625</v>
      </c>
      <c r="K325" s="238" t="s">
        <v>1626</v>
      </c>
      <c r="L325" s="238" t="s">
        <v>1627</v>
      </c>
      <c r="M325" s="234" t="s">
        <v>1619</v>
      </c>
    </row>
    <row r="326" ht="15.75" customHeight="1">
      <c r="A326" s="239">
        <v>1.0</v>
      </c>
      <c r="B326" s="275" t="s">
        <v>1731</v>
      </c>
      <c r="C326" s="278" t="s">
        <v>1724</v>
      </c>
      <c r="D326" s="254">
        <v>2556.0</v>
      </c>
      <c r="E326" s="241" t="str">
        <f>'Daftar Harga'!D289</f>
        <v/>
      </c>
      <c r="F326" s="242" t="str">
        <f t="shared" ref="F326:F327" si="93">IF(E326&lt;&gt;"",D326*E326,"")</f>
        <v/>
      </c>
      <c r="G326" s="199">
        <v>3223.0</v>
      </c>
      <c r="H326" s="243">
        <f t="shared" ref="H326:H327" si="94">IF(G326&lt;&gt;"",D326*G326,"")</f>
        <v>8237988</v>
      </c>
      <c r="I326" s="200">
        <v>3600.0</v>
      </c>
      <c r="J326" s="244">
        <f t="shared" ref="J326:J327" si="95">IF(I326&lt;&gt;"",D326*I326,"")</f>
        <v>9201600</v>
      </c>
      <c r="K326" s="245">
        <f t="shared" ref="K326:K328" si="96">IF(J326&lt;&gt;"",IF(H326&lt;&gt;"",J326-H326,IF(F326&lt;&gt;"",J326-F326,"")),"")</f>
        <v>963612</v>
      </c>
      <c r="L326" s="246">
        <f t="shared" ref="L326:L328" si="97">IF(K326&lt;&gt;"",IF(H326&lt;&gt;"",IF(H326&lt;&gt;0,K326/H326,""),IF(F326&lt;&gt;"",IF(F326&lt;&gt;0,K326/F326,""),"")),"")</f>
        <v>0.1169717654</v>
      </c>
      <c r="M326" s="247"/>
    </row>
    <row r="327" ht="15.75" customHeight="1">
      <c r="A327" s="248">
        <v>2.0</v>
      </c>
      <c r="B327" s="276" t="s">
        <v>1516</v>
      </c>
      <c r="C327" s="278" t="s">
        <v>1724</v>
      </c>
      <c r="D327" s="277">
        <v>20.0</v>
      </c>
      <c r="E327" s="241" t="str">
        <f>'Daftar Harga'!D297</f>
        <v/>
      </c>
      <c r="F327" s="242" t="str">
        <f t="shared" si="93"/>
        <v/>
      </c>
      <c r="G327" s="199">
        <v>480000.0</v>
      </c>
      <c r="H327" s="243">
        <f t="shared" si="94"/>
        <v>9600000</v>
      </c>
      <c r="I327" s="200">
        <v>500000.0</v>
      </c>
      <c r="J327" s="244">
        <f t="shared" si="95"/>
        <v>10000000</v>
      </c>
      <c r="K327" s="245">
        <f t="shared" si="96"/>
        <v>400000</v>
      </c>
      <c r="L327" s="246">
        <f t="shared" si="97"/>
        <v>0.04166666667</v>
      </c>
      <c r="M327" s="252"/>
    </row>
    <row r="328" ht="15.75" customHeight="1">
      <c r="A328" s="272" t="s">
        <v>1732</v>
      </c>
      <c r="B328" s="206"/>
      <c r="C328" s="206"/>
      <c r="D328" s="174"/>
      <c r="E328" s="257"/>
      <c r="F328" s="258">
        <f>SUMIF(F326:F327,"&lt;&gt;",F326:F327)</f>
        <v>0</v>
      </c>
      <c r="G328" s="259"/>
      <c r="H328" s="282">
        <f>SUMIF(H326:H327,"&lt;&gt;",H326:H327)</f>
        <v>17837988</v>
      </c>
      <c r="I328" s="283"/>
      <c r="J328" s="282">
        <f>SUMIF(J326:J327,"&lt;&gt;",J326:J327)</f>
        <v>19201600</v>
      </c>
      <c r="K328" s="261">
        <f t="shared" si="96"/>
        <v>1363612</v>
      </c>
      <c r="L328" s="262">
        <f t="shared" si="97"/>
        <v>0.07644427163</v>
      </c>
      <c r="M328" s="257"/>
    </row>
    <row r="329" ht="15.75" customHeight="1"/>
    <row r="330" ht="15.75" customHeight="1"/>
    <row r="331" ht="15.75" customHeight="1"/>
    <row r="332" ht="31.5" customHeight="1">
      <c r="A332" s="284" t="s">
        <v>1733</v>
      </c>
      <c r="B332" s="285"/>
      <c r="C332" s="285"/>
      <c r="D332" s="286"/>
      <c r="E332" s="287"/>
      <c r="F332" s="288">
        <f>F21+F42+F58+F67+F88+F108+F128+F143+F150+F156+F176+F202+F225+F236+F245+F266+F286+F307+F321+F328</f>
        <v>83311000</v>
      </c>
      <c r="G332" s="288"/>
      <c r="H332" s="288">
        <f>H21+H42+H58+H67+H88+H108+H128+H143+H150+H156+H176+H202+H225+H236+H245+H266+H286+H307+H321+H328</f>
        <v>390416900</v>
      </c>
      <c r="I332" s="288"/>
      <c r="J332" s="288">
        <f>J21+J42+J58+J67+J88+J108+J128+J143+J150+J156+J176+J202+J225+J236+J245+J266+J286+J307+J321+J328</f>
        <v>431120200</v>
      </c>
      <c r="K332" s="289">
        <f>IF(J332&lt;&gt;"",IF(H332&lt;&gt;0,J332-H332,J332-F332),"")</f>
        <v>40703300</v>
      </c>
      <c r="L332" s="290">
        <f>IF(K332&lt;&gt;"",IF(H332&lt;&gt;0,K332/H332,IF(F332&lt;&gt;0,K332/F332,"")),"")</f>
        <v>0.1042559889</v>
      </c>
      <c r="M332" s="287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49.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</sheetData>
  <mergeCells count="127">
    <mergeCell ref="A1:M1"/>
    <mergeCell ref="A2:M2"/>
    <mergeCell ref="A3:M3"/>
    <mergeCell ref="A4:M4"/>
    <mergeCell ref="G5:H5"/>
    <mergeCell ref="I5:J5"/>
    <mergeCell ref="K5:L5"/>
    <mergeCell ref="E5:F5"/>
    <mergeCell ref="A21:D21"/>
    <mergeCell ref="A23:M23"/>
    <mergeCell ref="E24:F24"/>
    <mergeCell ref="G24:H24"/>
    <mergeCell ref="I24:J24"/>
    <mergeCell ref="K24:L24"/>
    <mergeCell ref="A42:D42"/>
    <mergeCell ref="A44:M44"/>
    <mergeCell ref="E45:F45"/>
    <mergeCell ref="G45:H45"/>
    <mergeCell ref="I45:J45"/>
    <mergeCell ref="K45:L45"/>
    <mergeCell ref="A58:D58"/>
    <mergeCell ref="A60:M60"/>
    <mergeCell ref="E61:F61"/>
    <mergeCell ref="G61:H61"/>
    <mergeCell ref="I61:J61"/>
    <mergeCell ref="K61:L61"/>
    <mergeCell ref="A67:D67"/>
    <mergeCell ref="A69:M69"/>
    <mergeCell ref="E70:F70"/>
    <mergeCell ref="G70:H70"/>
    <mergeCell ref="I70:J70"/>
    <mergeCell ref="K70:L70"/>
    <mergeCell ref="A88:D88"/>
    <mergeCell ref="A90:M90"/>
    <mergeCell ref="E91:F91"/>
    <mergeCell ref="K91:L91"/>
    <mergeCell ref="G91:H91"/>
    <mergeCell ref="I91:J91"/>
    <mergeCell ref="A110:M110"/>
    <mergeCell ref="E111:F111"/>
    <mergeCell ref="G111:H111"/>
    <mergeCell ref="I111:J111"/>
    <mergeCell ref="K111:L111"/>
    <mergeCell ref="A108:D108"/>
    <mergeCell ref="A128:D128"/>
    <mergeCell ref="A130:M130"/>
    <mergeCell ref="E131:F131"/>
    <mergeCell ref="G131:H131"/>
    <mergeCell ref="I131:J131"/>
    <mergeCell ref="K131:L131"/>
    <mergeCell ref="A245:D245"/>
    <mergeCell ref="A247:M247"/>
    <mergeCell ref="E248:F248"/>
    <mergeCell ref="G248:H248"/>
    <mergeCell ref="I248:J248"/>
    <mergeCell ref="K248:L248"/>
    <mergeCell ref="A266:D266"/>
    <mergeCell ref="A268:M268"/>
    <mergeCell ref="E269:F269"/>
    <mergeCell ref="G269:H269"/>
    <mergeCell ref="I269:J269"/>
    <mergeCell ref="K269:L269"/>
    <mergeCell ref="A286:D286"/>
    <mergeCell ref="A288:M288"/>
    <mergeCell ref="E289:F289"/>
    <mergeCell ref="G289:H289"/>
    <mergeCell ref="I289:J289"/>
    <mergeCell ref="K289:L289"/>
    <mergeCell ref="A307:D307"/>
    <mergeCell ref="A309:M309"/>
    <mergeCell ref="E310:F310"/>
    <mergeCell ref="K310:L310"/>
    <mergeCell ref="E324:F324"/>
    <mergeCell ref="A328:D328"/>
    <mergeCell ref="A332:D332"/>
    <mergeCell ref="G310:H310"/>
    <mergeCell ref="I310:J310"/>
    <mergeCell ref="A321:D321"/>
    <mergeCell ref="A323:M323"/>
    <mergeCell ref="G324:H324"/>
    <mergeCell ref="I324:J324"/>
    <mergeCell ref="K324:L324"/>
    <mergeCell ref="A143:D143"/>
    <mergeCell ref="A145:B145"/>
    <mergeCell ref="C145:L145"/>
    <mergeCell ref="E146:F146"/>
    <mergeCell ref="G146:H146"/>
    <mergeCell ref="I146:J146"/>
    <mergeCell ref="K146:L146"/>
    <mergeCell ref="A150:D150"/>
    <mergeCell ref="A152:B152"/>
    <mergeCell ref="C152:L152"/>
    <mergeCell ref="E153:F153"/>
    <mergeCell ref="G153:H153"/>
    <mergeCell ref="I153:J153"/>
    <mergeCell ref="K153:L153"/>
    <mergeCell ref="A156:D156"/>
    <mergeCell ref="A158:M158"/>
    <mergeCell ref="E159:F159"/>
    <mergeCell ref="G159:H159"/>
    <mergeCell ref="I159:J159"/>
    <mergeCell ref="K159:L159"/>
    <mergeCell ref="A176:D176"/>
    <mergeCell ref="A178:M178"/>
    <mergeCell ref="E179:F179"/>
    <mergeCell ref="G179:H179"/>
    <mergeCell ref="I179:J179"/>
    <mergeCell ref="K179:L179"/>
    <mergeCell ref="A202:D202"/>
    <mergeCell ref="A204:M204"/>
    <mergeCell ref="E205:F205"/>
    <mergeCell ref="G205:H205"/>
    <mergeCell ref="I205:J205"/>
    <mergeCell ref="K205:L205"/>
    <mergeCell ref="A225:D225"/>
    <mergeCell ref="A227:M227"/>
    <mergeCell ref="E228:F228"/>
    <mergeCell ref="K228:L228"/>
    <mergeCell ref="I239:J239"/>
    <mergeCell ref="K239:L239"/>
    <mergeCell ref="G228:H228"/>
    <mergeCell ref="I228:J228"/>
    <mergeCell ref="A236:D236"/>
    <mergeCell ref="A238:B238"/>
    <mergeCell ref="C238:L238"/>
    <mergeCell ref="E239:F239"/>
    <mergeCell ref="G239:H23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1610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169" t="s">
        <v>1734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291" t="s">
        <v>1735</v>
      </c>
      <c r="C7" s="292" t="s">
        <v>1583</v>
      </c>
      <c r="D7" s="213">
        <v>10.0</v>
      </c>
      <c r="E7" s="267"/>
      <c r="F7" s="268" t="str">
        <f t="shared" ref="F7:F13" si="1">IF(E7&lt;&gt;"",D7*E7,"")</f>
        <v/>
      </c>
      <c r="G7" s="293">
        <v>65000.0</v>
      </c>
      <c r="H7" s="294">
        <f t="shared" ref="H7:H13" si="2">IF(G7&lt;&gt;"",D7*G7,"")</f>
        <v>650000</v>
      </c>
      <c r="I7" s="295">
        <v>75000.0</v>
      </c>
      <c r="J7" s="296">
        <f t="shared" ref="J7:J13" si="3">IF(I7&lt;&gt;"",D7*I7,"")</f>
        <v>750000</v>
      </c>
      <c r="K7" s="190">
        <f t="shared" ref="K7:K14" si="4">IF(J7&lt;&gt;"",IF(H7&lt;&gt;"",J7-H7,IF(F7&lt;&gt;"",J7-F7,"")),"")</f>
        <v>100000</v>
      </c>
      <c r="L7" s="191">
        <f t="shared" ref="L7:L14" si="5">IF(K7&lt;&gt;"",IF(H7&lt;&gt;"",IF(H7&lt;&gt;0,K7/H7,""),IF(F7&lt;&gt;"",IF(F7&lt;&gt;0,K7/F7,""),"")),"")</f>
        <v>0.1538461538</v>
      </c>
      <c r="M7" s="192"/>
    </row>
    <row r="8" ht="15.75" customHeight="1">
      <c r="A8" s="164">
        <v>2.0</v>
      </c>
      <c r="B8" s="297" t="s">
        <v>1736</v>
      </c>
      <c r="C8" s="298" t="s">
        <v>1583</v>
      </c>
      <c r="D8" s="216">
        <v>40.0</v>
      </c>
      <c r="E8" s="267"/>
      <c r="F8" s="268" t="str">
        <f t="shared" si="1"/>
        <v/>
      </c>
      <c r="G8" s="293">
        <v>13000.0</v>
      </c>
      <c r="H8" s="294">
        <f t="shared" si="2"/>
        <v>520000</v>
      </c>
      <c r="I8" s="295">
        <v>17000.0</v>
      </c>
      <c r="J8" s="296">
        <f t="shared" si="3"/>
        <v>680000</v>
      </c>
      <c r="K8" s="194">
        <f t="shared" si="4"/>
        <v>160000</v>
      </c>
      <c r="L8" s="195">
        <f t="shared" si="5"/>
        <v>0.3076923077</v>
      </c>
      <c r="M8" s="196"/>
    </row>
    <row r="9" ht="15.75" customHeight="1">
      <c r="A9" s="159">
        <v>3.0</v>
      </c>
      <c r="B9" s="291" t="s">
        <v>1737</v>
      </c>
      <c r="C9" s="292" t="s">
        <v>1176</v>
      </c>
      <c r="D9" s="213">
        <v>2.0</v>
      </c>
      <c r="E9" s="267"/>
      <c r="F9" s="268" t="str">
        <f t="shared" si="1"/>
        <v/>
      </c>
      <c r="G9" s="293">
        <v>1125000.0</v>
      </c>
      <c r="H9" s="294">
        <f t="shared" si="2"/>
        <v>2250000</v>
      </c>
      <c r="I9" s="295">
        <v>1250000.0</v>
      </c>
      <c r="J9" s="296">
        <f t="shared" si="3"/>
        <v>2500000</v>
      </c>
      <c r="K9" s="190">
        <f t="shared" si="4"/>
        <v>250000</v>
      </c>
      <c r="L9" s="191">
        <f t="shared" si="5"/>
        <v>0.1111111111</v>
      </c>
      <c r="M9" s="192"/>
    </row>
    <row r="10" ht="15.75" customHeight="1">
      <c r="A10" s="299">
        <v>4.0</v>
      </c>
      <c r="B10" s="297" t="s">
        <v>1738</v>
      </c>
      <c r="C10" s="298" t="s">
        <v>69</v>
      </c>
      <c r="D10" s="216">
        <v>5.0</v>
      </c>
      <c r="E10" s="267"/>
      <c r="F10" s="268" t="str">
        <f t="shared" si="1"/>
        <v/>
      </c>
      <c r="G10" s="293">
        <v>25500.0</v>
      </c>
      <c r="H10" s="294">
        <f t="shared" si="2"/>
        <v>127500</v>
      </c>
      <c r="I10" s="295">
        <v>35000.0</v>
      </c>
      <c r="J10" s="296">
        <f t="shared" si="3"/>
        <v>175000</v>
      </c>
      <c r="K10" s="190">
        <f t="shared" si="4"/>
        <v>47500</v>
      </c>
      <c r="L10" s="191">
        <f t="shared" si="5"/>
        <v>0.3725490196</v>
      </c>
      <c r="M10" s="192"/>
    </row>
    <row r="11" ht="15.75" customHeight="1">
      <c r="A11" s="299">
        <v>5.0</v>
      </c>
      <c r="B11" s="291" t="s">
        <v>1739</v>
      </c>
      <c r="C11" s="298" t="s">
        <v>1740</v>
      </c>
      <c r="D11" s="213">
        <v>1.0</v>
      </c>
      <c r="E11" s="267"/>
      <c r="F11" s="268" t="str">
        <f t="shared" si="1"/>
        <v/>
      </c>
      <c r="G11" s="293">
        <v>470000.0</v>
      </c>
      <c r="H11" s="294">
        <f t="shared" si="2"/>
        <v>470000</v>
      </c>
      <c r="I11" s="295">
        <v>500000.0</v>
      </c>
      <c r="J11" s="296">
        <f t="shared" si="3"/>
        <v>500000</v>
      </c>
      <c r="K11" s="190">
        <f t="shared" si="4"/>
        <v>30000</v>
      </c>
      <c r="L11" s="191">
        <f t="shared" si="5"/>
        <v>0.06382978723</v>
      </c>
      <c r="M11" s="192"/>
    </row>
    <row r="12" ht="15.75" customHeight="1">
      <c r="A12" s="299">
        <v>6.0</v>
      </c>
      <c r="B12" s="297" t="s">
        <v>1741</v>
      </c>
      <c r="C12" s="298" t="s">
        <v>69</v>
      </c>
      <c r="D12" s="216">
        <v>5.0</v>
      </c>
      <c r="E12" s="267"/>
      <c r="F12" s="268" t="str">
        <f t="shared" si="1"/>
        <v/>
      </c>
      <c r="G12" s="293">
        <v>34000.0</v>
      </c>
      <c r="H12" s="294">
        <f t="shared" si="2"/>
        <v>170000</v>
      </c>
      <c r="I12" s="295">
        <v>38000.0</v>
      </c>
      <c r="J12" s="296">
        <f t="shared" si="3"/>
        <v>190000</v>
      </c>
      <c r="K12" s="190">
        <f t="shared" si="4"/>
        <v>20000</v>
      </c>
      <c r="L12" s="191">
        <f t="shared" si="5"/>
        <v>0.1176470588</v>
      </c>
      <c r="M12" s="192"/>
    </row>
    <row r="13" ht="15.75" customHeight="1">
      <c r="A13" s="299">
        <v>7.0</v>
      </c>
      <c r="B13" s="291" t="s">
        <v>1742</v>
      </c>
      <c r="C13" s="298" t="s">
        <v>1676</v>
      </c>
      <c r="D13" s="213">
        <v>10.0</v>
      </c>
      <c r="E13" s="267"/>
      <c r="F13" s="268" t="str">
        <f t="shared" si="1"/>
        <v/>
      </c>
      <c r="G13" s="293">
        <v>65000.0</v>
      </c>
      <c r="H13" s="294">
        <f t="shared" si="2"/>
        <v>650000</v>
      </c>
      <c r="I13" s="295">
        <v>75000.0</v>
      </c>
      <c r="J13" s="296">
        <f t="shared" si="3"/>
        <v>750000</v>
      </c>
      <c r="K13" s="190">
        <f t="shared" si="4"/>
        <v>100000</v>
      </c>
      <c r="L13" s="191">
        <f t="shared" si="5"/>
        <v>0.1538461538</v>
      </c>
      <c r="M13" s="192"/>
    </row>
    <row r="14" ht="19.5" customHeight="1">
      <c r="A14" s="300" t="s">
        <v>1632</v>
      </c>
      <c r="B14" s="206"/>
      <c r="C14" s="206"/>
      <c r="D14" s="174"/>
      <c r="E14" s="207"/>
      <c r="F14" s="208">
        <f>SUMIF(F7:F9,"&lt;&gt;",F7:F9)</f>
        <v>0</v>
      </c>
      <c r="G14" s="207"/>
      <c r="H14" s="208">
        <f>SUMIF(H7:H13,"&lt;&gt;",H7:H13)</f>
        <v>4837500</v>
      </c>
      <c r="I14" s="207"/>
      <c r="J14" s="208">
        <f>SUMIF(J7:J13,"&lt;&gt;",J7:J13)</f>
        <v>5545000</v>
      </c>
      <c r="K14" s="208">
        <f t="shared" si="4"/>
        <v>707500</v>
      </c>
      <c r="L14" s="212">
        <f t="shared" si="5"/>
        <v>0.14625323</v>
      </c>
      <c r="M14" s="207"/>
    </row>
    <row r="17" ht="21.75" customHeight="1">
      <c r="A17" s="225" t="s">
        <v>1636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ht="19.5" customHeight="1">
      <c r="A18" s="172" t="s">
        <v>1509</v>
      </c>
      <c r="B18" s="172" t="s">
        <v>1510</v>
      </c>
      <c r="C18" s="172" t="s">
        <v>1511</v>
      </c>
      <c r="D18" s="172" t="s">
        <v>1614</v>
      </c>
      <c r="E18" s="173" t="s">
        <v>1615</v>
      </c>
      <c r="F18" s="174"/>
      <c r="G18" s="175" t="s">
        <v>1616</v>
      </c>
      <c r="H18" s="174"/>
      <c r="I18" s="176" t="s">
        <v>1617</v>
      </c>
      <c r="J18" s="174"/>
      <c r="K18" s="177" t="s">
        <v>1618</v>
      </c>
      <c r="L18" s="174"/>
      <c r="M18" s="172" t="s">
        <v>1619</v>
      </c>
    </row>
    <row r="19" ht="27.75" customHeight="1">
      <c r="A19" s="178" t="s">
        <v>1509</v>
      </c>
      <c r="B19" s="178" t="s">
        <v>1510</v>
      </c>
      <c r="C19" s="178" t="s">
        <v>1511</v>
      </c>
      <c r="D19" s="178" t="s">
        <v>1614</v>
      </c>
      <c r="E19" s="179" t="s">
        <v>1620</v>
      </c>
      <c r="F19" s="179" t="s">
        <v>1621</v>
      </c>
      <c r="G19" s="180" t="s">
        <v>1622</v>
      </c>
      <c r="H19" s="180" t="s">
        <v>1623</v>
      </c>
      <c r="I19" s="181" t="s">
        <v>1624</v>
      </c>
      <c r="J19" s="181" t="s">
        <v>1625</v>
      </c>
      <c r="K19" s="182" t="s">
        <v>1626</v>
      </c>
      <c r="L19" s="182" t="s">
        <v>1627</v>
      </c>
      <c r="M19" s="178" t="s">
        <v>1619</v>
      </c>
    </row>
    <row r="20" ht="15.75" customHeight="1">
      <c r="A20" s="159">
        <v>1.0</v>
      </c>
      <c r="B20" s="226" t="s">
        <v>1740</v>
      </c>
      <c r="C20" s="223" t="s">
        <v>69</v>
      </c>
      <c r="D20" s="227">
        <v>4.0</v>
      </c>
      <c r="E20" s="184"/>
      <c r="F20" s="185"/>
      <c r="G20" s="221">
        <v>45000.0</v>
      </c>
      <c r="H20" s="187">
        <f t="shared" ref="H20:H22" si="6">IF(G20&lt;&gt;"",D20*G20,"")</f>
        <v>180000</v>
      </c>
      <c r="I20" s="222">
        <v>60000.0</v>
      </c>
      <c r="J20" s="215">
        <f t="shared" ref="J20:J22" si="7">IF(I20&lt;&gt;"",D20*I20,"")</f>
        <v>240000</v>
      </c>
      <c r="K20" s="190">
        <f t="shared" ref="K20:K23" si="8">IF(J20&lt;&gt;"",IF(H20&lt;&gt;"",J20-H20,IF(F20&lt;&gt;"",J20-F20,"")),"")</f>
        <v>60000</v>
      </c>
      <c r="L20" s="191">
        <f t="shared" ref="L20:L23" si="9">IF(K20&lt;&gt;"",IF(H20&lt;&gt;"",IF(H20&lt;&gt;0,K20/H20,""),IF(F20&lt;&gt;"",IF(F20&lt;&gt;0,K20/F20,""),"")),"")</f>
        <v>0.3333333333</v>
      </c>
      <c r="M20" s="192"/>
    </row>
    <row r="21" ht="15.75" customHeight="1">
      <c r="A21" s="164">
        <v>2.0</v>
      </c>
      <c r="B21" s="197" t="s">
        <v>1743</v>
      </c>
      <c r="C21" s="220" t="s">
        <v>1744</v>
      </c>
      <c r="D21" s="198">
        <v>1.0</v>
      </c>
      <c r="E21" s="184"/>
      <c r="F21" s="185"/>
      <c r="G21" s="221">
        <v>78000.0</v>
      </c>
      <c r="H21" s="187">
        <f t="shared" si="6"/>
        <v>78000</v>
      </c>
      <c r="I21" s="222">
        <v>320000.0</v>
      </c>
      <c r="J21" s="215">
        <f t="shared" si="7"/>
        <v>320000</v>
      </c>
      <c r="K21" s="190">
        <f t="shared" si="8"/>
        <v>242000</v>
      </c>
      <c r="L21" s="191">
        <f t="shared" si="9"/>
        <v>3.102564103</v>
      </c>
      <c r="M21" s="196"/>
    </row>
    <row r="22" ht="15.75" customHeight="1">
      <c r="A22" s="159">
        <v>3.0</v>
      </c>
      <c r="B22" s="226" t="s">
        <v>1737</v>
      </c>
      <c r="C22" s="223" t="s">
        <v>1176</v>
      </c>
      <c r="D22" s="227">
        <v>1.0</v>
      </c>
      <c r="E22" s="184"/>
      <c r="F22" s="185" t="str">
        <f>IF(E22&lt;&gt;"",D22*E22,"")</f>
        <v/>
      </c>
      <c r="G22" s="221">
        <v>1125000.0</v>
      </c>
      <c r="H22" s="187">
        <f t="shared" si="6"/>
        <v>1125000</v>
      </c>
      <c r="I22" s="222">
        <v>1250000.0</v>
      </c>
      <c r="J22" s="215">
        <f t="shared" si="7"/>
        <v>1250000</v>
      </c>
      <c r="K22" s="190">
        <f t="shared" si="8"/>
        <v>125000</v>
      </c>
      <c r="L22" s="191">
        <f t="shared" si="9"/>
        <v>0.1111111111</v>
      </c>
      <c r="M22" s="192"/>
    </row>
    <row r="23" ht="19.5" customHeight="1">
      <c r="A23" s="205" t="s">
        <v>1632</v>
      </c>
      <c r="B23" s="206"/>
      <c r="C23" s="206"/>
      <c r="D23" s="174"/>
      <c r="E23" s="207"/>
      <c r="F23" s="208">
        <f>SUMIF(F20:F22,"&lt;&gt;",F20:F22)</f>
        <v>0</v>
      </c>
      <c r="G23" s="207"/>
      <c r="H23" s="208">
        <f>SUMIF(H20:H22,"&lt;&gt;",H20:H22)</f>
        <v>1383000</v>
      </c>
      <c r="I23" s="207"/>
      <c r="J23" s="208">
        <f>SUMIF(J20:J22,"&lt;&gt;",J20:J22)</f>
        <v>1810000</v>
      </c>
      <c r="K23" s="208">
        <f t="shared" si="8"/>
        <v>427000</v>
      </c>
      <c r="L23" s="212">
        <f t="shared" si="9"/>
        <v>0.3087490962</v>
      </c>
      <c r="M23" s="207"/>
    </row>
    <row r="24" ht="15.75" customHeight="1"/>
    <row r="25" ht="15.75" customHeight="1">
      <c r="A25" s="301" t="s">
        <v>1654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</row>
    <row r="26" ht="15.75" customHeight="1">
      <c r="A26" s="229" t="s">
        <v>1509</v>
      </c>
      <c r="B26" s="229" t="s">
        <v>1510</v>
      </c>
      <c r="C26" s="302" t="s">
        <v>1511</v>
      </c>
      <c r="D26" s="302" t="s">
        <v>1614</v>
      </c>
      <c r="E26" s="303" t="s">
        <v>1615</v>
      </c>
      <c r="F26" s="304"/>
      <c r="G26" s="305" t="s">
        <v>1616</v>
      </c>
      <c r="H26" s="304"/>
      <c r="I26" s="306" t="s">
        <v>1617</v>
      </c>
      <c r="J26" s="304"/>
      <c r="K26" s="307" t="s">
        <v>1618</v>
      </c>
      <c r="L26" s="304"/>
      <c r="M26" s="302" t="s">
        <v>1619</v>
      </c>
    </row>
    <row r="27" ht="15.75" customHeight="1">
      <c r="A27" s="234" t="s">
        <v>1509</v>
      </c>
      <c r="B27" s="234" t="s">
        <v>1510</v>
      </c>
      <c r="C27" s="234" t="s">
        <v>1511</v>
      </c>
      <c r="D27" s="234" t="s">
        <v>1614</v>
      </c>
      <c r="E27" s="235" t="s">
        <v>1620</v>
      </c>
      <c r="F27" s="235" t="s">
        <v>1621</v>
      </c>
      <c r="G27" s="236" t="s">
        <v>1622</v>
      </c>
      <c r="H27" s="236" t="s">
        <v>1623</v>
      </c>
      <c r="I27" s="237" t="s">
        <v>1624</v>
      </c>
      <c r="J27" s="237" t="s">
        <v>1625</v>
      </c>
      <c r="K27" s="238" t="s">
        <v>1626</v>
      </c>
      <c r="L27" s="238" t="s">
        <v>1627</v>
      </c>
      <c r="M27" s="234" t="s">
        <v>1619</v>
      </c>
    </row>
    <row r="28" ht="15.75" customHeight="1">
      <c r="A28" s="248">
        <v>1.0</v>
      </c>
      <c r="B28" s="249" t="s">
        <v>1735</v>
      </c>
      <c r="C28" s="248" t="s">
        <v>1583</v>
      </c>
      <c r="D28" s="270">
        <v>10.0</v>
      </c>
      <c r="E28" s="267"/>
      <c r="F28" s="268" t="str">
        <f t="shared" ref="F28:F39" si="10">IF(E28&lt;&gt;"",D28*E28,"")</f>
        <v/>
      </c>
      <c r="G28" s="199">
        <v>85000.0</v>
      </c>
      <c r="H28" s="243">
        <f t="shared" ref="H28:H43" si="11">IF(G28&lt;&gt;"",D28*G28,"")</f>
        <v>850000</v>
      </c>
      <c r="I28" s="200">
        <v>85000.0</v>
      </c>
      <c r="J28" s="244">
        <f t="shared" ref="J28:J43" si="12">IF(I28&lt;&gt;"",D28*I28,"")</f>
        <v>850000</v>
      </c>
      <c r="K28" s="245">
        <f t="shared" ref="K28:K39" si="13">IF(J28&lt;&gt;"",IF(H28&lt;&gt;"",J28-H28,IF(F28&lt;&gt;"",J28-F28,"")),"")</f>
        <v>0</v>
      </c>
      <c r="L28" s="246">
        <f t="shared" ref="L28:L39" si="14">IF(K28&lt;&gt;"",IF(H28&lt;&gt;"",IF(H28&lt;&gt;0,K28/H28,""),IF(F28&lt;&gt;"",IF(F28&lt;&gt;0,K28/F28,""),"")),"")</f>
        <v>0</v>
      </c>
      <c r="M28" s="247"/>
    </row>
    <row r="29" ht="15.75" customHeight="1">
      <c r="A29" s="239">
        <v>2.0</v>
      </c>
      <c r="B29" s="240" t="s">
        <v>1745</v>
      </c>
      <c r="C29" s="248" t="s">
        <v>1583</v>
      </c>
      <c r="D29" s="271">
        <v>40.0</v>
      </c>
      <c r="E29" s="308"/>
      <c r="F29" s="268" t="str">
        <f t="shared" si="10"/>
        <v/>
      </c>
      <c r="G29" s="199">
        <v>9875.0</v>
      </c>
      <c r="H29" s="243">
        <f t="shared" si="11"/>
        <v>395000</v>
      </c>
      <c r="I29" s="200">
        <v>17500.0</v>
      </c>
      <c r="J29" s="244">
        <f t="shared" si="12"/>
        <v>700000</v>
      </c>
      <c r="K29" s="245">
        <f t="shared" si="13"/>
        <v>305000</v>
      </c>
      <c r="L29" s="246">
        <f t="shared" si="14"/>
        <v>0.7721518987</v>
      </c>
      <c r="M29" s="247"/>
    </row>
    <row r="30" ht="15.75" customHeight="1">
      <c r="A30" s="248">
        <v>3.0</v>
      </c>
      <c r="B30" s="276" t="s">
        <v>1746</v>
      </c>
      <c r="C30" s="280" t="s">
        <v>1176</v>
      </c>
      <c r="D30" s="309">
        <v>2.0</v>
      </c>
      <c r="E30" s="310"/>
      <c r="F30" s="268" t="str">
        <f t="shared" si="10"/>
        <v/>
      </c>
      <c r="G30" s="199">
        <v>1125000.0</v>
      </c>
      <c r="H30" s="243">
        <f t="shared" si="11"/>
        <v>2250000</v>
      </c>
      <c r="I30" s="200">
        <v>1250000.0</v>
      </c>
      <c r="J30" s="244">
        <f t="shared" si="12"/>
        <v>2500000</v>
      </c>
      <c r="K30" s="245">
        <f t="shared" si="13"/>
        <v>250000</v>
      </c>
      <c r="L30" s="246">
        <f t="shared" si="14"/>
        <v>0.1111111111</v>
      </c>
      <c r="M30" s="252"/>
    </row>
    <row r="31" ht="15.75" customHeight="1">
      <c r="A31" s="239">
        <v>4.0</v>
      </c>
      <c r="B31" s="275" t="s">
        <v>1747</v>
      </c>
      <c r="C31" s="280" t="s">
        <v>69</v>
      </c>
      <c r="D31" s="274">
        <v>10.0</v>
      </c>
      <c r="E31" s="308"/>
      <c r="F31" s="268" t="str">
        <f t="shared" si="10"/>
        <v/>
      </c>
      <c r="G31" s="199">
        <v>27000.0</v>
      </c>
      <c r="H31" s="243">
        <f t="shared" si="11"/>
        <v>270000</v>
      </c>
      <c r="I31" s="200">
        <v>30000.0</v>
      </c>
      <c r="J31" s="244">
        <f t="shared" si="12"/>
        <v>300000</v>
      </c>
      <c r="K31" s="245">
        <f t="shared" si="13"/>
        <v>30000</v>
      </c>
      <c r="L31" s="246">
        <f t="shared" si="14"/>
        <v>0.1111111111</v>
      </c>
      <c r="M31" s="247"/>
    </row>
    <row r="32" ht="15.75" customHeight="1">
      <c r="A32" s="248">
        <v>5.0</v>
      </c>
      <c r="B32" s="276" t="s">
        <v>1748</v>
      </c>
      <c r="C32" s="280" t="s">
        <v>1749</v>
      </c>
      <c r="D32" s="309">
        <v>1.0</v>
      </c>
      <c r="E32" s="310"/>
      <c r="F32" s="268" t="str">
        <f t="shared" si="10"/>
        <v/>
      </c>
      <c r="G32" s="199">
        <v>124000.0</v>
      </c>
      <c r="H32" s="243">
        <f t="shared" si="11"/>
        <v>124000</v>
      </c>
      <c r="I32" s="200">
        <v>150000.0</v>
      </c>
      <c r="J32" s="244">
        <f t="shared" si="12"/>
        <v>150000</v>
      </c>
      <c r="K32" s="245">
        <f t="shared" si="13"/>
        <v>26000</v>
      </c>
      <c r="L32" s="246">
        <f t="shared" si="14"/>
        <v>0.2096774194</v>
      </c>
      <c r="M32" s="252"/>
    </row>
    <row r="33" ht="15.75" customHeight="1">
      <c r="A33" s="239">
        <v>6.0</v>
      </c>
      <c r="B33" s="275" t="s">
        <v>1750</v>
      </c>
      <c r="C33" s="280" t="s">
        <v>261</v>
      </c>
      <c r="D33" s="274">
        <v>1.0</v>
      </c>
      <c r="E33" s="308"/>
      <c r="F33" s="268" t="str">
        <f t="shared" si="10"/>
        <v/>
      </c>
      <c r="G33" s="199">
        <v>225000.0</v>
      </c>
      <c r="H33" s="243">
        <f t="shared" si="11"/>
        <v>225000</v>
      </c>
      <c r="I33" s="200">
        <v>250000.0</v>
      </c>
      <c r="J33" s="244">
        <f t="shared" si="12"/>
        <v>250000</v>
      </c>
      <c r="K33" s="245">
        <f t="shared" si="13"/>
        <v>25000</v>
      </c>
      <c r="L33" s="246">
        <f t="shared" si="14"/>
        <v>0.1111111111</v>
      </c>
      <c r="M33" s="247"/>
    </row>
    <row r="34" ht="15.75" customHeight="1">
      <c r="A34" s="248">
        <v>7.0</v>
      </c>
      <c r="B34" s="276" t="s">
        <v>1751</v>
      </c>
      <c r="C34" s="280" t="s">
        <v>261</v>
      </c>
      <c r="D34" s="309">
        <v>1.0</v>
      </c>
      <c r="E34" s="310"/>
      <c r="F34" s="268" t="str">
        <f t="shared" si="10"/>
        <v/>
      </c>
      <c r="G34" s="311">
        <v>230000.0</v>
      </c>
      <c r="H34" s="243">
        <f t="shared" si="11"/>
        <v>230000</v>
      </c>
      <c r="I34" s="200">
        <v>265000.0</v>
      </c>
      <c r="J34" s="244">
        <f t="shared" si="12"/>
        <v>265000</v>
      </c>
      <c r="K34" s="245">
        <f t="shared" si="13"/>
        <v>35000</v>
      </c>
      <c r="L34" s="246">
        <f t="shared" si="14"/>
        <v>0.152173913</v>
      </c>
      <c r="M34" s="252"/>
    </row>
    <row r="35" ht="15.75" customHeight="1">
      <c r="A35" s="239">
        <v>8.0</v>
      </c>
      <c r="B35" s="275" t="s">
        <v>1752</v>
      </c>
      <c r="C35" s="280" t="s">
        <v>261</v>
      </c>
      <c r="D35" s="274">
        <v>1.0</v>
      </c>
      <c r="E35" s="308"/>
      <c r="F35" s="268" t="str">
        <f t="shared" si="10"/>
        <v/>
      </c>
      <c r="G35" s="311">
        <v>302000.0</v>
      </c>
      <c r="H35" s="243">
        <f t="shared" si="11"/>
        <v>302000</v>
      </c>
      <c r="I35" s="200">
        <v>330000.0</v>
      </c>
      <c r="J35" s="244">
        <f t="shared" si="12"/>
        <v>330000</v>
      </c>
      <c r="K35" s="245">
        <f t="shared" si="13"/>
        <v>28000</v>
      </c>
      <c r="L35" s="246">
        <f t="shared" si="14"/>
        <v>0.09271523179</v>
      </c>
      <c r="M35" s="247"/>
    </row>
    <row r="36" ht="15.75" customHeight="1">
      <c r="A36" s="248">
        <v>9.0</v>
      </c>
      <c r="B36" s="276" t="s">
        <v>1753</v>
      </c>
      <c r="C36" s="280" t="s">
        <v>1754</v>
      </c>
      <c r="D36" s="309">
        <v>75.0</v>
      </c>
      <c r="E36" s="310"/>
      <c r="F36" s="268" t="str">
        <f t="shared" si="10"/>
        <v/>
      </c>
      <c r="G36" s="199">
        <v>19200.0</v>
      </c>
      <c r="H36" s="243">
        <f t="shared" si="11"/>
        <v>1440000</v>
      </c>
      <c r="I36" s="200">
        <v>22500.0</v>
      </c>
      <c r="J36" s="244">
        <f t="shared" si="12"/>
        <v>1687500</v>
      </c>
      <c r="K36" s="245">
        <f t="shared" si="13"/>
        <v>247500</v>
      </c>
      <c r="L36" s="246">
        <f t="shared" si="14"/>
        <v>0.171875</v>
      </c>
      <c r="M36" s="252"/>
    </row>
    <row r="37" ht="15.75" customHeight="1">
      <c r="A37" s="239">
        <v>10.0</v>
      </c>
      <c r="B37" s="275" t="s">
        <v>1742</v>
      </c>
      <c r="C37" s="280" t="s">
        <v>1676</v>
      </c>
      <c r="D37" s="274">
        <v>15.0</v>
      </c>
      <c r="E37" s="308"/>
      <c r="F37" s="268" t="str">
        <f t="shared" si="10"/>
        <v/>
      </c>
      <c r="G37" s="199">
        <v>65000.0</v>
      </c>
      <c r="H37" s="243">
        <f t="shared" si="11"/>
        <v>975000</v>
      </c>
      <c r="I37" s="200">
        <v>75000.0</v>
      </c>
      <c r="J37" s="244">
        <f t="shared" si="12"/>
        <v>1125000</v>
      </c>
      <c r="K37" s="245">
        <f t="shared" si="13"/>
        <v>150000</v>
      </c>
      <c r="L37" s="246">
        <f t="shared" si="14"/>
        <v>0.1538461538</v>
      </c>
      <c r="M37" s="247"/>
    </row>
    <row r="38" ht="15.75" customHeight="1">
      <c r="A38" s="312">
        <v>11.0</v>
      </c>
      <c r="B38" s="313" t="s">
        <v>1755</v>
      </c>
      <c r="C38" s="280" t="s">
        <v>69</v>
      </c>
      <c r="D38" s="314">
        <v>2550.0</v>
      </c>
      <c r="E38" s="308"/>
      <c r="F38" s="268" t="str">
        <f t="shared" si="10"/>
        <v/>
      </c>
      <c r="G38" s="199">
        <v>540.0</v>
      </c>
      <c r="H38" s="243">
        <f t="shared" si="11"/>
        <v>1377000</v>
      </c>
      <c r="I38" s="200">
        <v>750.0</v>
      </c>
      <c r="J38" s="244">
        <f t="shared" si="12"/>
        <v>1912500</v>
      </c>
      <c r="K38" s="245">
        <f t="shared" si="13"/>
        <v>535500</v>
      </c>
      <c r="L38" s="246">
        <f t="shared" si="14"/>
        <v>0.3888888889</v>
      </c>
      <c r="M38" s="247"/>
    </row>
    <row r="39" ht="15.75" customHeight="1">
      <c r="A39" s="312">
        <v>12.0</v>
      </c>
      <c r="B39" s="313" t="s">
        <v>1741</v>
      </c>
      <c r="C39" s="280" t="s">
        <v>69</v>
      </c>
      <c r="D39" s="314">
        <v>5.0</v>
      </c>
      <c r="E39" s="308"/>
      <c r="F39" s="268" t="str">
        <f t="shared" si="10"/>
        <v/>
      </c>
      <c r="G39" s="199">
        <v>32500.0</v>
      </c>
      <c r="H39" s="243">
        <f t="shared" si="11"/>
        <v>162500</v>
      </c>
      <c r="I39" s="200">
        <v>37500.0</v>
      </c>
      <c r="J39" s="244">
        <f t="shared" si="12"/>
        <v>187500</v>
      </c>
      <c r="K39" s="245">
        <f t="shared" si="13"/>
        <v>25000</v>
      </c>
      <c r="L39" s="246">
        <f t="shared" si="14"/>
        <v>0.1538461538</v>
      </c>
      <c r="M39" s="247"/>
    </row>
    <row r="40" ht="15.75" customHeight="1">
      <c r="A40" s="315">
        <v>13.0</v>
      </c>
      <c r="B40" s="313" t="s">
        <v>1756</v>
      </c>
      <c r="C40" s="248" t="s">
        <v>1583</v>
      </c>
      <c r="D40" s="314">
        <v>10.0</v>
      </c>
      <c r="E40" s="308"/>
      <c r="F40" s="268"/>
      <c r="G40" s="199">
        <v>35000.0</v>
      </c>
      <c r="H40" s="243">
        <f t="shared" si="11"/>
        <v>350000</v>
      </c>
      <c r="I40" s="200">
        <v>45000.0</v>
      </c>
      <c r="J40" s="244">
        <f t="shared" si="12"/>
        <v>450000</v>
      </c>
      <c r="K40" s="245"/>
      <c r="L40" s="246"/>
      <c r="M40" s="247"/>
    </row>
    <row r="41" ht="15.75" customHeight="1">
      <c r="A41" s="315">
        <v>14.0</v>
      </c>
      <c r="B41" s="313" t="s">
        <v>1757</v>
      </c>
      <c r="C41" s="248" t="s">
        <v>1583</v>
      </c>
      <c r="D41" s="314">
        <v>10.0</v>
      </c>
      <c r="E41" s="308"/>
      <c r="F41" s="268"/>
      <c r="G41" s="199">
        <v>27000.0</v>
      </c>
      <c r="H41" s="243">
        <f t="shared" si="11"/>
        <v>270000</v>
      </c>
      <c r="I41" s="200">
        <v>35000.0</v>
      </c>
      <c r="J41" s="244">
        <f t="shared" si="12"/>
        <v>350000</v>
      </c>
      <c r="K41" s="245"/>
      <c r="L41" s="246"/>
      <c r="M41" s="247"/>
    </row>
    <row r="42" ht="15.75" customHeight="1">
      <c r="A42" s="315">
        <v>15.0</v>
      </c>
      <c r="B42" s="313" t="s">
        <v>1758</v>
      </c>
      <c r="C42" s="280" t="s">
        <v>69</v>
      </c>
      <c r="D42" s="314">
        <v>5.0</v>
      </c>
      <c r="E42" s="308"/>
      <c r="F42" s="268" t="str">
        <f t="shared" ref="F42:F43" si="15">IF(E42&lt;&gt;"",D42*E42,"")</f>
        <v/>
      </c>
      <c r="G42" s="199">
        <v>10000.0</v>
      </c>
      <c r="H42" s="243">
        <f t="shared" si="11"/>
        <v>50000</v>
      </c>
      <c r="I42" s="200">
        <v>15000.0</v>
      </c>
      <c r="J42" s="244">
        <f t="shared" si="12"/>
        <v>75000</v>
      </c>
      <c r="K42" s="245">
        <f t="shared" ref="K42:K44" si="16">IF(J42&lt;&gt;"",IF(H42&lt;&gt;"",J42-H42,IF(F42&lt;&gt;"",J42-F42,"")),"")</f>
        <v>25000</v>
      </c>
      <c r="L42" s="246">
        <f t="shared" ref="L42:L44" si="17">IF(K42&lt;&gt;"",IF(H42&lt;&gt;"",IF(H42&lt;&gt;0,K42/H42,""),IF(F42&lt;&gt;"",IF(F42&lt;&gt;0,K42/F42,""),"")),"")</f>
        <v>0.5</v>
      </c>
      <c r="M42" s="247"/>
    </row>
    <row r="43" ht="15.75" customHeight="1">
      <c r="A43" s="315">
        <v>16.0</v>
      </c>
      <c r="B43" s="313" t="s">
        <v>1759</v>
      </c>
      <c r="C43" s="280" t="s">
        <v>69</v>
      </c>
      <c r="D43" s="314">
        <v>2600.0</v>
      </c>
      <c r="E43" s="308"/>
      <c r="F43" s="268" t="str">
        <f t="shared" si="15"/>
        <v/>
      </c>
      <c r="G43" s="199">
        <v>225.0</v>
      </c>
      <c r="H43" s="243">
        <f t="shared" si="11"/>
        <v>585000</v>
      </c>
      <c r="I43" s="200">
        <v>350.0</v>
      </c>
      <c r="J43" s="244">
        <f t="shared" si="12"/>
        <v>910000</v>
      </c>
      <c r="K43" s="245">
        <f t="shared" si="16"/>
        <v>325000</v>
      </c>
      <c r="L43" s="246">
        <f t="shared" si="17"/>
        <v>0.5555555556</v>
      </c>
      <c r="M43" s="247"/>
    </row>
    <row r="44" ht="15.75" customHeight="1">
      <c r="A44" s="272" t="s">
        <v>1760</v>
      </c>
      <c r="B44" s="206"/>
      <c r="C44" s="206"/>
      <c r="D44" s="174"/>
      <c r="E44" s="257"/>
      <c r="F44" s="258">
        <f>SUMIF(F28:F43,"&lt;&gt;",F28:F43)</f>
        <v>0</v>
      </c>
      <c r="G44" s="316"/>
      <c r="H44" s="258">
        <f>SUMIF(H28:H43,"&lt;&gt;",H28:H43)</f>
        <v>9855500</v>
      </c>
      <c r="I44" s="317"/>
      <c r="J44" s="260">
        <f>SUMIF(J28:J43,"&lt;&gt;",J28:J43)</f>
        <v>12042500</v>
      </c>
      <c r="K44" s="261">
        <f t="shared" si="16"/>
        <v>2187000</v>
      </c>
      <c r="L44" s="262">
        <f t="shared" si="17"/>
        <v>0.2219065496</v>
      </c>
      <c r="M44" s="257"/>
    </row>
    <row r="45" ht="15.75" customHeight="1"/>
    <row r="46" ht="15.75" customHeight="1">
      <c r="A46" s="228" t="s">
        <v>1667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</row>
    <row r="47" ht="15.75" customHeight="1">
      <c r="A47" s="229" t="s">
        <v>1509</v>
      </c>
      <c r="B47" s="229" t="s">
        <v>1510</v>
      </c>
      <c r="C47" s="229" t="s">
        <v>1511</v>
      </c>
      <c r="D47" s="229" t="s">
        <v>1614</v>
      </c>
      <c r="E47" s="230" t="s">
        <v>1615</v>
      </c>
      <c r="F47" s="174"/>
      <c r="G47" s="231" t="s">
        <v>1616</v>
      </c>
      <c r="H47" s="174"/>
      <c r="I47" s="232" t="s">
        <v>1617</v>
      </c>
      <c r="J47" s="174"/>
      <c r="K47" s="233" t="s">
        <v>1618</v>
      </c>
      <c r="L47" s="174"/>
      <c r="M47" s="229" t="s">
        <v>1619</v>
      </c>
    </row>
    <row r="48" ht="15.75" customHeight="1">
      <c r="A48" s="234" t="s">
        <v>1509</v>
      </c>
      <c r="B48" s="234" t="s">
        <v>1510</v>
      </c>
      <c r="C48" s="234" t="s">
        <v>1511</v>
      </c>
      <c r="D48" s="234" t="s">
        <v>1614</v>
      </c>
      <c r="E48" s="235" t="s">
        <v>1620</v>
      </c>
      <c r="F48" s="235" t="s">
        <v>1621</v>
      </c>
      <c r="G48" s="236" t="s">
        <v>1622</v>
      </c>
      <c r="H48" s="236" t="s">
        <v>1623</v>
      </c>
      <c r="I48" s="237" t="s">
        <v>1624</v>
      </c>
      <c r="J48" s="237" t="s">
        <v>1625</v>
      </c>
      <c r="K48" s="238" t="s">
        <v>1626</v>
      </c>
      <c r="L48" s="238" t="s">
        <v>1627</v>
      </c>
      <c r="M48" s="234" t="s">
        <v>1619</v>
      </c>
    </row>
    <row r="49" ht="15.75" customHeight="1">
      <c r="A49" s="248">
        <v>1.0</v>
      </c>
      <c r="B49" s="249" t="s">
        <v>1761</v>
      </c>
      <c r="C49" s="248" t="s">
        <v>1762</v>
      </c>
      <c r="D49" s="270">
        <v>1.0</v>
      </c>
      <c r="E49" s="267"/>
      <c r="F49" s="268" t="str">
        <f t="shared" ref="F49:F50" si="18">IF(E49&lt;&gt;"",D49*E49,"")</f>
        <v/>
      </c>
      <c r="G49" s="186">
        <v>3272000.0</v>
      </c>
      <c r="H49" s="243">
        <f t="shared" ref="H49:H50" si="19">IF(G49&lt;&gt;"",D49*G49,"")</f>
        <v>3272000</v>
      </c>
      <c r="I49" s="188">
        <v>3272000.0</v>
      </c>
      <c r="J49" s="244">
        <f t="shared" ref="J49:J50" si="20">IF(I49&lt;&gt;"",D49*I49,"")</f>
        <v>3272000</v>
      </c>
      <c r="K49" s="245">
        <f t="shared" ref="K49:K51" si="21">IF(J49&lt;&gt;"",IF(H49&lt;&gt;"",J49-H49,IF(F49&lt;&gt;"",J49-F49,"")),"")</f>
        <v>0</v>
      </c>
      <c r="L49" s="246">
        <f t="shared" ref="L49:L51" si="22">IF(K49&lt;&gt;"",IF(H49&lt;&gt;"",IF(H49&lt;&gt;0,K49/H49,""),IF(F49&lt;&gt;"",IF(F49&lt;&gt;0,K49/F49,""),"")),"")</f>
        <v>0</v>
      </c>
      <c r="M49" s="252"/>
    </row>
    <row r="50" ht="15.75" customHeight="1">
      <c r="A50" s="239">
        <v>2.0</v>
      </c>
      <c r="B50" s="249" t="s">
        <v>1761</v>
      </c>
      <c r="C50" s="239" t="s">
        <v>1762</v>
      </c>
      <c r="D50" s="271">
        <v>1.0</v>
      </c>
      <c r="E50" s="267"/>
      <c r="F50" s="268" t="str">
        <f t="shared" si="18"/>
        <v/>
      </c>
      <c r="G50" s="186">
        <v>3272000.0</v>
      </c>
      <c r="H50" s="263">
        <f t="shared" si="19"/>
        <v>3272000</v>
      </c>
      <c r="I50" s="188">
        <v>3272000.0</v>
      </c>
      <c r="J50" s="244">
        <f t="shared" si="20"/>
        <v>3272000</v>
      </c>
      <c r="K50" s="245">
        <f t="shared" si="21"/>
        <v>0</v>
      </c>
      <c r="L50" s="246">
        <f t="shared" si="22"/>
        <v>0</v>
      </c>
      <c r="M50" s="247"/>
    </row>
    <row r="51" ht="15.75" customHeight="1">
      <c r="A51" s="266"/>
      <c r="B51" s="266"/>
      <c r="C51" s="266"/>
      <c r="D51" s="266"/>
      <c r="E51" s="257"/>
      <c r="F51" s="258">
        <f>SUMIF(F49:F50,"&lt;&gt;",F49:F50)</f>
        <v>0</v>
      </c>
      <c r="G51" s="259"/>
      <c r="H51" s="260">
        <f>SUMIF(H49:H50,"&lt;&gt;",H49:H50)</f>
        <v>6544000</v>
      </c>
      <c r="I51" s="265"/>
      <c r="J51" s="260">
        <f>SUMIF(J49:J50,"&lt;&gt;",J49:J50)</f>
        <v>6544000</v>
      </c>
      <c r="K51" s="261">
        <f t="shared" si="21"/>
        <v>0</v>
      </c>
      <c r="L51" s="262">
        <f t="shared" si="22"/>
        <v>0</v>
      </c>
      <c r="M51" s="257"/>
    </row>
    <row r="52" ht="15.75" customHeight="1">
      <c r="A52" s="266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</row>
    <row r="53" ht="15.75" customHeight="1">
      <c r="A53" s="228" t="s">
        <v>1667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</row>
    <row r="54" ht="15.75" customHeight="1">
      <c r="A54" s="229" t="s">
        <v>1509</v>
      </c>
      <c r="B54" s="229" t="s">
        <v>1510</v>
      </c>
      <c r="C54" s="229" t="s">
        <v>1511</v>
      </c>
      <c r="D54" s="229" t="s">
        <v>1614</v>
      </c>
      <c r="E54" s="230" t="s">
        <v>1615</v>
      </c>
      <c r="F54" s="174"/>
      <c r="G54" s="231" t="s">
        <v>1616</v>
      </c>
      <c r="H54" s="174"/>
      <c r="I54" s="232" t="s">
        <v>1617</v>
      </c>
      <c r="J54" s="174"/>
      <c r="K54" s="233" t="s">
        <v>1618</v>
      </c>
      <c r="L54" s="174"/>
      <c r="M54" s="229" t="s">
        <v>1619</v>
      </c>
    </row>
    <row r="55" ht="15.75" customHeight="1">
      <c r="A55" s="234" t="s">
        <v>1509</v>
      </c>
      <c r="B55" s="234" t="s">
        <v>1510</v>
      </c>
      <c r="C55" s="234" t="s">
        <v>1511</v>
      </c>
      <c r="D55" s="234" t="s">
        <v>1614</v>
      </c>
      <c r="E55" s="235" t="s">
        <v>1620</v>
      </c>
      <c r="F55" s="235" t="s">
        <v>1621</v>
      </c>
      <c r="G55" s="236" t="s">
        <v>1622</v>
      </c>
      <c r="H55" s="236" t="s">
        <v>1623</v>
      </c>
      <c r="I55" s="237" t="s">
        <v>1624</v>
      </c>
      <c r="J55" s="237" t="s">
        <v>1625</v>
      </c>
      <c r="K55" s="238" t="s">
        <v>1626</v>
      </c>
      <c r="L55" s="238" t="s">
        <v>1627</v>
      </c>
      <c r="M55" s="234" t="s">
        <v>1619</v>
      </c>
    </row>
    <row r="56" ht="15.75" customHeight="1">
      <c r="A56" s="248">
        <v>1.0</v>
      </c>
      <c r="B56" s="249" t="s">
        <v>1746</v>
      </c>
      <c r="C56" s="248" t="s">
        <v>1176</v>
      </c>
      <c r="D56" s="270">
        <v>2.0</v>
      </c>
      <c r="E56" s="267"/>
      <c r="F56" s="268" t="str">
        <f t="shared" ref="F56:F57" si="23">IF(E56&lt;&gt;"",D56*E56,"")</f>
        <v/>
      </c>
      <c r="G56" s="186">
        <v>1125000.0</v>
      </c>
      <c r="H56" s="243">
        <f t="shared" ref="H56:H57" si="24">IF(G56&lt;&gt;"",D56*G56,"")</f>
        <v>2250000</v>
      </c>
      <c r="I56" s="188">
        <v>1250000.0</v>
      </c>
      <c r="J56" s="244">
        <f t="shared" ref="J56:J57" si="25">IF(I56&lt;&gt;"",D56*I56,"")</f>
        <v>2500000</v>
      </c>
      <c r="K56" s="245">
        <f t="shared" ref="K56:K58" si="26">IF(J56&lt;&gt;"",IF(H56&lt;&gt;"",J56-H56,IF(F56&lt;&gt;"",J56-F56,"")),"")</f>
        <v>250000</v>
      </c>
      <c r="L56" s="246">
        <f t="shared" ref="L56:L58" si="27">IF(K56&lt;&gt;"",IF(H56&lt;&gt;"",IF(H56&lt;&gt;0,K56/H56,""),IF(F56&lt;&gt;"",IF(F56&lt;&gt;0,K56/F56,""),"")),"")</f>
        <v>0.1111111111</v>
      </c>
      <c r="M56" s="252"/>
    </row>
    <row r="57" ht="15.75" customHeight="1">
      <c r="A57" s="239">
        <v>2.0</v>
      </c>
      <c r="B57" s="249" t="s">
        <v>1763</v>
      </c>
      <c r="C57" s="239" t="s">
        <v>69</v>
      </c>
      <c r="D57" s="271">
        <v>20.0</v>
      </c>
      <c r="E57" s="267"/>
      <c r="F57" s="268" t="str">
        <f t="shared" si="23"/>
        <v/>
      </c>
      <c r="G57" s="186">
        <v>3500.0</v>
      </c>
      <c r="H57" s="263">
        <f t="shared" si="24"/>
        <v>70000</v>
      </c>
      <c r="I57" s="188">
        <v>10000.0</v>
      </c>
      <c r="J57" s="244">
        <f t="shared" si="25"/>
        <v>200000</v>
      </c>
      <c r="K57" s="245">
        <f t="shared" si="26"/>
        <v>130000</v>
      </c>
      <c r="L57" s="246">
        <f t="shared" si="27"/>
        <v>1.857142857</v>
      </c>
      <c r="M57" s="247"/>
    </row>
    <row r="58" ht="15.75" customHeight="1">
      <c r="A58" s="318" t="s">
        <v>1764</v>
      </c>
      <c r="B58" s="206"/>
      <c r="C58" s="206"/>
      <c r="D58" s="174"/>
      <c r="E58" s="257"/>
      <c r="F58" s="258">
        <f>SUMIF(F56:F57,"&lt;&gt;",F56:F57)</f>
        <v>0</v>
      </c>
      <c r="G58" s="259"/>
      <c r="H58" s="260">
        <f>SUMIF(H56:H57,"&lt;&gt;",H56:H57)</f>
        <v>2320000</v>
      </c>
      <c r="I58" s="265"/>
      <c r="J58" s="260">
        <f>SUMIF(J56:J57,"&lt;&gt;",J56:J57)</f>
        <v>2700000</v>
      </c>
      <c r="K58" s="261">
        <f t="shared" si="26"/>
        <v>380000</v>
      </c>
      <c r="L58" s="262">
        <f t="shared" si="27"/>
        <v>0.1637931034</v>
      </c>
      <c r="M58" s="257"/>
    </row>
    <row r="59" ht="15.75" customHeight="1"/>
    <row r="60" ht="15.75" customHeight="1">
      <c r="A60" s="301" t="s">
        <v>1699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</row>
    <row r="61" ht="15.75" customHeight="1">
      <c r="A61" s="229" t="s">
        <v>1509</v>
      </c>
      <c r="B61" s="229" t="s">
        <v>1510</v>
      </c>
      <c r="C61" s="302" t="s">
        <v>1511</v>
      </c>
      <c r="D61" s="302" t="s">
        <v>1614</v>
      </c>
      <c r="E61" s="303" t="s">
        <v>1615</v>
      </c>
      <c r="F61" s="304"/>
      <c r="G61" s="305" t="s">
        <v>1616</v>
      </c>
      <c r="H61" s="304"/>
      <c r="I61" s="306" t="s">
        <v>1617</v>
      </c>
      <c r="J61" s="304"/>
      <c r="K61" s="307" t="s">
        <v>1618</v>
      </c>
      <c r="L61" s="304"/>
      <c r="M61" s="302" t="s">
        <v>1619</v>
      </c>
    </row>
    <row r="62" ht="15.75" customHeight="1">
      <c r="A62" s="234" t="s">
        <v>1509</v>
      </c>
      <c r="B62" s="234" t="s">
        <v>1510</v>
      </c>
      <c r="C62" s="234" t="s">
        <v>1511</v>
      </c>
      <c r="D62" s="234" t="s">
        <v>1614</v>
      </c>
      <c r="E62" s="235" t="s">
        <v>1620</v>
      </c>
      <c r="F62" s="235" t="s">
        <v>1621</v>
      </c>
      <c r="G62" s="236" t="s">
        <v>1622</v>
      </c>
      <c r="H62" s="236" t="s">
        <v>1623</v>
      </c>
      <c r="I62" s="237" t="s">
        <v>1624</v>
      </c>
      <c r="J62" s="237" t="s">
        <v>1625</v>
      </c>
      <c r="K62" s="238" t="s">
        <v>1626</v>
      </c>
      <c r="L62" s="238" t="s">
        <v>1627</v>
      </c>
      <c r="M62" s="234" t="s">
        <v>1619</v>
      </c>
    </row>
    <row r="63" ht="15.75" customHeight="1">
      <c r="A63" s="248">
        <v>1.0</v>
      </c>
      <c r="B63" s="249" t="s">
        <v>1735</v>
      </c>
      <c r="C63" s="248" t="s">
        <v>1583</v>
      </c>
      <c r="D63" s="270">
        <v>10.0</v>
      </c>
      <c r="E63" s="267"/>
      <c r="F63" s="268" t="str">
        <f t="shared" ref="F63:F76" si="28">IF(E63&lt;&gt;"",D63*E63,"")</f>
        <v/>
      </c>
      <c r="G63" s="199">
        <v>70000.0</v>
      </c>
      <c r="H63" s="243">
        <f t="shared" ref="H63:H76" si="29">IF(G63&lt;&gt;"",D63*G63,"")</f>
        <v>700000</v>
      </c>
      <c r="I63" s="200">
        <v>85000.0</v>
      </c>
      <c r="J63" s="244">
        <f t="shared" ref="J63:J76" si="30">IF(I63&lt;&gt;"",D63*I63,"")</f>
        <v>850000</v>
      </c>
      <c r="K63" s="245">
        <f t="shared" ref="K63:K77" si="31">IF(J63&lt;&gt;"",IF(H63&lt;&gt;"",J63-H63,IF(F63&lt;&gt;"",J63-F63,"")),"")</f>
        <v>150000</v>
      </c>
      <c r="L63" s="246">
        <f t="shared" ref="L63:L77" si="32">IF(K63&lt;&gt;"",IF(H63&lt;&gt;"",IF(H63&lt;&gt;0,K63/H63,""),IF(F63&lt;&gt;"",IF(F63&lt;&gt;0,K63/F63,""),"")),"")</f>
        <v>0.2142857143</v>
      </c>
      <c r="M63" s="247"/>
    </row>
    <row r="64" ht="15.75" customHeight="1">
      <c r="A64" s="239">
        <v>2.0</v>
      </c>
      <c r="B64" s="240" t="s">
        <v>1745</v>
      </c>
      <c r="C64" s="248" t="s">
        <v>1583</v>
      </c>
      <c r="D64" s="271">
        <v>40.0</v>
      </c>
      <c r="E64" s="308"/>
      <c r="F64" s="268" t="str">
        <f t="shared" si="28"/>
        <v/>
      </c>
      <c r="G64" s="199">
        <v>13000.0</v>
      </c>
      <c r="H64" s="243">
        <f t="shared" si="29"/>
        <v>520000</v>
      </c>
      <c r="I64" s="200">
        <v>17500.0</v>
      </c>
      <c r="J64" s="244">
        <f t="shared" si="30"/>
        <v>700000</v>
      </c>
      <c r="K64" s="245">
        <f t="shared" si="31"/>
        <v>180000</v>
      </c>
      <c r="L64" s="246">
        <f t="shared" si="32"/>
        <v>0.3461538462</v>
      </c>
      <c r="M64" s="247"/>
    </row>
    <row r="65" ht="15.75" customHeight="1">
      <c r="A65" s="248">
        <v>3.0</v>
      </c>
      <c r="B65" s="276" t="s">
        <v>1765</v>
      </c>
      <c r="C65" s="248" t="s">
        <v>1583</v>
      </c>
      <c r="D65" s="309">
        <v>10.0</v>
      </c>
      <c r="E65" s="310"/>
      <c r="F65" s="268" t="str">
        <f t="shared" si="28"/>
        <v/>
      </c>
      <c r="G65" s="199">
        <v>10000.0</v>
      </c>
      <c r="H65" s="243">
        <f t="shared" si="29"/>
        <v>100000</v>
      </c>
      <c r="I65" s="200">
        <v>12000.0</v>
      </c>
      <c r="J65" s="244">
        <f t="shared" si="30"/>
        <v>120000</v>
      </c>
      <c r="K65" s="245">
        <f t="shared" si="31"/>
        <v>20000</v>
      </c>
      <c r="L65" s="246">
        <f t="shared" si="32"/>
        <v>0.2</v>
      </c>
      <c r="M65" s="252"/>
    </row>
    <row r="66" ht="15.75" customHeight="1">
      <c r="A66" s="239">
        <v>4.0</v>
      </c>
      <c r="B66" s="275" t="s">
        <v>1766</v>
      </c>
      <c r="C66" s="280" t="s">
        <v>69</v>
      </c>
      <c r="D66" s="274">
        <v>2550.0</v>
      </c>
      <c r="E66" s="308"/>
      <c r="F66" s="268" t="str">
        <f t="shared" si="28"/>
        <v/>
      </c>
      <c r="G66" s="199">
        <v>1060.0</v>
      </c>
      <c r="H66" s="243">
        <f t="shared" si="29"/>
        <v>2703000</v>
      </c>
      <c r="I66" s="200">
        <v>1500.0</v>
      </c>
      <c r="J66" s="244">
        <f t="shared" si="30"/>
        <v>3825000</v>
      </c>
      <c r="K66" s="245">
        <f t="shared" si="31"/>
        <v>1122000</v>
      </c>
      <c r="L66" s="246">
        <f t="shared" si="32"/>
        <v>0.4150943396</v>
      </c>
      <c r="M66" s="247"/>
    </row>
    <row r="67" ht="15.75" customHeight="1">
      <c r="A67" s="248">
        <v>5.0</v>
      </c>
      <c r="B67" s="276" t="s">
        <v>1741</v>
      </c>
      <c r="C67" s="280" t="s">
        <v>69</v>
      </c>
      <c r="D67" s="309">
        <v>5.0</v>
      </c>
      <c r="E67" s="310"/>
      <c r="F67" s="268" t="str">
        <f t="shared" si="28"/>
        <v/>
      </c>
      <c r="G67" s="199">
        <v>43000.0</v>
      </c>
      <c r="H67" s="243">
        <f t="shared" si="29"/>
        <v>215000</v>
      </c>
      <c r="I67" s="200">
        <v>40000.0</v>
      </c>
      <c r="J67" s="244">
        <f t="shared" si="30"/>
        <v>200000</v>
      </c>
      <c r="K67" s="245">
        <f t="shared" si="31"/>
        <v>-15000</v>
      </c>
      <c r="L67" s="246">
        <f t="shared" si="32"/>
        <v>-0.06976744186</v>
      </c>
      <c r="M67" s="252"/>
    </row>
    <row r="68" ht="15.75" customHeight="1">
      <c r="A68" s="239">
        <v>6.0</v>
      </c>
      <c r="B68" s="275" t="s">
        <v>1742</v>
      </c>
      <c r="C68" s="280" t="s">
        <v>1676</v>
      </c>
      <c r="D68" s="274">
        <v>35.0</v>
      </c>
      <c r="E68" s="308"/>
      <c r="F68" s="268" t="str">
        <f t="shared" si="28"/>
        <v/>
      </c>
      <c r="G68" s="199">
        <v>65000.0</v>
      </c>
      <c r="H68" s="243">
        <f t="shared" si="29"/>
        <v>2275000</v>
      </c>
      <c r="I68" s="200">
        <v>75000.0</v>
      </c>
      <c r="J68" s="244">
        <f t="shared" si="30"/>
        <v>2625000</v>
      </c>
      <c r="K68" s="245">
        <f t="shared" si="31"/>
        <v>350000</v>
      </c>
      <c r="L68" s="246">
        <f t="shared" si="32"/>
        <v>0.1538461538</v>
      </c>
      <c r="M68" s="247"/>
    </row>
    <row r="69" ht="15.75" customHeight="1">
      <c r="A69" s="248">
        <v>7.0</v>
      </c>
      <c r="B69" s="276" t="s">
        <v>1767</v>
      </c>
      <c r="C69" s="280" t="s">
        <v>69</v>
      </c>
      <c r="D69" s="309">
        <v>3.0</v>
      </c>
      <c r="E69" s="310"/>
      <c r="F69" s="268" t="str">
        <f t="shared" si="28"/>
        <v/>
      </c>
      <c r="G69" s="311">
        <v>15000.0</v>
      </c>
      <c r="H69" s="243">
        <f t="shared" si="29"/>
        <v>45000</v>
      </c>
      <c r="I69" s="200">
        <v>25000.0</v>
      </c>
      <c r="J69" s="244">
        <f t="shared" si="30"/>
        <v>75000</v>
      </c>
      <c r="K69" s="245">
        <f t="shared" si="31"/>
        <v>30000</v>
      </c>
      <c r="L69" s="246">
        <f t="shared" si="32"/>
        <v>0.6666666667</v>
      </c>
      <c r="M69" s="252"/>
    </row>
    <row r="70" ht="15.75" customHeight="1">
      <c r="A70" s="239">
        <v>8.0</v>
      </c>
      <c r="B70" s="275" t="s">
        <v>1768</v>
      </c>
      <c r="C70" s="280" t="s">
        <v>69</v>
      </c>
      <c r="D70" s="274">
        <v>2.0</v>
      </c>
      <c r="E70" s="308"/>
      <c r="F70" s="268" t="str">
        <f t="shared" si="28"/>
        <v/>
      </c>
      <c r="G70" s="311">
        <v>10000.0</v>
      </c>
      <c r="H70" s="243">
        <f t="shared" si="29"/>
        <v>20000</v>
      </c>
      <c r="I70" s="200">
        <v>20000.0</v>
      </c>
      <c r="J70" s="244">
        <f t="shared" si="30"/>
        <v>40000</v>
      </c>
      <c r="K70" s="245">
        <f t="shared" si="31"/>
        <v>20000</v>
      </c>
      <c r="L70" s="246">
        <f t="shared" si="32"/>
        <v>1</v>
      </c>
      <c r="M70" s="247"/>
    </row>
    <row r="71" ht="15.75" customHeight="1">
      <c r="A71" s="248">
        <v>9.0</v>
      </c>
      <c r="B71" s="276" t="s">
        <v>1769</v>
      </c>
      <c r="C71" s="280" t="s">
        <v>1740</v>
      </c>
      <c r="D71" s="309">
        <v>1.0</v>
      </c>
      <c r="E71" s="310"/>
      <c r="F71" s="268" t="str">
        <f t="shared" si="28"/>
        <v/>
      </c>
      <c r="G71" s="199">
        <v>470000.0</v>
      </c>
      <c r="H71" s="243">
        <f t="shared" si="29"/>
        <v>470000</v>
      </c>
      <c r="I71" s="200">
        <v>550000.0</v>
      </c>
      <c r="J71" s="244">
        <f t="shared" si="30"/>
        <v>550000</v>
      </c>
      <c r="K71" s="245">
        <f t="shared" si="31"/>
        <v>80000</v>
      </c>
      <c r="L71" s="246">
        <f t="shared" si="32"/>
        <v>0.170212766</v>
      </c>
      <c r="M71" s="252"/>
    </row>
    <row r="72" ht="15.75" customHeight="1">
      <c r="A72" s="239">
        <v>10.0</v>
      </c>
      <c r="B72" s="275" t="s">
        <v>1770</v>
      </c>
      <c r="C72" s="280" t="s">
        <v>1771</v>
      </c>
      <c r="D72" s="274">
        <v>60.7</v>
      </c>
      <c r="E72" s="308"/>
      <c r="F72" s="268" t="str">
        <f t="shared" si="28"/>
        <v/>
      </c>
      <c r="G72" s="199">
        <v>14500.0</v>
      </c>
      <c r="H72" s="243">
        <f t="shared" si="29"/>
        <v>880150</v>
      </c>
      <c r="I72" s="200">
        <v>20000.0</v>
      </c>
      <c r="J72" s="244">
        <f t="shared" si="30"/>
        <v>1214000</v>
      </c>
      <c r="K72" s="245">
        <f t="shared" si="31"/>
        <v>333850</v>
      </c>
      <c r="L72" s="246">
        <f t="shared" si="32"/>
        <v>0.3793103448</v>
      </c>
      <c r="M72" s="247"/>
    </row>
    <row r="73" ht="15.75" customHeight="1">
      <c r="A73" s="312">
        <v>11.0</v>
      </c>
      <c r="B73" s="313" t="s">
        <v>1772</v>
      </c>
      <c r="C73" s="280" t="s">
        <v>1773</v>
      </c>
      <c r="D73" s="314">
        <v>14.9</v>
      </c>
      <c r="E73" s="308"/>
      <c r="F73" s="268" t="str">
        <f t="shared" si="28"/>
        <v/>
      </c>
      <c r="G73" s="199">
        <v>19000.0</v>
      </c>
      <c r="H73" s="243">
        <f t="shared" si="29"/>
        <v>283100</v>
      </c>
      <c r="I73" s="200">
        <v>30000.0</v>
      </c>
      <c r="J73" s="244">
        <f t="shared" si="30"/>
        <v>447000</v>
      </c>
      <c r="K73" s="245">
        <f t="shared" si="31"/>
        <v>163900</v>
      </c>
      <c r="L73" s="246">
        <f t="shared" si="32"/>
        <v>0.5789473684</v>
      </c>
      <c r="M73" s="247"/>
    </row>
    <row r="74" ht="15.75" customHeight="1">
      <c r="A74" s="312">
        <v>12.0</v>
      </c>
      <c r="B74" s="313" t="s">
        <v>1774</v>
      </c>
      <c r="C74" s="280" t="s">
        <v>1775</v>
      </c>
      <c r="D74" s="314">
        <v>9.0</v>
      </c>
      <c r="E74" s="308"/>
      <c r="F74" s="268" t="str">
        <f t="shared" si="28"/>
        <v/>
      </c>
      <c r="G74" s="199">
        <v>27000.0</v>
      </c>
      <c r="H74" s="243">
        <f t="shared" si="29"/>
        <v>243000</v>
      </c>
      <c r="I74" s="200">
        <v>35000.0</v>
      </c>
      <c r="J74" s="244">
        <f t="shared" si="30"/>
        <v>315000</v>
      </c>
      <c r="K74" s="245">
        <f t="shared" si="31"/>
        <v>72000</v>
      </c>
      <c r="L74" s="246">
        <f t="shared" si="32"/>
        <v>0.2962962963</v>
      </c>
      <c r="M74" s="247"/>
    </row>
    <row r="75" ht="15.75" customHeight="1">
      <c r="A75" s="312">
        <v>13.0</v>
      </c>
      <c r="B75" s="313" t="s">
        <v>1776</v>
      </c>
      <c r="C75" s="280" t="s">
        <v>69</v>
      </c>
      <c r="D75" s="314">
        <v>1020.0</v>
      </c>
      <c r="E75" s="308"/>
      <c r="F75" s="268" t="str">
        <f t="shared" si="28"/>
        <v/>
      </c>
      <c r="G75" s="199">
        <v>1800.0</v>
      </c>
      <c r="H75" s="243">
        <f t="shared" si="29"/>
        <v>1836000</v>
      </c>
      <c r="I75" s="200">
        <v>2000.0</v>
      </c>
      <c r="J75" s="244">
        <f t="shared" si="30"/>
        <v>2040000</v>
      </c>
      <c r="K75" s="245">
        <f t="shared" si="31"/>
        <v>204000</v>
      </c>
      <c r="L75" s="246">
        <f t="shared" si="32"/>
        <v>0.1111111111</v>
      </c>
      <c r="M75" s="247"/>
    </row>
    <row r="76" ht="15.75" customHeight="1">
      <c r="A76" s="312">
        <v>14.0</v>
      </c>
      <c r="B76" s="313" t="s">
        <v>1777</v>
      </c>
      <c r="C76" s="280" t="s">
        <v>1778</v>
      </c>
      <c r="D76" s="314">
        <v>1.0</v>
      </c>
      <c r="E76" s="308"/>
      <c r="F76" s="268" t="str">
        <f t="shared" si="28"/>
        <v/>
      </c>
      <c r="G76" s="199">
        <v>22000.0</v>
      </c>
      <c r="H76" s="243">
        <f t="shared" si="29"/>
        <v>22000</v>
      </c>
      <c r="I76" s="200">
        <v>650000.0</v>
      </c>
      <c r="J76" s="244">
        <f t="shared" si="30"/>
        <v>650000</v>
      </c>
      <c r="K76" s="245">
        <f t="shared" si="31"/>
        <v>628000</v>
      </c>
      <c r="L76" s="246">
        <f t="shared" si="32"/>
        <v>28.54545455</v>
      </c>
      <c r="M76" s="247"/>
    </row>
    <row r="77" ht="15.75" customHeight="1">
      <c r="A77" s="272" t="s">
        <v>1779</v>
      </c>
      <c r="B77" s="206"/>
      <c r="C77" s="206"/>
      <c r="D77" s="174"/>
      <c r="E77" s="257"/>
      <c r="F77" s="258">
        <f>SUMIF(F63:F76,"&lt;&gt;",F63:F76)</f>
        <v>0</v>
      </c>
      <c r="G77" s="316"/>
      <c r="H77" s="258">
        <f>SUMIF(H63:H76,"&lt;&gt;",H63:H76)</f>
        <v>10312250</v>
      </c>
      <c r="I77" s="317"/>
      <c r="J77" s="260">
        <f>SUMIF(J63:J76,"&lt;&gt;",J63:J76)</f>
        <v>13651000</v>
      </c>
      <c r="K77" s="261">
        <f t="shared" si="31"/>
        <v>3338750</v>
      </c>
      <c r="L77" s="262">
        <f t="shared" si="32"/>
        <v>0.3237654246</v>
      </c>
      <c r="M77" s="257"/>
    </row>
    <row r="78" ht="15.75" customHeight="1"/>
    <row r="79" ht="15.75" customHeight="1">
      <c r="A79" s="301" t="s">
        <v>1709</v>
      </c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</row>
    <row r="80" ht="15.75" customHeight="1">
      <c r="A80" s="229" t="s">
        <v>1509</v>
      </c>
      <c r="B80" s="229" t="s">
        <v>1510</v>
      </c>
      <c r="C80" s="302" t="s">
        <v>1511</v>
      </c>
      <c r="D80" s="302" t="s">
        <v>1614</v>
      </c>
      <c r="E80" s="303" t="s">
        <v>1615</v>
      </c>
      <c r="F80" s="304"/>
      <c r="G80" s="305" t="s">
        <v>1616</v>
      </c>
      <c r="H80" s="304"/>
      <c r="I80" s="306" t="s">
        <v>1617</v>
      </c>
      <c r="J80" s="304"/>
      <c r="K80" s="307" t="s">
        <v>1618</v>
      </c>
      <c r="L80" s="304"/>
      <c r="M80" s="302" t="s">
        <v>1619</v>
      </c>
    </row>
    <row r="81" ht="15.75" customHeight="1">
      <c r="A81" s="234" t="s">
        <v>1509</v>
      </c>
      <c r="B81" s="234" t="s">
        <v>1510</v>
      </c>
      <c r="C81" s="234" t="s">
        <v>1511</v>
      </c>
      <c r="D81" s="234" t="s">
        <v>1614</v>
      </c>
      <c r="E81" s="235" t="s">
        <v>1620</v>
      </c>
      <c r="F81" s="235" t="s">
        <v>1621</v>
      </c>
      <c r="G81" s="236" t="s">
        <v>1622</v>
      </c>
      <c r="H81" s="236" t="s">
        <v>1623</v>
      </c>
      <c r="I81" s="237" t="s">
        <v>1624</v>
      </c>
      <c r="J81" s="237" t="s">
        <v>1625</v>
      </c>
      <c r="K81" s="238" t="s">
        <v>1626</v>
      </c>
      <c r="L81" s="238" t="s">
        <v>1627</v>
      </c>
      <c r="M81" s="234" t="s">
        <v>1619</v>
      </c>
    </row>
    <row r="82" ht="15.75" customHeight="1">
      <c r="A82" s="248">
        <v>1.0</v>
      </c>
      <c r="B82" s="249" t="s">
        <v>1735</v>
      </c>
      <c r="C82" s="248" t="s">
        <v>1583</v>
      </c>
      <c r="D82" s="270">
        <v>10.0</v>
      </c>
      <c r="E82" s="267"/>
      <c r="F82" s="268" t="str">
        <f t="shared" ref="F82:F93" si="33">IF(E82&lt;&gt;"",D82*E82,"")</f>
        <v/>
      </c>
      <c r="G82" s="199">
        <v>73000.0</v>
      </c>
      <c r="H82" s="243">
        <f t="shared" ref="H82:H93" si="34">IF(G82&lt;&gt;"",D82*G82,"")</f>
        <v>730000</v>
      </c>
      <c r="I82" s="200">
        <v>85000.0</v>
      </c>
      <c r="J82" s="244">
        <f t="shared" ref="J82:J93" si="35">IF(I82&lt;&gt;"",D82*I82,"")</f>
        <v>850000</v>
      </c>
      <c r="K82" s="245">
        <f t="shared" ref="K82:K94" si="36">IF(J82&lt;&gt;"",IF(H82&lt;&gt;"",J82-H82,IF(F82&lt;&gt;"",J82-F82,"")),"")</f>
        <v>120000</v>
      </c>
      <c r="L82" s="246">
        <f t="shared" ref="L82:L94" si="37">IF(K82&lt;&gt;"",IF(H82&lt;&gt;"",IF(H82&lt;&gt;0,K82/H82,""),IF(F82&lt;&gt;"",IF(F82&lt;&gt;0,K82/F82,""),"")),"")</f>
        <v>0.1643835616</v>
      </c>
      <c r="M82" s="247"/>
    </row>
    <row r="83" ht="15.75" customHeight="1">
      <c r="A83" s="239">
        <v>2.0</v>
      </c>
      <c r="B83" s="240" t="s">
        <v>1745</v>
      </c>
      <c r="C83" s="248" t="s">
        <v>1583</v>
      </c>
      <c r="D83" s="271">
        <v>40.0</v>
      </c>
      <c r="E83" s="308"/>
      <c r="F83" s="268" t="str">
        <f t="shared" si="33"/>
        <v/>
      </c>
      <c r="G83" s="199">
        <v>9500.0</v>
      </c>
      <c r="H83" s="243">
        <f t="shared" si="34"/>
        <v>380000</v>
      </c>
      <c r="I83" s="200">
        <v>17500.0</v>
      </c>
      <c r="J83" s="244">
        <f t="shared" si="35"/>
        <v>700000</v>
      </c>
      <c r="K83" s="245">
        <f t="shared" si="36"/>
        <v>320000</v>
      </c>
      <c r="L83" s="246">
        <f t="shared" si="37"/>
        <v>0.8421052632</v>
      </c>
      <c r="M83" s="247"/>
    </row>
    <row r="84" ht="15.75" customHeight="1">
      <c r="A84" s="248">
        <v>3.0</v>
      </c>
      <c r="B84" s="276" t="s">
        <v>1746</v>
      </c>
      <c r="C84" s="280" t="s">
        <v>1176</v>
      </c>
      <c r="D84" s="309">
        <v>4.0</v>
      </c>
      <c r="E84" s="310"/>
      <c r="F84" s="268" t="str">
        <f t="shared" si="33"/>
        <v/>
      </c>
      <c r="G84" s="199">
        <v>1190000.0</v>
      </c>
      <c r="H84" s="243">
        <f t="shared" si="34"/>
        <v>4760000</v>
      </c>
      <c r="I84" s="200">
        <v>1350000.0</v>
      </c>
      <c r="J84" s="244">
        <f t="shared" si="35"/>
        <v>5400000</v>
      </c>
      <c r="K84" s="245">
        <f t="shared" si="36"/>
        <v>640000</v>
      </c>
      <c r="L84" s="246">
        <f t="shared" si="37"/>
        <v>0.1344537815</v>
      </c>
      <c r="M84" s="252"/>
    </row>
    <row r="85" ht="15.75" customHeight="1">
      <c r="A85" s="239">
        <v>4.0</v>
      </c>
      <c r="B85" s="275" t="s">
        <v>1780</v>
      </c>
      <c r="C85" s="248" t="s">
        <v>1583</v>
      </c>
      <c r="D85" s="274">
        <v>10.0</v>
      </c>
      <c r="E85" s="308"/>
      <c r="F85" s="268" t="str">
        <f t="shared" si="33"/>
        <v/>
      </c>
      <c r="G85" s="199">
        <v>25000.0</v>
      </c>
      <c r="H85" s="243">
        <f t="shared" si="34"/>
        <v>250000</v>
      </c>
      <c r="I85" s="200">
        <v>30000.0</v>
      </c>
      <c r="J85" s="244">
        <f t="shared" si="35"/>
        <v>300000</v>
      </c>
      <c r="K85" s="245">
        <f t="shared" si="36"/>
        <v>50000</v>
      </c>
      <c r="L85" s="246">
        <f t="shared" si="37"/>
        <v>0.2</v>
      </c>
      <c r="M85" s="247"/>
    </row>
    <row r="86" ht="15.75" customHeight="1">
      <c r="A86" s="248">
        <v>5.0</v>
      </c>
      <c r="B86" s="276" t="s">
        <v>1781</v>
      </c>
      <c r="C86" s="280" t="s">
        <v>261</v>
      </c>
      <c r="D86" s="309">
        <v>1.0</v>
      </c>
      <c r="E86" s="310"/>
      <c r="F86" s="268" t="str">
        <f t="shared" si="33"/>
        <v/>
      </c>
      <c r="G86" s="199">
        <v>208000.0</v>
      </c>
      <c r="H86" s="243">
        <f t="shared" si="34"/>
        <v>208000</v>
      </c>
      <c r="I86" s="200">
        <v>245000.0</v>
      </c>
      <c r="J86" s="244">
        <f t="shared" si="35"/>
        <v>245000</v>
      </c>
      <c r="K86" s="245">
        <f t="shared" si="36"/>
        <v>37000</v>
      </c>
      <c r="L86" s="246">
        <f t="shared" si="37"/>
        <v>0.1778846154</v>
      </c>
      <c r="M86" s="252"/>
    </row>
    <row r="87" ht="15.75" customHeight="1">
      <c r="A87" s="239">
        <v>6.0</v>
      </c>
      <c r="B87" s="275" t="s">
        <v>1782</v>
      </c>
      <c r="C87" s="280" t="s">
        <v>261</v>
      </c>
      <c r="D87" s="274">
        <v>1.0</v>
      </c>
      <c r="E87" s="308"/>
      <c r="F87" s="268" t="str">
        <f t="shared" si="33"/>
        <v/>
      </c>
      <c r="G87" s="199">
        <v>180000.0</v>
      </c>
      <c r="H87" s="243">
        <f t="shared" si="34"/>
        <v>180000</v>
      </c>
      <c r="I87" s="200">
        <v>210000.0</v>
      </c>
      <c r="J87" s="244">
        <f t="shared" si="35"/>
        <v>210000</v>
      </c>
      <c r="K87" s="245">
        <f t="shared" si="36"/>
        <v>30000</v>
      </c>
      <c r="L87" s="246">
        <f t="shared" si="37"/>
        <v>0.1666666667</v>
      </c>
      <c r="M87" s="247"/>
    </row>
    <row r="88" ht="15.75" customHeight="1">
      <c r="A88" s="248">
        <v>7.0</v>
      </c>
      <c r="B88" s="276" t="s">
        <v>1783</v>
      </c>
      <c r="C88" s="280" t="s">
        <v>261</v>
      </c>
      <c r="D88" s="309">
        <v>1.0</v>
      </c>
      <c r="E88" s="310"/>
      <c r="F88" s="268" t="str">
        <f t="shared" si="33"/>
        <v/>
      </c>
      <c r="G88" s="311">
        <v>285000.0</v>
      </c>
      <c r="H88" s="243">
        <f t="shared" si="34"/>
        <v>285000</v>
      </c>
      <c r="I88" s="200">
        <v>325000.0</v>
      </c>
      <c r="J88" s="244">
        <f t="shared" si="35"/>
        <v>325000</v>
      </c>
      <c r="K88" s="245">
        <f t="shared" si="36"/>
        <v>40000</v>
      </c>
      <c r="L88" s="246">
        <f t="shared" si="37"/>
        <v>0.1403508772</v>
      </c>
      <c r="M88" s="252"/>
    </row>
    <row r="89" ht="15.75" customHeight="1">
      <c r="A89" s="239">
        <v>8.0</v>
      </c>
      <c r="B89" s="275" t="s">
        <v>1753</v>
      </c>
      <c r="C89" s="280" t="s">
        <v>1754</v>
      </c>
      <c r="D89" s="274">
        <v>75.0</v>
      </c>
      <c r="E89" s="308"/>
      <c r="F89" s="268" t="str">
        <f t="shared" si="33"/>
        <v/>
      </c>
      <c r="G89" s="311">
        <v>19200.0</v>
      </c>
      <c r="H89" s="243">
        <f t="shared" si="34"/>
        <v>1440000</v>
      </c>
      <c r="I89" s="200">
        <v>22500.0</v>
      </c>
      <c r="J89" s="244">
        <f t="shared" si="35"/>
        <v>1687500</v>
      </c>
      <c r="K89" s="245">
        <f t="shared" si="36"/>
        <v>247500</v>
      </c>
      <c r="L89" s="246">
        <f t="shared" si="37"/>
        <v>0.171875</v>
      </c>
      <c r="M89" s="247"/>
    </row>
    <row r="90" ht="15.75" customHeight="1">
      <c r="A90" s="248">
        <v>9.0</v>
      </c>
      <c r="B90" s="276" t="s">
        <v>1742</v>
      </c>
      <c r="C90" s="280" t="s">
        <v>1676</v>
      </c>
      <c r="D90" s="309">
        <v>15.0</v>
      </c>
      <c r="E90" s="310"/>
      <c r="F90" s="268" t="str">
        <f t="shared" si="33"/>
        <v/>
      </c>
      <c r="G90" s="199">
        <v>65000.0</v>
      </c>
      <c r="H90" s="243">
        <f t="shared" si="34"/>
        <v>975000</v>
      </c>
      <c r="I90" s="200">
        <v>75000.0</v>
      </c>
      <c r="J90" s="244">
        <f t="shared" si="35"/>
        <v>1125000</v>
      </c>
      <c r="K90" s="245">
        <f t="shared" si="36"/>
        <v>150000</v>
      </c>
      <c r="L90" s="246">
        <f t="shared" si="37"/>
        <v>0.1538461538</v>
      </c>
      <c r="M90" s="252"/>
    </row>
    <row r="91" ht="15.75" customHeight="1">
      <c r="A91" s="239">
        <v>10.0</v>
      </c>
      <c r="B91" s="275" t="s">
        <v>1784</v>
      </c>
      <c r="C91" s="280" t="s">
        <v>1676</v>
      </c>
      <c r="D91" s="274">
        <v>5.0</v>
      </c>
      <c r="E91" s="308"/>
      <c r="F91" s="268" t="str">
        <f t="shared" si="33"/>
        <v/>
      </c>
      <c r="G91" s="199">
        <v>51000.0</v>
      </c>
      <c r="H91" s="243">
        <f t="shared" si="34"/>
        <v>255000</v>
      </c>
      <c r="I91" s="200">
        <v>75000.0</v>
      </c>
      <c r="J91" s="244">
        <f t="shared" si="35"/>
        <v>375000</v>
      </c>
      <c r="K91" s="245">
        <f t="shared" si="36"/>
        <v>120000</v>
      </c>
      <c r="L91" s="246">
        <f t="shared" si="37"/>
        <v>0.4705882353</v>
      </c>
      <c r="M91" s="247"/>
    </row>
    <row r="92" ht="15.75" customHeight="1">
      <c r="A92" s="312">
        <v>11.0</v>
      </c>
      <c r="B92" s="313" t="s">
        <v>1785</v>
      </c>
      <c r="C92" s="280" t="s">
        <v>1786</v>
      </c>
      <c r="D92" s="314">
        <v>1.0</v>
      </c>
      <c r="E92" s="308"/>
      <c r="F92" s="268" t="str">
        <f t="shared" si="33"/>
        <v/>
      </c>
      <c r="G92" s="199">
        <v>128000.0</v>
      </c>
      <c r="H92" s="243">
        <f t="shared" si="34"/>
        <v>128000</v>
      </c>
      <c r="I92" s="200">
        <v>320000.0</v>
      </c>
      <c r="J92" s="244">
        <f t="shared" si="35"/>
        <v>320000</v>
      </c>
      <c r="K92" s="245">
        <f t="shared" si="36"/>
        <v>192000</v>
      </c>
      <c r="L92" s="246">
        <f t="shared" si="37"/>
        <v>1.5</v>
      </c>
      <c r="M92" s="247"/>
    </row>
    <row r="93" ht="15.75" customHeight="1">
      <c r="A93" s="312">
        <v>12.0</v>
      </c>
      <c r="B93" s="313" t="s">
        <v>1787</v>
      </c>
      <c r="C93" s="280" t="s">
        <v>69</v>
      </c>
      <c r="D93" s="314">
        <v>2550.0</v>
      </c>
      <c r="E93" s="308"/>
      <c r="F93" s="268" t="str">
        <f t="shared" si="33"/>
        <v/>
      </c>
      <c r="G93" s="199">
        <v>425.0</v>
      </c>
      <c r="H93" s="243">
        <f t="shared" si="34"/>
        <v>1083750</v>
      </c>
      <c r="I93" s="200">
        <v>450.0</v>
      </c>
      <c r="J93" s="244">
        <f t="shared" si="35"/>
        <v>1147500</v>
      </c>
      <c r="K93" s="245">
        <f t="shared" si="36"/>
        <v>63750</v>
      </c>
      <c r="L93" s="246">
        <f t="shared" si="37"/>
        <v>0.05882352941</v>
      </c>
      <c r="M93" s="247"/>
    </row>
    <row r="94" ht="15.75" customHeight="1">
      <c r="A94" s="272" t="s">
        <v>1788</v>
      </c>
      <c r="B94" s="206"/>
      <c r="C94" s="206"/>
      <c r="D94" s="174"/>
      <c r="E94" s="257"/>
      <c r="F94" s="258">
        <f>SUMIF(F82:F93,"&lt;&gt;",F82:F93)</f>
        <v>0</v>
      </c>
      <c r="G94" s="316"/>
      <c r="H94" s="258">
        <f>SUMIF(H82:H93,"&lt;&gt;",H82:H93)</f>
        <v>10674750</v>
      </c>
      <c r="I94" s="317"/>
      <c r="J94" s="260">
        <f>SUMIF(J82:J93,"&lt;&gt;",J82:J93)</f>
        <v>12685000</v>
      </c>
      <c r="K94" s="261">
        <f t="shared" si="36"/>
        <v>2010250</v>
      </c>
      <c r="L94" s="262">
        <f t="shared" si="37"/>
        <v>0.1883182276</v>
      </c>
      <c r="M94" s="257"/>
    </row>
    <row r="95" ht="15.75" customHeight="1"/>
    <row r="96" ht="15.75" customHeight="1">
      <c r="A96" s="273" t="s">
        <v>1789</v>
      </c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</row>
    <row r="97" ht="15.75" customHeight="1">
      <c r="A97" s="229" t="s">
        <v>1509</v>
      </c>
      <c r="B97" s="229" t="s">
        <v>1510</v>
      </c>
      <c r="C97" s="229" t="s">
        <v>1511</v>
      </c>
      <c r="D97" s="229" t="s">
        <v>1614</v>
      </c>
      <c r="E97" s="230" t="s">
        <v>1615</v>
      </c>
      <c r="F97" s="174"/>
      <c r="G97" s="231" t="s">
        <v>1616</v>
      </c>
      <c r="H97" s="174"/>
      <c r="I97" s="232" t="s">
        <v>1617</v>
      </c>
      <c r="J97" s="174"/>
      <c r="K97" s="233" t="s">
        <v>1618</v>
      </c>
      <c r="L97" s="174"/>
      <c r="M97" s="229" t="s">
        <v>1619</v>
      </c>
    </row>
    <row r="98" ht="15.75" customHeight="1">
      <c r="A98" s="234" t="s">
        <v>1509</v>
      </c>
      <c r="B98" s="234" t="s">
        <v>1510</v>
      </c>
      <c r="C98" s="234" t="s">
        <v>1511</v>
      </c>
      <c r="D98" s="234" t="s">
        <v>1614</v>
      </c>
      <c r="E98" s="235" t="s">
        <v>1620</v>
      </c>
      <c r="F98" s="235" t="s">
        <v>1621</v>
      </c>
      <c r="G98" s="236" t="s">
        <v>1622</v>
      </c>
      <c r="H98" s="236" t="s">
        <v>1623</v>
      </c>
      <c r="I98" s="237" t="s">
        <v>1624</v>
      </c>
      <c r="J98" s="237" t="s">
        <v>1625</v>
      </c>
      <c r="K98" s="238" t="s">
        <v>1626</v>
      </c>
      <c r="L98" s="238" t="s">
        <v>1627</v>
      </c>
      <c r="M98" s="234" t="s">
        <v>1619</v>
      </c>
    </row>
    <row r="99" ht="15.75" customHeight="1">
      <c r="A99" s="248">
        <v>1.0</v>
      </c>
      <c r="B99" s="276" t="s">
        <v>1790</v>
      </c>
      <c r="C99" s="248" t="s">
        <v>1762</v>
      </c>
      <c r="D99" s="270">
        <v>1.0</v>
      </c>
      <c r="E99" s="267"/>
      <c r="F99" s="268" t="str">
        <f t="shared" ref="F99:F100" si="38">IF(E99&lt;&gt;"",D99*E99,"")</f>
        <v/>
      </c>
      <c r="G99" s="199">
        <v>3272500.0</v>
      </c>
      <c r="H99" s="243">
        <f t="shared" ref="H99:H100" si="39">IF(G99&lt;&gt;"",D99*G99,"")</f>
        <v>3272500</v>
      </c>
      <c r="I99" s="200">
        <v>3272500.0</v>
      </c>
      <c r="J99" s="244">
        <f t="shared" ref="J99:J100" si="40">IF(I99&lt;&gt;"",D99*I99,"")</f>
        <v>3272500</v>
      </c>
      <c r="K99" s="245">
        <f t="shared" ref="K99:K101" si="41">IF(J99&lt;&gt;"",IF(H99&lt;&gt;"",J99-H99,IF(F99&lt;&gt;"",J99-F99,"")),"")</f>
        <v>0</v>
      </c>
      <c r="L99" s="246">
        <f t="shared" ref="L99:L101" si="42">IF(K99&lt;&gt;"",IF(H99&lt;&gt;"",IF(H99&lt;&gt;0,K99/H99,""),IF(F99&lt;&gt;"",IF(F99&lt;&gt;0,K99/F99,""),"")),"")</f>
        <v>0</v>
      </c>
      <c r="M99" s="252"/>
    </row>
    <row r="100" ht="15.75" customHeight="1">
      <c r="A100" s="239">
        <v>2.0</v>
      </c>
      <c r="B100" s="276" t="s">
        <v>1790</v>
      </c>
      <c r="C100" s="239" t="s">
        <v>1762</v>
      </c>
      <c r="D100" s="271">
        <v>1.0</v>
      </c>
      <c r="E100" s="267"/>
      <c r="F100" s="268" t="str">
        <f t="shared" si="38"/>
        <v/>
      </c>
      <c r="G100" s="199">
        <v>3272500.0</v>
      </c>
      <c r="H100" s="263">
        <f t="shared" si="39"/>
        <v>3272500</v>
      </c>
      <c r="I100" s="200">
        <v>3272500.0</v>
      </c>
      <c r="J100" s="244">
        <f t="shared" si="40"/>
        <v>3272500</v>
      </c>
      <c r="K100" s="245">
        <f t="shared" si="41"/>
        <v>0</v>
      </c>
      <c r="L100" s="246">
        <f t="shared" si="42"/>
        <v>0</v>
      </c>
      <c r="M100" s="247"/>
    </row>
    <row r="101" ht="15.75" customHeight="1">
      <c r="A101" s="272" t="s">
        <v>1791</v>
      </c>
      <c r="B101" s="206"/>
      <c r="C101" s="206"/>
      <c r="D101" s="174"/>
      <c r="E101" s="257"/>
      <c r="F101" s="258">
        <f>SUMIF(F99:F100,"&lt;&gt;",F99:F100)</f>
        <v>0</v>
      </c>
      <c r="G101" s="259"/>
      <c r="H101" s="260">
        <f>SUMIF(H99:H100,"&lt;&gt;",H99:H100)</f>
        <v>6545000</v>
      </c>
      <c r="I101" s="265"/>
      <c r="J101" s="260">
        <f>SUMIF(J99:J100,"&lt;&gt;",J99:J100)</f>
        <v>6545000</v>
      </c>
      <c r="K101" s="261">
        <f t="shared" si="41"/>
        <v>0</v>
      </c>
      <c r="L101" s="262">
        <f t="shared" si="42"/>
        <v>0</v>
      </c>
      <c r="M101" s="257"/>
    </row>
    <row r="102" ht="15.75" customHeight="1"/>
    <row r="103" ht="15.75" customHeight="1">
      <c r="A103" s="273" t="s">
        <v>1789</v>
      </c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</row>
    <row r="104" ht="15.75" customHeight="1">
      <c r="A104" s="229" t="s">
        <v>1509</v>
      </c>
      <c r="B104" s="229" t="s">
        <v>1510</v>
      </c>
      <c r="C104" s="229" t="s">
        <v>1511</v>
      </c>
      <c r="D104" s="229" t="s">
        <v>1614</v>
      </c>
      <c r="E104" s="230" t="s">
        <v>1615</v>
      </c>
      <c r="F104" s="174"/>
      <c r="G104" s="231" t="s">
        <v>1616</v>
      </c>
      <c r="H104" s="174"/>
      <c r="I104" s="232" t="s">
        <v>1617</v>
      </c>
      <c r="J104" s="174"/>
      <c r="K104" s="233" t="s">
        <v>1618</v>
      </c>
      <c r="L104" s="174"/>
      <c r="M104" s="229" t="s">
        <v>1619</v>
      </c>
    </row>
    <row r="105" ht="15.75" customHeight="1">
      <c r="A105" s="234" t="s">
        <v>1509</v>
      </c>
      <c r="B105" s="234" t="s">
        <v>1510</v>
      </c>
      <c r="C105" s="234" t="s">
        <v>1511</v>
      </c>
      <c r="D105" s="234" t="s">
        <v>1614</v>
      </c>
      <c r="E105" s="235" t="s">
        <v>1620</v>
      </c>
      <c r="F105" s="235" t="s">
        <v>1621</v>
      </c>
      <c r="G105" s="236" t="s">
        <v>1622</v>
      </c>
      <c r="H105" s="236" t="s">
        <v>1623</v>
      </c>
      <c r="I105" s="237" t="s">
        <v>1624</v>
      </c>
      <c r="J105" s="237" t="s">
        <v>1625</v>
      </c>
      <c r="K105" s="238" t="s">
        <v>1626</v>
      </c>
      <c r="L105" s="238" t="s">
        <v>1627</v>
      </c>
      <c r="M105" s="234" t="s">
        <v>1619</v>
      </c>
    </row>
    <row r="106" ht="15.75" customHeight="1">
      <c r="A106" s="248">
        <v>1.0</v>
      </c>
      <c r="B106" s="276" t="s">
        <v>1735</v>
      </c>
      <c r="C106" s="280" t="s">
        <v>1583</v>
      </c>
      <c r="D106" s="309">
        <v>10.0</v>
      </c>
      <c r="E106" s="267"/>
      <c r="F106" s="268" t="str">
        <f t="shared" ref="F106:F107" si="43">IF(E106&lt;&gt;"",D106*E106,"")</f>
        <v/>
      </c>
      <c r="G106" s="199">
        <v>73000.0</v>
      </c>
      <c r="H106" s="243">
        <f t="shared" ref="H106:H107" si="44">IF(G106&lt;&gt;"",D106*G106,"")</f>
        <v>730000</v>
      </c>
      <c r="I106" s="200">
        <v>85000.0</v>
      </c>
      <c r="J106" s="244">
        <f t="shared" ref="J106:J107" si="45">IF(I106&lt;&gt;"",D106*I106,"")</f>
        <v>850000</v>
      </c>
      <c r="K106" s="245">
        <f t="shared" ref="K106:K108" si="46">IF(J106&lt;&gt;"",IF(H106&lt;&gt;"",J106-H106,IF(F106&lt;&gt;"",J106-F106,"")),"")</f>
        <v>120000</v>
      </c>
      <c r="L106" s="246">
        <f t="shared" ref="L106:L108" si="47">IF(K106&lt;&gt;"",IF(H106&lt;&gt;"",IF(H106&lt;&gt;0,K106/H106,""),IF(F106&lt;&gt;"",IF(F106&lt;&gt;0,K106/F106,""),"")),"")</f>
        <v>0.1643835616</v>
      </c>
      <c r="M106" s="252"/>
    </row>
    <row r="107" ht="15.75" customHeight="1">
      <c r="A107" s="239">
        <v>2.0</v>
      </c>
      <c r="B107" s="276" t="s">
        <v>1792</v>
      </c>
      <c r="C107" s="278" t="s">
        <v>1583</v>
      </c>
      <c r="D107" s="274">
        <v>26.0</v>
      </c>
      <c r="E107" s="267"/>
      <c r="F107" s="268" t="str">
        <f t="shared" si="43"/>
        <v/>
      </c>
      <c r="G107" s="199">
        <v>9600.0</v>
      </c>
      <c r="H107" s="263">
        <f t="shared" si="44"/>
        <v>249600</v>
      </c>
      <c r="I107" s="200">
        <v>12500.0</v>
      </c>
      <c r="J107" s="244">
        <f t="shared" si="45"/>
        <v>325000</v>
      </c>
      <c r="K107" s="245">
        <f t="shared" si="46"/>
        <v>75400</v>
      </c>
      <c r="L107" s="246">
        <f t="shared" si="47"/>
        <v>0.3020833333</v>
      </c>
      <c r="M107" s="247"/>
    </row>
    <row r="108" ht="15.75" customHeight="1">
      <c r="A108" s="272" t="s">
        <v>1791</v>
      </c>
      <c r="B108" s="206"/>
      <c r="C108" s="206"/>
      <c r="D108" s="174"/>
      <c r="E108" s="257"/>
      <c r="F108" s="258">
        <f>SUMIF(F106:F107,"&lt;&gt;",F106:F107)</f>
        <v>0</v>
      </c>
      <c r="G108" s="259"/>
      <c r="H108" s="260">
        <f>SUMIF(H106:H107,"&lt;&gt;",H106:H107)</f>
        <v>979600</v>
      </c>
      <c r="I108" s="265"/>
      <c r="J108" s="260">
        <f>SUMIF(J106:J107,"&lt;&gt;",J106:J107)</f>
        <v>1175000</v>
      </c>
      <c r="K108" s="261">
        <f t="shared" si="46"/>
        <v>195400</v>
      </c>
      <c r="L108" s="262">
        <f t="shared" si="47"/>
        <v>0.1994691711</v>
      </c>
      <c r="M108" s="257"/>
    </row>
    <row r="109" ht="15.75" customHeight="1"/>
    <row r="110" ht="27.75" customHeight="1">
      <c r="A110" s="284" t="s">
        <v>1733</v>
      </c>
      <c r="B110" s="285"/>
      <c r="C110" s="285"/>
      <c r="D110" s="286"/>
      <c r="E110" s="287"/>
      <c r="F110" s="288">
        <f>F14+F23+F44+F51+F58+F77+F94+F101+F108</f>
        <v>0</v>
      </c>
      <c r="G110" s="288"/>
      <c r="H110" s="288">
        <f>H14+H23+H44+H51+H58+H77+H94+H101+H108</f>
        <v>53451600</v>
      </c>
      <c r="I110" s="288"/>
      <c r="J110" s="288">
        <f>J14+J23+J44+J51+J58+J77+J94+J101+J108</f>
        <v>62697500</v>
      </c>
      <c r="K110" s="288">
        <f>K14+K23+K44+K51+K58+K77+K94+K101</f>
        <v>9050500</v>
      </c>
      <c r="L110" s="290">
        <f>IF(K110&lt;&gt;"",IF(H110&lt;&gt;0,K110/H110,IF(F110&lt;&gt;0,K110/F110,"")),"")</f>
        <v>0.1693214048</v>
      </c>
      <c r="M110" s="28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mergeCells count="57">
    <mergeCell ref="A1:M1"/>
    <mergeCell ref="A2:M2"/>
    <mergeCell ref="A3:M3"/>
    <mergeCell ref="A4:M4"/>
    <mergeCell ref="G5:H5"/>
    <mergeCell ref="I5:J5"/>
    <mergeCell ref="K5:L5"/>
    <mergeCell ref="E5:F5"/>
    <mergeCell ref="A14:D14"/>
    <mergeCell ref="A17:M17"/>
    <mergeCell ref="E18:F18"/>
    <mergeCell ref="G18:H18"/>
    <mergeCell ref="I18:J18"/>
    <mergeCell ref="K18:L18"/>
    <mergeCell ref="A23:D23"/>
    <mergeCell ref="A25:M25"/>
    <mergeCell ref="E26:F26"/>
    <mergeCell ref="G26:H26"/>
    <mergeCell ref="I26:J26"/>
    <mergeCell ref="K26:L26"/>
    <mergeCell ref="A44:D44"/>
    <mergeCell ref="A46:M46"/>
    <mergeCell ref="E47:F47"/>
    <mergeCell ref="G47:H47"/>
    <mergeCell ref="I47:J47"/>
    <mergeCell ref="K47:L47"/>
    <mergeCell ref="A53:M53"/>
    <mergeCell ref="E54:F54"/>
    <mergeCell ref="K54:L54"/>
    <mergeCell ref="G54:H54"/>
    <mergeCell ref="I54:J54"/>
    <mergeCell ref="A60:M60"/>
    <mergeCell ref="E61:F61"/>
    <mergeCell ref="G61:H61"/>
    <mergeCell ref="I61:J61"/>
    <mergeCell ref="K61:L61"/>
    <mergeCell ref="A58:D58"/>
    <mergeCell ref="A77:D77"/>
    <mergeCell ref="A79:M79"/>
    <mergeCell ref="E80:F80"/>
    <mergeCell ref="G80:H80"/>
    <mergeCell ref="I80:J80"/>
    <mergeCell ref="K80:L80"/>
    <mergeCell ref="A103:M103"/>
    <mergeCell ref="E104:F104"/>
    <mergeCell ref="G104:H104"/>
    <mergeCell ref="I104:J104"/>
    <mergeCell ref="K104:L104"/>
    <mergeCell ref="A108:D108"/>
    <mergeCell ref="A110:D110"/>
    <mergeCell ref="A94:D94"/>
    <mergeCell ref="A96:M96"/>
    <mergeCell ref="E97:F97"/>
    <mergeCell ref="G97:H97"/>
    <mergeCell ref="I97:J97"/>
    <mergeCell ref="K97:L97"/>
    <mergeCell ref="A101:D10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1793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169" t="s">
        <v>1734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160" t="s">
        <v>1520</v>
      </c>
      <c r="C7" s="159" t="s">
        <v>109</v>
      </c>
      <c r="D7" s="183">
        <v>215.0</v>
      </c>
      <c r="E7" s="184">
        <f>'Daftar Harga'!D10</f>
        <v>36500</v>
      </c>
      <c r="F7" s="185">
        <f t="shared" ref="F7:F25" si="1">IF(E7&lt;&gt;"",D7*E7,"")</f>
        <v>7847500</v>
      </c>
      <c r="G7" s="186">
        <v>33500.0</v>
      </c>
      <c r="H7" s="187">
        <f t="shared" ref="H7:H25" si="2">IF(G7&lt;&gt;"",D7*G7,"")</f>
        <v>7202500</v>
      </c>
      <c r="I7" s="188">
        <v>38000.0</v>
      </c>
      <c r="J7" s="215">
        <f t="shared" ref="J7:J25" si="3">IF(I7&lt;&gt;"",D7*I7,"")</f>
        <v>8170000</v>
      </c>
      <c r="K7" s="190">
        <f t="shared" ref="K7:K26" si="4">IF(J7&lt;&gt;"",IF(H7&lt;&gt;"",J7-H7,IF(F7&lt;&gt;"",J7-F7,"")),"")</f>
        <v>967500</v>
      </c>
      <c r="L7" s="191">
        <f t="shared" ref="L7:L26" si="5">IF(K7&lt;&gt;"",IF(H7&lt;&gt;"",IF(H7&lt;&gt;0,K7/H7,""),IF(F7&lt;&gt;"",IF(F7&lt;&gt;0,K7/F7,""),"")),"")</f>
        <v>0.1343283582</v>
      </c>
      <c r="M7" s="192"/>
    </row>
    <row r="8" ht="15.75" customHeight="1">
      <c r="A8" s="164">
        <v>2.0</v>
      </c>
      <c r="B8" s="165" t="s">
        <v>1522</v>
      </c>
      <c r="C8" s="164" t="s">
        <v>109</v>
      </c>
      <c r="D8" s="193">
        <v>2.0</v>
      </c>
      <c r="E8" s="184">
        <f>'Daftar Harga'!D12</f>
        <v>30000</v>
      </c>
      <c r="F8" s="185">
        <f t="shared" si="1"/>
        <v>60000</v>
      </c>
      <c r="G8" s="186">
        <v>19000.0</v>
      </c>
      <c r="H8" s="187">
        <f t="shared" si="2"/>
        <v>38000</v>
      </c>
      <c r="I8" s="188">
        <v>35000.0</v>
      </c>
      <c r="J8" s="215">
        <f t="shared" si="3"/>
        <v>70000</v>
      </c>
      <c r="K8" s="194">
        <f t="shared" si="4"/>
        <v>32000</v>
      </c>
      <c r="L8" s="195">
        <f t="shared" si="5"/>
        <v>0.8421052632</v>
      </c>
      <c r="M8" s="196"/>
    </row>
    <row r="9" ht="15.75" customHeight="1">
      <c r="A9" s="159">
        <v>3.0</v>
      </c>
      <c r="B9" s="160" t="s">
        <v>1526</v>
      </c>
      <c r="C9" s="159" t="s">
        <v>109</v>
      </c>
      <c r="D9" s="183">
        <v>5.0</v>
      </c>
      <c r="E9" s="184">
        <f>'Daftar Harga'!D16</f>
        <v>33000</v>
      </c>
      <c r="F9" s="185">
        <f t="shared" si="1"/>
        <v>165000</v>
      </c>
      <c r="G9" s="186">
        <v>30000.0</v>
      </c>
      <c r="H9" s="187">
        <f t="shared" si="2"/>
        <v>150000</v>
      </c>
      <c r="I9" s="188">
        <v>44000.0</v>
      </c>
      <c r="J9" s="215">
        <f t="shared" si="3"/>
        <v>220000</v>
      </c>
      <c r="K9" s="190">
        <f t="shared" si="4"/>
        <v>70000</v>
      </c>
      <c r="L9" s="191">
        <f t="shared" si="5"/>
        <v>0.4666666667</v>
      </c>
      <c r="M9" s="192"/>
    </row>
    <row r="10" ht="15.75" customHeight="1">
      <c r="A10" s="164">
        <v>4.0</v>
      </c>
      <c r="B10" s="165" t="s">
        <v>1527</v>
      </c>
      <c r="C10" s="164" t="s">
        <v>109</v>
      </c>
      <c r="D10" s="193">
        <v>130.0</v>
      </c>
      <c r="E10" s="184">
        <f>'Daftar Harga'!D17</f>
        <v>15500</v>
      </c>
      <c r="F10" s="185">
        <f t="shared" si="1"/>
        <v>2015000</v>
      </c>
      <c r="G10" s="186">
        <v>14500.0</v>
      </c>
      <c r="H10" s="187">
        <f t="shared" si="2"/>
        <v>1885000</v>
      </c>
      <c r="I10" s="188">
        <v>15500.0</v>
      </c>
      <c r="J10" s="215">
        <f t="shared" si="3"/>
        <v>2015000</v>
      </c>
      <c r="K10" s="194">
        <f t="shared" si="4"/>
        <v>130000</v>
      </c>
      <c r="L10" s="195">
        <f t="shared" si="5"/>
        <v>0.06896551724</v>
      </c>
      <c r="M10" s="196"/>
    </row>
    <row r="11" ht="15.75" customHeight="1">
      <c r="A11" s="159">
        <v>5.0</v>
      </c>
      <c r="B11" s="226" t="s">
        <v>1794</v>
      </c>
      <c r="C11" s="159" t="s">
        <v>109</v>
      </c>
      <c r="D11" s="183">
        <v>1.0</v>
      </c>
      <c r="E11" s="184">
        <f>'Daftar Harga'!D21</f>
        <v>170000</v>
      </c>
      <c r="F11" s="185">
        <f t="shared" si="1"/>
        <v>170000</v>
      </c>
      <c r="G11" s="186">
        <v>85000.0</v>
      </c>
      <c r="H11" s="187">
        <f t="shared" si="2"/>
        <v>85000</v>
      </c>
      <c r="I11" s="188">
        <v>105000.0</v>
      </c>
      <c r="J11" s="215">
        <f t="shared" si="3"/>
        <v>105000</v>
      </c>
      <c r="K11" s="190">
        <f t="shared" si="4"/>
        <v>20000</v>
      </c>
      <c r="L11" s="191">
        <f t="shared" si="5"/>
        <v>0.2352941176</v>
      </c>
      <c r="M11" s="192"/>
    </row>
    <row r="12" ht="15.75" customHeight="1">
      <c r="A12" s="164">
        <v>6.0</v>
      </c>
      <c r="B12" s="165" t="s">
        <v>1534</v>
      </c>
      <c r="C12" s="164" t="s">
        <v>109</v>
      </c>
      <c r="D12" s="193">
        <v>30.0</v>
      </c>
      <c r="E12" s="184">
        <f>'Daftar Harga'!D24</f>
        <v>13000</v>
      </c>
      <c r="F12" s="185">
        <f t="shared" si="1"/>
        <v>390000</v>
      </c>
      <c r="G12" s="186">
        <v>20000.0</v>
      </c>
      <c r="H12" s="187">
        <f t="shared" si="2"/>
        <v>600000</v>
      </c>
      <c r="I12" s="188">
        <v>16000.0</v>
      </c>
      <c r="J12" s="215">
        <f t="shared" si="3"/>
        <v>480000</v>
      </c>
      <c r="K12" s="194">
        <f t="shared" si="4"/>
        <v>-120000</v>
      </c>
      <c r="L12" s="195">
        <f t="shared" si="5"/>
        <v>-0.2</v>
      </c>
      <c r="M12" s="196"/>
    </row>
    <row r="13" ht="15.75" customHeight="1">
      <c r="A13" s="159">
        <v>7.0</v>
      </c>
      <c r="B13" s="160" t="s">
        <v>1536</v>
      </c>
      <c r="C13" s="159" t="s">
        <v>109</v>
      </c>
      <c r="D13" s="183">
        <v>2.0</v>
      </c>
      <c r="E13" s="184">
        <f>'Daftar Harga'!D26</f>
        <v>47000</v>
      </c>
      <c r="F13" s="185">
        <f t="shared" si="1"/>
        <v>94000</v>
      </c>
      <c r="G13" s="186">
        <v>70000.0</v>
      </c>
      <c r="H13" s="187">
        <f t="shared" si="2"/>
        <v>140000</v>
      </c>
      <c r="I13" s="188">
        <v>75000.0</v>
      </c>
      <c r="J13" s="215">
        <f t="shared" si="3"/>
        <v>150000</v>
      </c>
      <c r="K13" s="190">
        <f t="shared" si="4"/>
        <v>10000</v>
      </c>
      <c r="L13" s="191">
        <f t="shared" si="5"/>
        <v>0.07142857143</v>
      </c>
      <c r="M13" s="192"/>
    </row>
    <row r="14" ht="15.75" customHeight="1">
      <c r="A14" s="164">
        <v>8.0</v>
      </c>
      <c r="B14" s="165" t="s">
        <v>1541</v>
      </c>
      <c r="C14" s="164" t="s">
        <v>109</v>
      </c>
      <c r="D14" s="193">
        <v>0.25</v>
      </c>
      <c r="E14" s="184">
        <f>'Daftar Harga'!D31</f>
        <v>40000</v>
      </c>
      <c r="F14" s="185">
        <f t="shared" si="1"/>
        <v>10000</v>
      </c>
      <c r="G14" s="199">
        <v>35000.0</v>
      </c>
      <c r="H14" s="187">
        <f t="shared" si="2"/>
        <v>8750</v>
      </c>
      <c r="I14" s="188">
        <v>45000.0</v>
      </c>
      <c r="J14" s="215">
        <f t="shared" si="3"/>
        <v>11250</v>
      </c>
      <c r="K14" s="194">
        <f t="shared" si="4"/>
        <v>2500</v>
      </c>
      <c r="L14" s="195">
        <f t="shared" si="5"/>
        <v>0.2857142857</v>
      </c>
      <c r="M14" s="196"/>
    </row>
    <row r="15" ht="15.75" customHeight="1">
      <c r="A15" s="159">
        <v>9.0</v>
      </c>
      <c r="B15" s="160" t="s">
        <v>1545</v>
      </c>
      <c r="C15" s="159" t="s">
        <v>109</v>
      </c>
      <c r="D15" s="183">
        <v>8.0</v>
      </c>
      <c r="E15" s="184">
        <f>'Daftar Harga'!D36</f>
        <v>19000</v>
      </c>
      <c r="F15" s="185">
        <f t="shared" si="1"/>
        <v>152000</v>
      </c>
      <c r="G15" s="186">
        <v>18500.0</v>
      </c>
      <c r="H15" s="187">
        <f t="shared" si="2"/>
        <v>148000</v>
      </c>
      <c r="I15" s="188">
        <v>20000.0</v>
      </c>
      <c r="J15" s="215">
        <f t="shared" si="3"/>
        <v>160000</v>
      </c>
      <c r="K15" s="190">
        <f t="shared" si="4"/>
        <v>12000</v>
      </c>
      <c r="L15" s="191">
        <f t="shared" si="5"/>
        <v>0.08108108108</v>
      </c>
      <c r="M15" s="192"/>
    </row>
    <row r="16" ht="15.75" customHeight="1">
      <c r="A16" s="164">
        <v>10.0</v>
      </c>
      <c r="B16" s="165" t="s">
        <v>1548</v>
      </c>
      <c r="C16" s="164" t="s">
        <v>109</v>
      </c>
      <c r="D16" s="193">
        <v>1.0</v>
      </c>
      <c r="E16" s="184">
        <f>'Daftar Harga'!D39</f>
        <v>20000</v>
      </c>
      <c r="F16" s="185">
        <f t="shared" si="1"/>
        <v>20000</v>
      </c>
      <c r="G16" s="186">
        <v>20000.0</v>
      </c>
      <c r="H16" s="187">
        <f t="shared" si="2"/>
        <v>20000</v>
      </c>
      <c r="I16" s="188">
        <v>26000.0</v>
      </c>
      <c r="J16" s="215">
        <f t="shared" si="3"/>
        <v>26000</v>
      </c>
      <c r="K16" s="194">
        <f t="shared" si="4"/>
        <v>6000</v>
      </c>
      <c r="L16" s="195">
        <f t="shared" si="5"/>
        <v>0.3</v>
      </c>
      <c r="M16" s="196"/>
    </row>
    <row r="17" ht="15.75" customHeight="1">
      <c r="A17" s="159">
        <v>11.0</v>
      </c>
      <c r="B17" s="160" t="s">
        <v>1556</v>
      </c>
      <c r="C17" s="159" t="s">
        <v>1557</v>
      </c>
      <c r="D17" s="183">
        <v>1.0</v>
      </c>
      <c r="E17" s="184">
        <f>'Daftar Harga'!D49</f>
        <v>47000</v>
      </c>
      <c r="F17" s="185">
        <f t="shared" si="1"/>
        <v>47000</v>
      </c>
      <c r="G17" s="186">
        <v>47000.0</v>
      </c>
      <c r="H17" s="187">
        <f t="shared" si="2"/>
        <v>47000</v>
      </c>
      <c r="I17" s="188">
        <v>55000.0</v>
      </c>
      <c r="J17" s="215">
        <f t="shared" si="3"/>
        <v>55000</v>
      </c>
      <c r="K17" s="190">
        <f t="shared" si="4"/>
        <v>8000</v>
      </c>
      <c r="L17" s="191">
        <f t="shared" si="5"/>
        <v>0.170212766</v>
      </c>
      <c r="M17" s="192"/>
    </row>
    <row r="18" ht="15.75" customHeight="1">
      <c r="A18" s="164">
        <v>12.0</v>
      </c>
      <c r="B18" s="165" t="s">
        <v>1578</v>
      </c>
      <c r="C18" s="164" t="s">
        <v>1579</v>
      </c>
      <c r="D18" s="193">
        <v>72.0</v>
      </c>
      <c r="E18" s="184">
        <f>'Daftar Harga'!D69</f>
        <v>205000</v>
      </c>
      <c r="F18" s="185">
        <f t="shared" si="1"/>
        <v>14760000</v>
      </c>
      <c r="G18" s="186">
        <v>22000.0</v>
      </c>
      <c r="H18" s="187">
        <f t="shared" si="2"/>
        <v>1584000</v>
      </c>
      <c r="I18" s="188">
        <v>23000.0</v>
      </c>
      <c r="J18" s="215">
        <f t="shared" si="3"/>
        <v>1656000</v>
      </c>
      <c r="K18" s="194">
        <f t="shared" si="4"/>
        <v>72000</v>
      </c>
      <c r="L18" s="195">
        <f t="shared" si="5"/>
        <v>0.04545454545</v>
      </c>
      <c r="M18" s="196"/>
    </row>
    <row r="19" ht="15.75" customHeight="1">
      <c r="A19" s="159">
        <v>13.0</v>
      </c>
      <c r="B19" s="160" t="s">
        <v>1152</v>
      </c>
      <c r="C19" s="159" t="s">
        <v>69</v>
      </c>
      <c r="D19" s="183">
        <v>2020.0</v>
      </c>
      <c r="E19" s="184">
        <f>'Daftar Harga'!D71</f>
        <v>1900</v>
      </c>
      <c r="F19" s="185">
        <f t="shared" si="1"/>
        <v>3838000</v>
      </c>
      <c r="G19" s="199">
        <v>1800.0</v>
      </c>
      <c r="H19" s="187">
        <f t="shared" si="2"/>
        <v>3636000</v>
      </c>
      <c r="I19" s="188">
        <v>2000.0</v>
      </c>
      <c r="J19" s="215">
        <f t="shared" si="3"/>
        <v>4040000</v>
      </c>
      <c r="K19" s="190">
        <f t="shared" si="4"/>
        <v>404000</v>
      </c>
      <c r="L19" s="191">
        <f t="shared" si="5"/>
        <v>0.1111111111</v>
      </c>
      <c r="M19" s="192"/>
    </row>
    <row r="20" ht="15.75" customHeight="1">
      <c r="A20" s="164">
        <v>14.0</v>
      </c>
      <c r="B20" s="165" t="s">
        <v>1584</v>
      </c>
      <c r="C20" s="164" t="s">
        <v>109</v>
      </c>
      <c r="D20" s="193">
        <v>3.0</v>
      </c>
      <c r="E20" s="184">
        <f>'Daftar Harga'!D74</f>
        <v>42000</v>
      </c>
      <c r="F20" s="185">
        <f t="shared" si="1"/>
        <v>126000</v>
      </c>
      <c r="G20" s="186">
        <v>42000.0</v>
      </c>
      <c r="H20" s="187">
        <f t="shared" si="2"/>
        <v>126000</v>
      </c>
      <c r="I20" s="188">
        <v>46000.0</v>
      </c>
      <c r="J20" s="215">
        <f t="shared" si="3"/>
        <v>138000</v>
      </c>
      <c r="K20" s="194">
        <f t="shared" si="4"/>
        <v>12000</v>
      </c>
      <c r="L20" s="195">
        <f t="shared" si="5"/>
        <v>0.09523809524</v>
      </c>
      <c r="M20" s="196"/>
    </row>
    <row r="21" ht="15.75" customHeight="1">
      <c r="A21" s="159">
        <v>15.0</v>
      </c>
      <c r="B21" s="160" t="s">
        <v>1587</v>
      </c>
      <c r="C21" s="159" t="s">
        <v>1559</v>
      </c>
      <c r="D21" s="183">
        <v>1.0</v>
      </c>
      <c r="E21" s="184">
        <f>'Daftar Harga'!D77</f>
        <v>135000</v>
      </c>
      <c r="F21" s="185">
        <f t="shared" si="1"/>
        <v>135000</v>
      </c>
      <c r="G21" s="186">
        <v>115000.0</v>
      </c>
      <c r="H21" s="187">
        <f t="shared" si="2"/>
        <v>115000</v>
      </c>
      <c r="I21" s="188">
        <v>130000.0</v>
      </c>
      <c r="J21" s="215">
        <f t="shared" si="3"/>
        <v>130000</v>
      </c>
      <c r="K21" s="190">
        <f t="shared" si="4"/>
        <v>15000</v>
      </c>
      <c r="L21" s="191">
        <f t="shared" si="5"/>
        <v>0.1304347826</v>
      </c>
      <c r="M21" s="192"/>
    </row>
    <row r="22" ht="15.75" customHeight="1">
      <c r="A22" s="164">
        <v>16.0</v>
      </c>
      <c r="B22" s="165" t="s">
        <v>1589</v>
      </c>
      <c r="C22" s="164" t="s">
        <v>1557</v>
      </c>
      <c r="D22" s="193">
        <v>2.0</v>
      </c>
      <c r="E22" s="184">
        <f>'Daftar Harga'!D79</f>
        <v>52000</v>
      </c>
      <c r="F22" s="185">
        <f t="shared" si="1"/>
        <v>104000</v>
      </c>
      <c r="G22" s="186">
        <v>52000.0</v>
      </c>
      <c r="H22" s="187">
        <f t="shared" si="2"/>
        <v>104000</v>
      </c>
      <c r="I22" s="188">
        <v>56000.0</v>
      </c>
      <c r="J22" s="215">
        <f t="shared" si="3"/>
        <v>112000</v>
      </c>
      <c r="K22" s="194">
        <f t="shared" si="4"/>
        <v>8000</v>
      </c>
      <c r="L22" s="195">
        <f t="shared" si="5"/>
        <v>0.07692307692</v>
      </c>
      <c r="M22" s="196"/>
    </row>
    <row r="23" ht="15.75" customHeight="1">
      <c r="A23" s="159">
        <v>17.0</v>
      </c>
      <c r="B23" s="160" t="s">
        <v>1590</v>
      </c>
      <c r="C23" s="159" t="s">
        <v>1559</v>
      </c>
      <c r="D23" s="183">
        <v>2.0</v>
      </c>
      <c r="E23" s="184">
        <f>'Daftar Harga'!D80</f>
        <v>95000</v>
      </c>
      <c r="F23" s="185">
        <f t="shared" si="1"/>
        <v>190000</v>
      </c>
      <c r="G23" s="186">
        <v>95000.0</v>
      </c>
      <c r="H23" s="187">
        <f t="shared" si="2"/>
        <v>190000</v>
      </c>
      <c r="I23" s="188">
        <v>110000.0</v>
      </c>
      <c r="J23" s="215">
        <f t="shared" si="3"/>
        <v>220000</v>
      </c>
      <c r="K23" s="190">
        <f t="shared" si="4"/>
        <v>30000</v>
      </c>
      <c r="L23" s="191">
        <f t="shared" si="5"/>
        <v>0.1578947368</v>
      </c>
      <c r="M23" s="192"/>
    </row>
    <row r="24" ht="15.75" customHeight="1">
      <c r="A24" s="164">
        <v>18.0</v>
      </c>
      <c r="B24" s="165" t="s">
        <v>1598</v>
      </c>
      <c r="C24" s="164" t="s">
        <v>69</v>
      </c>
      <c r="D24" s="193">
        <v>4000.0</v>
      </c>
      <c r="E24" s="184">
        <f>'Daftar Harga'!D89</f>
        <v>500</v>
      </c>
      <c r="F24" s="185">
        <f t="shared" si="1"/>
        <v>2000000</v>
      </c>
      <c r="G24" s="199">
        <v>400.0</v>
      </c>
      <c r="H24" s="187">
        <f t="shared" si="2"/>
        <v>1600000</v>
      </c>
      <c r="I24" s="188">
        <v>500.0</v>
      </c>
      <c r="J24" s="215">
        <f t="shared" si="3"/>
        <v>2000000</v>
      </c>
      <c r="K24" s="194">
        <f t="shared" si="4"/>
        <v>400000</v>
      </c>
      <c r="L24" s="195">
        <f t="shared" si="5"/>
        <v>0.25</v>
      </c>
      <c r="M24" s="196"/>
    </row>
    <row r="25" ht="15.75" customHeight="1">
      <c r="A25" s="159">
        <v>19.0</v>
      </c>
      <c r="B25" s="160" t="s">
        <v>1609</v>
      </c>
      <c r="C25" s="159" t="s">
        <v>109</v>
      </c>
      <c r="D25" s="183">
        <v>35.0</v>
      </c>
      <c r="E25" s="184">
        <f>'Daftar Harga'!D101</f>
        <v>9000</v>
      </c>
      <c r="F25" s="185">
        <f t="shared" si="1"/>
        <v>315000</v>
      </c>
      <c r="G25" s="186">
        <v>12000.0</v>
      </c>
      <c r="H25" s="187">
        <f t="shared" si="2"/>
        <v>420000</v>
      </c>
      <c r="I25" s="188">
        <v>14000.0</v>
      </c>
      <c r="J25" s="219">
        <f t="shared" si="3"/>
        <v>490000</v>
      </c>
      <c r="K25" s="190">
        <f t="shared" si="4"/>
        <v>70000</v>
      </c>
      <c r="L25" s="191">
        <f t="shared" si="5"/>
        <v>0.1666666667</v>
      </c>
      <c r="M25" s="192"/>
    </row>
    <row r="26" ht="19.5" customHeight="1">
      <c r="A26" s="205" t="s">
        <v>1628</v>
      </c>
      <c r="B26" s="206"/>
      <c r="C26" s="206"/>
      <c r="D26" s="174"/>
      <c r="E26" s="207"/>
      <c r="F26" s="208">
        <f>SUMIF(F7:F25,"&lt;&gt;",F7:F25)</f>
        <v>32438500</v>
      </c>
      <c r="G26" s="207"/>
      <c r="H26" s="208">
        <f>SUMIF(H7:H25,"&lt;&gt;",H7:H25)</f>
        <v>18099250</v>
      </c>
      <c r="I26" s="209"/>
      <c r="J26" s="210">
        <f>SUMIF(J7:J25,"&lt;&gt;",J7:J25)</f>
        <v>20248250</v>
      </c>
      <c r="K26" s="211">
        <f t="shared" si="4"/>
        <v>2149000</v>
      </c>
      <c r="L26" s="212">
        <f t="shared" si="5"/>
        <v>0.1187342017</v>
      </c>
      <c r="M26" s="207"/>
    </row>
    <row r="27" ht="15.75" customHeight="1"/>
    <row r="28" ht="21.75" customHeight="1">
      <c r="A28" s="171" t="s">
        <v>1629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ht="19.5" customHeight="1">
      <c r="A29" s="172" t="s">
        <v>1509</v>
      </c>
      <c r="B29" s="172" t="s">
        <v>1510</v>
      </c>
      <c r="C29" s="172" t="s">
        <v>1511</v>
      </c>
      <c r="D29" s="172" t="s">
        <v>1614</v>
      </c>
      <c r="E29" s="173" t="s">
        <v>1615</v>
      </c>
      <c r="F29" s="174"/>
      <c r="G29" s="175" t="s">
        <v>1616</v>
      </c>
      <c r="H29" s="174"/>
      <c r="I29" s="176" t="s">
        <v>1617</v>
      </c>
      <c r="J29" s="174"/>
      <c r="K29" s="177" t="s">
        <v>1618</v>
      </c>
      <c r="L29" s="174"/>
      <c r="M29" s="172" t="s">
        <v>1619</v>
      </c>
    </row>
    <row r="30" ht="27.75" customHeight="1">
      <c r="A30" s="178" t="s">
        <v>1509</v>
      </c>
      <c r="B30" s="178" t="s">
        <v>1510</v>
      </c>
      <c r="C30" s="178" t="s">
        <v>1511</v>
      </c>
      <c r="D30" s="178" t="s">
        <v>1614</v>
      </c>
      <c r="E30" s="179" t="s">
        <v>1620</v>
      </c>
      <c r="F30" s="179" t="s">
        <v>1621</v>
      </c>
      <c r="G30" s="180" t="s">
        <v>1622</v>
      </c>
      <c r="H30" s="180" t="s">
        <v>1623</v>
      </c>
      <c r="I30" s="181" t="s">
        <v>1624</v>
      </c>
      <c r="J30" s="181" t="s">
        <v>1625</v>
      </c>
      <c r="K30" s="182" t="s">
        <v>1626</v>
      </c>
      <c r="L30" s="182" t="s">
        <v>1627</v>
      </c>
      <c r="M30" s="178" t="s">
        <v>1619</v>
      </c>
    </row>
    <row r="31" ht="15.75" customHeight="1">
      <c r="A31" s="159">
        <v>1.0</v>
      </c>
      <c r="B31" s="160" t="s">
        <v>1518</v>
      </c>
      <c r="C31" s="159" t="s">
        <v>109</v>
      </c>
      <c r="D31" s="183">
        <v>2.0</v>
      </c>
      <c r="E31" s="184" t="str">
        <f>'Daftar Harga'!D6</f>
        <v/>
      </c>
      <c r="F31" s="185" t="str">
        <f t="shared" ref="F31:F51" si="6">IF(E31&lt;&gt;"",D31*E31,"")</f>
        <v/>
      </c>
      <c r="G31" s="186">
        <v>20000.0</v>
      </c>
      <c r="H31" s="243">
        <f t="shared" ref="H31:H51" si="7">IF(G31&lt;&gt;"",D31*G31,"")</f>
        <v>40000</v>
      </c>
      <c r="I31" s="188">
        <v>23000.0</v>
      </c>
      <c r="J31" s="244">
        <f t="shared" ref="J31:J51" si="8">IF(I31&lt;&gt;"",D31*I31,"")</f>
        <v>46000</v>
      </c>
      <c r="K31" s="190">
        <f t="shared" ref="K31:K52" si="9">IF(J31&lt;&gt;"",IF(H31&lt;&gt;"",J31-H31,IF(F31&lt;&gt;"",J31-F31,"")),"")</f>
        <v>6000</v>
      </c>
      <c r="L31" s="191">
        <f t="shared" ref="L31:L52" si="10">IF(K31&lt;&gt;"",IF(H31&lt;&gt;"",IF(H31&lt;&gt;0,K31/H31,""),IF(F31&lt;&gt;"",IF(F31&lt;&gt;0,K31/F31,""),"")),"")</f>
        <v>0.15</v>
      </c>
      <c r="M31" s="192"/>
    </row>
    <row r="32" ht="15.75" customHeight="1">
      <c r="A32" s="164">
        <v>2.0</v>
      </c>
      <c r="B32" s="165" t="s">
        <v>1524</v>
      </c>
      <c r="C32" s="164" t="s">
        <v>109</v>
      </c>
      <c r="D32" s="193">
        <v>8.0</v>
      </c>
      <c r="E32" s="184">
        <f>'Daftar Harga'!D14</f>
        <v>40000</v>
      </c>
      <c r="F32" s="185">
        <f t="shared" si="6"/>
        <v>320000</v>
      </c>
      <c r="G32" s="186">
        <v>40000.0</v>
      </c>
      <c r="H32" s="243">
        <f t="shared" si="7"/>
        <v>320000</v>
      </c>
      <c r="I32" s="188">
        <v>45000.0</v>
      </c>
      <c r="J32" s="244">
        <f t="shared" si="8"/>
        <v>360000</v>
      </c>
      <c r="K32" s="194">
        <f t="shared" si="9"/>
        <v>40000</v>
      </c>
      <c r="L32" s="195">
        <f t="shared" si="10"/>
        <v>0.125</v>
      </c>
      <c r="M32" s="196"/>
    </row>
    <row r="33" ht="15.75" customHeight="1">
      <c r="A33" s="159">
        <v>3.0</v>
      </c>
      <c r="B33" s="160" t="s">
        <v>1526</v>
      </c>
      <c r="C33" s="159" t="s">
        <v>109</v>
      </c>
      <c r="D33" s="183">
        <v>5.0</v>
      </c>
      <c r="E33" s="184">
        <f>'Daftar Harga'!D16</f>
        <v>33000</v>
      </c>
      <c r="F33" s="185">
        <f t="shared" si="6"/>
        <v>165000</v>
      </c>
      <c r="G33" s="186">
        <v>30000.0</v>
      </c>
      <c r="H33" s="243">
        <f t="shared" si="7"/>
        <v>150000</v>
      </c>
      <c r="I33" s="188">
        <v>40000.0</v>
      </c>
      <c r="J33" s="244">
        <f t="shared" si="8"/>
        <v>200000</v>
      </c>
      <c r="K33" s="190">
        <f t="shared" si="9"/>
        <v>50000</v>
      </c>
      <c r="L33" s="191">
        <f t="shared" si="10"/>
        <v>0.3333333333</v>
      </c>
      <c r="M33" s="192"/>
    </row>
    <row r="34" ht="15.75" customHeight="1">
      <c r="A34" s="164">
        <v>4.0</v>
      </c>
      <c r="B34" s="165" t="s">
        <v>1527</v>
      </c>
      <c r="C34" s="164" t="s">
        <v>109</v>
      </c>
      <c r="D34" s="193">
        <v>130.0</v>
      </c>
      <c r="E34" s="184">
        <f>'Daftar Harga'!D17</f>
        <v>15500</v>
      </c>
      <c r="F34" s="185">
        <f t="shared" si="6"/>
        <v>2015000</v>
      </c>
      <c r="G34" s="186">
        <v>14500.0</v>
      </c>
      <c r="H34" s="243">
        <f t="shared" si="7"/>
        <v>1885000</v>
      </c>
      <c r="I34" s="188">
        <v>15500.0</v>
      </c>
      <c r="J34" s="244">
        <f t="shared" si="8"/>
        <v>2015000</v>
      </c>
      <c r="K34" s="194">
        <f t="shared" si="9"/>
        <v>130000</v>
      </c>
      <c r="L34" s="195">
        <f t="shared" si="10"/>
        <v>0.06896551724</v>
      </c>
      <c r="M34" s="196"/>
    </row>
    <row r="35" ht="15.75" customHeight="1">
      <c r="A35" s="159">
        <v>5.0</v>
      </c>
      <c r="B35" s="160" t="s">
        <v>1542</v>
      </c>
      <c r="C35" s="159" t="s">
        <v>109</v>
      </c>
      <c r="D35" s="183">
        <v>0.25</v>
      </c>
      <c r="E35" s="184">
        <f>'Daftar Harga'!D32</f>
        <v>21600</v>
      </c>
      <c r="F35" s="185">
        <f t="shared" si="6"/>
        <v>5400</v>
      </c>
      <c r="G35" s="186">
        <v>28000.0</v>
      </c>
      <c r="H35" s="243">
        <f t="shared" si="7"/>
        <v>7000</v>
      </c>
      <c r="I35" s="188">
        <v>30000.0</v>
      </c>
      <c r="J35" s="244">
        <f t="shared" si="8"/>
        <v>7500</v>
      </c>
      <c r="K35" s="190">
        <f t="shared" si="9"/>
        <v>500</v>
      </c>
      <c r="L35" s="191">
        <f t="shared" si="10"/>
        <v>0.07142857143</v>
      </c>
      <c r="M35" s="192"/>
    </row>
    <row r="36" ht="15.75" customHeight="1">
      <c r="A36" s="164">
        <v>6.0</v>
      </c>
      <c r="B36" s="165" t="s">
        <v>1544</v>
      </c>
      <c r="C36" s="164" t="s">
        <v>109</v>
      </c>
      <c r="D36" s="193">
        <v>3.0</v>
      </c>
      <c r="E36" s="184">
        <f>'Daftar Harga'!D35</f>
        <v>17000</v>
      </c>
      <c r="F36" s="185">
        <f t="shared" si="6"/>
        <v>51000</v>
      </c>
      <c r="G36" s="186">
        <v>17000.0</v>
      </c>
      <c r="H36" s="243">
        <f t="shared" si="7"/>
        <v>51000</v>
      </c>
      <c r="I36" s="188">
        <v>20000.0</v>
      </c>
      <c r="J36" s="244">
        <f t="shared" si="8"/>
        <v>60000</v>
      </c>
      <c r="K36" s="194">
        <f t="shared" si="9"/>
        <v>9000</v>
      </c>
      <c r="L36" s="195">
        <f t="shared" si="10"/>
        <v>0.1764705882</v>
      </c>
      <c r="M36" s="196"/>
    </row>
    <row r="37" ht="15.75" customHeight="1">
      <c r="A37" s="159">
        <v>7.0</v>
      </c>
      <c r="B37" s="160" t="s">
        <v>1545</v>
      </c>
      <c r="C37" s="159" t="s">
        <v>109</v>
      </c>
      <c r="D37" s="183">
        <v>6.0</v>
      </c>
      <c r="E37" s="184">
        <f>'Daftar Harga'!D36</f>
        <v>19000</v>
      </c>
      <c r="F37" s="185">
        <f t="shared" si="6"/>
        <v>114000</v>
      </c>
      <c r="G37" s="186">
        <v>18500.0</v>
      </c>
      <c r="H37" s="243">
        <f t="shared" si="7"/>
        <v>111000</v>
      </c>
      <c r="I37" s="188">
        <v>20000.0</v>
      </c>
      <c r="J37" s="244">
        <f t="shared" si="8"/>
        <v>120000</v>
      </c>
      <c r="K37" s="190">
        <f t="shared" si="9"/>
        <v>9000</v>
      </c>
      <c r="L37" s="191">
        <f t="shared" si="10"/>
        <v>0.08108108108</v>
      </c>
      <c r="M37" s="192"/>
    </row>
    <row r="38" ht="15.75" customHeight="1">
      <c r="A38" s="164">
        <v>8.0</v>
      </c>
      <c r="B38" s="165" t="s">
        <v>1550</v>
      </c>
      <c r="C38" s="164" t="s">
        <v>109</v>
      </c>
      <c r="D38" s="193">
        <v>0.5</v>
      </c>
      <c r="E38" s="184">
        <f>'Daftar Harga'!D41</f>
        <v>29000</v>
      </c>
      <c r="F38" s="185">
        <f t="shared" si="6"/>
        <v>14500</v>
      </c>
      <c r="G38" s="186">
        <v>18000.0</v>
      </c>
      <c r="H38" s="243">
        <f t="shared" si="7"/>
        <v>9000</v>
      </c>
      <c r="I38" s="188">
        <v>25000.0</v>
      </c>
      <c r="J38" s="244">
        <f t="shared" si="8"/>
        <v>12500</v>
      </c>
      <c r="K38" s="194">
        <f t="shared" si="9"/>
        <v>3500</v>
      </c>
      <c r="L38" s="195">
        <f t="shared" si="10"/>
        <v>0.3888888889</v>
      </c>
      <c r="M38" s="196"/>
    </row>
    <row r="39" ht="15.75" customHeight="1">
      <c r="A39" s="159">
        <v>9.0</v>
      </c>
      <c r="B39" s="160" t="s">
        <v>1558</v>
      </c>
      <c r="C39" s="159" t="s">
        <v>1559</v>
      </c>
      <c r="D39" s="183">
        <v>1.0</v>
      </c>
      <c r="E39" s="184">
        <f>'Daftar Harga'!D50</f>
        <v>190000</v>
      </c>
      <c r="F39" s="185">
        <f t="shared" si="6"/>
        <v>190000</v>
      </c>
      <c r="G39" s="186">
        <v>190000.0</v>
      </c>
      <c r="H39" s="243">
        <f t="shared" si="7"/>
        <v>190000</v>
      </c>
      <c r="I39" s="188">
        <v>210000.0</v>
      </c>
      <c r="J39" s="244">
        <f t="shared" si="8"/>
        <v>210000</v>
      </c>
      <c r="K39" s="190">
        <f t="shared" si="9"/>
        <v>20000</v>
      </c>
      <c r="L39" s="191">
        <f t="shared" si="10"/>
        <v>0.1052631579</v>
      </c>
      <c r="M39" s="192"/>
    </row>
    <row r="40" ht="15.75" customHeight="1">
      <c r="A40" s="164">
        <v>10.0</v>
      </c>
      <c r="B40" s="197" t="s">
        <v>1549</v>
      </c>
      <c r="C40" s="164" t="s">
        <v>109</v>
      </c>
      <c r="D40" s="198">
        <v>200.0</v>
      </c>
      <c r="E40" s="184" t="str">
        <f>'Daftar Harga'!D53</f>
        <v/>
      </c>
      <c r="F40" s="185" t="str">
        <f t="shared" si="6"/>
        <v/>
      </c>
      <c r="G40" s="186">
        <v>25000.0</v>
      </c>
      <c r="H40" s="243">
        <f t="shared" si="7"/>
        <v>5000000</v>
      </c>
      <c r="I40" s="188">
        <v>29000.0</v>
      </c>
      <c r="J40" s="244">
        <f t="shared" si="8"/>
        <v>5800000</v>
      </c>
      <c r="K40" s="194">
        <f t="shared" si="9"/>
        <v>800000</v>
      </c>
      <c r="L40" s="195">
        <f t="shared" si="10"/>
        <v>0.16</v>
      </c>
      <c r="M40" s="196"/>
    </row>
    <row r="41" ht="15.75" customHeight="1">
      <c r="A41" s="159">
        <v>11.0</v>
      </c>
      <c r="B41" s="160" t="s">
        <v>1563</v>
      </c>
      <c r="C41" s="159" t="s">
        <v>109</v>
      </c>
      <c r="D41" s="183">
        <v>2.0</v>
      </c>
      <c r="E41" s="184">
        <f>'Daftar Harga'!D54</f>
        <v>45000</v>
      </c>
      <c r="F41" s="185">
        <f t="shared" si="6"/>
        <v>90000</v>
      </c>
      <c r="G41" s="186">
        <v>43000.0</v>
      </c>
      <c r="H41" s="243">
        <f t="shared" si="7"/>
        <v>86000</v>
      </c>
      <c r="I41" s="188">
        <v>48000.0</v>
      </c>
      <c r="J41" s="244">
        <f t="shared" si="8"/>
        <v>96000</v>
      </c>
      <c r="K41" s="190">
        <f t="shared" si="9"/>
        <v>10000</v>
      </c>
      <c r="L41" s="191">
        <f t="shared" si="10"/>
        <v>0.1162790698</v>
      </c>
      <c r="M41" s="192"/>
    </row>
    <row r="42" ht="15.75" customHeight="1">
      <c r="A42" s="164">
        <v>12.0</v>
      </c>
      <c r="B42" s="165" t="s">
        <v>1569</v>
      </c>
      <c r="C42" s="164" t="s">
        <v>109</v>
      </c>
      <c r="D42" s="193">
        <v>1.0</v>
      </c>
      <c r="E42" s="184">
        <f>'Daftar Harga'!D60</f>
        <v>12000</v>
      </c>
      <c r="F42" s="185">
        <f t="shared" si="6"/>
        <v>12000</v>
      </c>
      <c r="G42" s="186">
        <v>11667.0</v>
      </c>
      <c r="H42" s="243">
        <f t="shared" si="7"/>
        <v>11667</v>
      </c>
      <c r="I42" s="188">
        <v>12000.0</v>
      </c>
      <c r="J42" s="244">
        <f t="shared" si="8"/>
        <v>12000</v>
      </c>
      <c r="K42" s="194">
        <f t="shared" si="9"/>
        <v>333</v>
      </c>
      <c r="L42" s="195">
        <f t="shared" si="10"/>
        <v>0.02854204166</v>
      </c>
      <c r="M42" s="196"/>
    </row>
    <row r="43" ht="15.75" customHeight="1">
      <c r="A43" s="159">
        <v>13.0</v>
      </c>
      <c r="B43" s="160" t="s">
        <v>1574</v>
      </c>
      <c r="C43" s="159" t="s">
        <v>109</v>
      </c>
      <c r="D43" s="183">
        <v>5.0</v>
      </c>
      <c r="E43" s="184">
        <f>'Daftar Harga'!D65</f>
        <v>16000</v>
      </c>
      <c r="F43" s="185">
        <f t="shared" si="6"/>
        <v>80000</v>
      </c>
      <c r="G43" s="186">
        <v>12000.0</v>
      </c>
      <c r="H43" s="243">
        <f t="shared" si="7"/>
        <v>60000</v>
      </c>
      <c r="I43" s="188">
        <v>14000.0</v>
      </c>
      <c r="J43" s="244">
        <f t="shared" si="8"/>
        <v>70000</v>
      </c>
      <c r="K43" s="190">
        <f t="shared" si="9"/>
        <v>10000</v>
      </c>
      <c r="L43" s="191">
        <f t="shared" si="10"/>
        <v>0.1666666667</v>
      </c>
      <c r="M43" s="192"/>
    </row>
    <row r="44" ht="15.75" customHeight="1">
      <c r="A44" s="164">
        <v>14.0</v>
      </c>
      <c r="B44" s="165" t="s">
        <v>1578</v>
      </c>
      <c r="C44" s="164" t="s">
        <v>1579</v>
      </c>
      <c r="D44" s="193">
        <v>36.0</v>
      </c>
      <c r="E44" s="184">
        <f>'Daftar Harga'!D69</f>
        <v>205000</v>
      </c>
      <c r="F44" s="185">
        <f t="shared" si="6"/>
        <v>7380000</v>
      </c>
      <c r="G44" s="186">
        <v>22000.0</v>
      </c>
      <c r="H44" s="243">
        <f t="shared" si="7"/>
        <v>792000</v>
      </c>
      <c r="I44" s="188">
        <v>25000.0</v>
      </c>
      <c r="J44" s="244">
        <f t="shared" si="8"/>
        <v>900000</v>
      </c>
      <c r="K44" s="194">
        <f t="shared" si="9"/>
        <v>108000</v>
      </c>
      <c r="L44" s="195">
        <f t="shared" si="10"/>
        <v>0.1363636364</v>
      </c>
      <c r="M44" s="196"/>
    </row>
    <row r="45" ht="15.75" customHeight="1">
      <c r="A45" s="159">
        <v>15.0</v>
      </c>
      <c r="B45" s="160" t="s">
        <v>1584</v>
      </c>
      <c r="C45" s="159" t="s">
        <v>109</v>
      </c>
      <c r="D45" s="183">
        <v>4.0</v>
      </c>
      <c r="E45" s="184">
        <f>'Daftar Harga'!D74</f>
        <v>42000</v>
      </c>
      <c r="F45" s="185">
        <f t="shared" si="6"/>
        <v>168000</v>
      </c>
      <c r="G45" s="186">
        <v>42000.0</v>
      </c>
      <c r="H45" s="243">
        <f t="shared" si="7"/>
        <v>168000</v>
      </c>
      <c r="I45" s="188">
        <v>46000.0</v>
      </c>
      <c r="J45" s="244">
        <f t="shared" si="8"/>
        <v>184000</v>
      </c>
      <c r="K45" s="190">
        <f t="shared" si="9"/>
        <v>16000</v>
      </c>
      <c r="L45" s="191">
        <f t="shared" si="10"/>
        <v>0.09523809524</v>
      </c>
      <c r="M45" s="192"/>
    </row>
    <row r="46" ht="15.75" customHeight="1">
      <c r="A46" s="164">
        <v>16.0</v>
      </c>
      <c r="B46" s="165" t="s">
        <v>1595</v>
      </c>
      <c r="C46" s="164" t="s">
        <v>109</v>
      </c>
      <c r="D46" s="193">
        <v>1.0</v>
      </c>
      <c r="E46" s="184">
        <f>'Daftar Harga'!D86</f>
        <v>12000</v>
      </c>
      <c r="F46" s="185">
        <f t="shared" si="6"/>
        <v>12000</v>
      </c>
      <c r="G46" s="186">
        <v>11000.0</v>
      </c>
      <c r="H46" s="243">
        <f t="shared" si="7"/>
        <v>11000</v>
      </c>
      <c r="I46" s="188">
        <v>14000.0</v>
      </c>
      <c r="J46" s="244">
        <f t="shared" si="8"/>
        <v>14000</v>
      </c>
      <c r="K46" s="194">
        <f t="shared" si="9"/>
        <v>3000</v>
      </c>
      <c r="L46" s="195">
        <f t="shared" si="10"/>
        <v>0.2727272727</v>
      </c>
      <c r="M46" s="196"/>
    </row>
    <row r="47" ht="15.75" customHeight="1">
      <c r="A47" s="159">
        <v>17.0</v>
      </c>
      <c r="B47" s="160" t="s">
        <v>1600</v>
      </c>
      <c r="C47" s="159" t="s">
        <v>109</v>
      </c>
      <c r="D47" s="183">
        <v>135.0</v>
      </c>
      <c r="E47" s="184">
        <f>'Daftar Harga'!D92</f>
        <v>28000</v>
      </c>
      <c r="F47" s="185">
        <f t="shared" si="6"/>
        <v>3780000</v>
      </c>
      <c r="G47" s="186">
        <v>25500.0</v>
      </c>
      <c r="H47" s="243">
        <f t="shared" si="7"/>
        <v>3442500</v>
      </c>
      <c r="I47" s="188">
        <v>28000.0</v>
      </c>
      <c r="J47" s="244">
        <f t="shared" si="8"/>
        <v>3780000</v>
      </c>
      <c r="K47" s="190">
        <f t="shared" si="9"/>
        <v>337500</v>
      </c>
      <c r="L47" s="191">
        <f t="shared" si="10"/>
        <v>0.09803921569</v>
      </c>
      <c r="M47" s="192"/>
    </row>
    <row r="48" ht="15.75" customHeight="1">
      <c r="A48" s="164">
        <v>18.0</v>
      </c>
      <c r="B48" s="165" t="s">
        <v>1601</v>
      </c>
      <c r="C48" s="164" t="s">
        <v>67</v>
      </c>
      <c r="D48" s="193">
        <v>83.0</v>
      </c>
      <c r="E48" s="184">
        <f>'Daftar Harga'!D93</f>
        <v>12000</v>
      </c>
      <c r="F48" s="185">
        <f t="shared" si="6"/>
        <v>996000</v>
      </c>
      <c r="G48" s="186">
        <v>12000.0</v>
      </c>
      <c r="H48" s="243">
        <f t="shared" si="7"/>
        <v>996000</v>
      </c>
      <c r="I48" s="188">
        <v>14000.0</v>
      </c>
      <c r="J48" s="244">
        <f t="shared" si="8"/>
        <v>1162000</v>
      </c>
      <c r="K48" s="194">
        <f t="shared" si="9"/>
        <v>166000</v>
      </c>
      <c r="L48" s="195">
        <f t="shared" si="10"/>
        <v>0.1666666667</v>
      </c>
      <c r="M48" s="196"/>
    </row>
    <row r="49" ht="15.75" customHeight="1">
      <c r="A49" s="159">
        <v>19.0</v>
      </c>
      <c r="B49" s="160" t="s">
        <v>1606</v>
      </c>
      <c r="C49" s="159" t="s">
        <v>109</v>
      </c>
      <c r="D49" s="183">
        <v>0.25</v>
      </c>
      <c r="E49" s="184">
        <f>'Daftar Harga'!D98</f>
        <v>7000</v>
      </c>
      <c r="F49" s="185">
        <f t="shared" si="6"/>
        <v>1750</v>
      </c>
      <c r="G49" s="186">
        <v>24000.0</v>
      </c>
      <c r="H49" s="243">
        <f t="shared" si="7"/>
        <v>6000</v>
      </c>
      <c r="I49" s="188">
        <v>30000.0</v>
      </c>
      <c r="J49" s="244">
        <f t="shared" si="8"/>
        <v>7500</v>
      </c>
      <c r="K49" s="190">
        <f t="shared" si="9"/>
        <v>1500</v>
      </c>
      <c r="L49" s="191">
        <f t="shared" si="10"/>
        <v>0.25</v>
      </c>
      <c r="M49" s="192"/>
    </row>
    <row r="50" ht="15.75" customHeight="1">
      <c r="A50" s="164">
        <v>20.0</v>
      </c>
      <c r="B50" s="165" t="s">
        <v>1607</v>
      </c>
      <c r="C50" s="164" t="s">
        <v>109</v>
      </c>
      <c r="D50" s="193">
        <v>35.0</v>
      </c>
      <c r="E50" s="184">
        <f>'Daftar Harga'!D99</f>
        <v>8000</v>
      </c>
      <c r="F50" s="185">
        <f t="shared" si="6"/>
        <v>280000</v>
      </c>
      <c r="G50" s="186">
        <v>9000.0</v>
      </c>
      <c r="H50" s="243">
        <f t="shared" si="7"/>
        <v>315000</v>
      </c>
      <c r="I50" s="188">
        <v>14000.0</v>
      </c>
      <c r="J50" s="244">
        <f t="shared" si="8"/>
        <v>490000</v>
      </c>
      <c r="K50" s="194">
        <f t="shared" si="9"/>
        <v>175000</v>
      </c>
      <c r="L50" s="195">
        <f t="shared" si="10"/>
        <v>0.5555555556</v>
      </c>
      <c r="M50" s="196"/>
    </row>
    <row r="51" ht="15.75" customHeight="1">
      <c r="A51" s="159">
        <v>21.0</v>
      </c>
      <c r="B51" s="160" t="s">
        <v>1609</v>
      </c>
      <c r="C51" s="159" t="s">
        <v>109</v>
      </c>
      <c r="D51" s="183">
        <v>30.0</v>
      </c>
      <c r="E51" s="184">
        <f>'Daftar Harga'!D101</f>
        <v>9000</v>
      </c>
      <c r="F51" s="185">
        <f t="shared" si="6"/>
        <v>270000</v>
      </c>
      <c r="G51" s="186">
        <v>12000.0</v>
      </c>
      <c r="H51" s="243">
        <f t="shared" si="7"/>
        <v>360000</v>
      </c>
      <c r="I51" s="188">
        <v>15000.0</v>
      </c>
      <c r="J51" s="264">
        <f t="shared" si="8"/>
        <v>450000</v>
      </c>
      <c r="K51" s="190">
        <f t="shared" si="9"/>
        <v>90000</v>
      </c>
      <c r="L51" s="191">
        <f t="shared" si="10"/>
        <v>0.25</v>
      </c>
      <c r="M51" s="192"/>
    </row>
    <row r="52" ht="19.5" customHeight="1">
      <c r="A52" s="205" t="s">
        <v>1632</v>
      </c>
      <c r="B52" s="206"/>
      <c r="C52" s="206"/>
      <c r="D52" s="174"/>
      <c r="E52" s="207"/>
      <c r="F52" s="208">
        <f>SUMIF(F31:F51,"&lt;&gt;",F31:F51)</f>
        <v>15944650</v>
      </c>
      <c r="G52" s="207"/>
      <c r="H52" s="208">
        <f>SUMIF(H31:H51,"&lt;&gt;",H31:H51)</f>
        <v>14011167</v>
      </c>
      <c r="I52" s="209"/>
      <c r="J52" s="210">
        <f>SUMIF(J31:J51,"&lt;&gt;",J31:J51)</f>
        <v>15996500</v>
      </c>
      <c r="K52" s="211">
        <f t="shared" si="9"/>
        <v>1985333</v>
      </c>
      <c r="L52" s="212">
        <f t="shared" si="10"/>
        <v>0.1416964768</v>
      </c>
      <c r="M52" s="207"/>
    </row>
    <row r="53" ht="15.75" customHeight="1"/>
    <row r="54" ht="21.75" customHeight="1">
      <c r="A54" s="171" t="s">
        <v>1633</v>
      </c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6"/>
    </row>
    <row r="55" ht="19.5" customHeight="1">
      <c r="A55" s="172" t="s">
        <v>1509</v>
      </c>
      <c r="B55" s="172" t="s">
        <v>1510</v>
      </c>
      <c r="C55" s="172" t="s">
        <v>1511</v>
      </c>
      <c r="D55" s="172" t="s">
        <v>1614</v>
      </c>
      <c r="E55" s="173" t="s">
        <v>1615</v>
      </c>
      <c r="F55" s="174"/>
      <c r="G55" s="175" t="s">
        <v>1616</v>
      </c>
      <c r="H55" s="174"/>
      <c r="I55" s="176" t="s">
        <v>1617</v>
      </c>
      <c r="J55" s="174"/>
      <c r="K55" s="177" t="s">
        <v>1618</v>
      </c>
      <c r="L55" s="174"/>
      <c r="M55" s="172" t="s">
        <v>1619</v>
      </c>
    </row>
    <row r="56" ht="27.75" customHeight="1">
      <c r="A56" s="178" t="s">
        <v>1509</v>
      </c>
      <c r="B56" s="178" t="s">
        <v>1510</v>
      </c>
      <c r="C56" s="178" t="s">
        <v>1511</v>
      </c>
      <c r="D56" s="178" t="s">
        <v>1614</v>
      </c>
      <c r="E56" s="179" t="s">
        <v>1620</v>
      </c>
      <c r="F56" s="179" t="s">
        <v>1621</v>
      </c>
      <c r="G56" s="180" t="s">
        <v>1622</v>
      </c>
      <c r="H56" s="180" t="s">
        <v>1623</v>
      </c>
      <c r="I56" s="181" t="s">
        <v>1624</v>
      </c>
      <c r="J56" s="181" t="s">
        <v>1625</v>
      </c>
      <c r="K56" s="182" t="s">
        <v>1626</v>
      </c>
      <c r="L56" s="182" t="s">
        <v>1627</v>
      </c>
      <c r="M56" s="178" t="s">
        <v>1619</v>
      </c>
    </row>
    <row r="57" ht="15.75" customHeight="1">
      <c r="A57" s="159">
        <v>1.0</v>
      </c>
      <c r="B57" s="226" t="s">
        <v>1568</v>
      </c>
      <c r="C57" s="159" t="s">
        <v>69</v>
      </c>
      <c r="D57" s="227">
        <v>83.0</v>
      </c>
      <c r="E57" s="184"/>
      <c r="F57" s="185" t="str">
        <f t="shared" ref="F57:F72" si="11">IF(E57&lt;&gt;"",D57*E57,"")</f>
        <v/>
      </c>
      <c r="G57" s="221">
        <v>29000.0</v>
      </c>
      <c r="H57" s="187">
        <f t="shared" ref="H57:H72" si="12">IF(G57&lt;&gt;"",D57*G57,"")</f>
        <v>2407000</v>
      </c>
      <c r="I57" s="222">
        <v>32000.0</v>
      </c>
      <c r="J57" s="215">
        <f t="shared" ref="J57:J72" si="13">IF(I57&lt;&gt;"",D57*I57,"")</f>
        <v>2656000</v>
      </c>
      <c r="K57" s="190">
        <f t="shared" ref="K57:K73" si="14">IF(J57&lt;&gt;"",IF(H57&lt;&gt;"",J57-H57,IF(F57&lt;&gt;"",J57-F57,"")),"")</f>
        <v>249000</v>
      </c>
      <c r="L57" s="191">
        <f t="shared" ref="L57:L73" si="15">IF(K57&lt;&gt;"",IF(H57&lt;&gt;"",IF(H57&lt;&gt;0,K57/H57,""),IF(F57&lt;&gt;"",IF(F57&lt;&gt;0,K57/F57,""),"")),"")</f>
        <v>0.1034482759</v>
      </c>
      <c r="M57" s="192"/>
    </row>
    <row r="58" ht="15.75" customHeight="1">
      <c r="A58" s="164">
        <v>2.0</v>
      </c>
      <c r="B58" s="165" t="s">
        <v>1519</v>
      </c>
      <c r="C58" s="164" t="s">
        <v>109</v>
      </c>
      <c r="D58" s="193">
        <v>90.0</v>
      </c>
      <c r="E58" s="184"/>
      <c r="F58" s="185" t="str">
        <f t="shared" si="11"/>
        <v/>
      </c>
      <c r="G58" s="221">
        <v>46500.0</v>
      </c>
      <c r="H58" s="187">
        <f t="shared" si="12"/>
        <v>4185000</v>
      </c>
      <c r="I58" s="222">
        <v>48500.0</v>
      </c>
      <c r="J58" s="215">
        <f t="shared" si="13"/>
        <v>4365000</v>
      </c>
      <c r="K58" s="194">
        <f t="shared" si="14"/>
        <v>180000</v>
      </c>
      <c r="L58" s="195">
        <f t="shared" si="15"/>
        <v>0.04301075269</v>
      </c>
      <c r="M58" s="196"/>
    </row>
    <row r="59" ht="15.75" customHeight="1">
      <c r="A59" s="159">
        <v>3.0</v>
      </c>
      <c r="B59" s="226" t="s">
        <v>1795</v>
      </c>
      <c r="C59" s="159" t="s">
        <v>109</v>
      </c>
      <c r="D59" s="227">
        <v>1.0</v>
      </c>
      <c r="E59" s="184"/>
      <c r="F59" s="185" t="str">
        <f t="shared" si="11"/>
        <v/>
      </c>
      <c r="G59" s="221">
        <v>90000.0</v>
      </c>
      <c r="H59" s="187">
        <f t="shared" si="12"/>
        <v>90000</v>
      </c>
      <c r="I59" s="222">
        <v>100000.0</v>
      </c>
      <c r="J59" s="215">
        <f t="shared" si="13"/>
        <v>100000</v>
      </c>
      <c r="K59" s="190">
        <f t="shared" si="14"/>
        <v>10000</v>
      </c>
      <c r="L59" s="191">
        <f t="shared" si="15"/>
        <v>0.1111111111</v>
      </c>
      <c r="M59" s="192"/>
    </row>
    <row r="60" ht="15.75" customHeight="1">
      <c r="A60" s="164">
        <v>4.0</v>
      </c>
      <c r="B60" s="197" t="s">
        <v>1641</v>
      </c>
      <c r="C60" s="164" t="s">
        <v>109</v>
      </c>
      <c r="D60" s="198">
        <v>1.5</v>
      </c>
      <c r="E60" s="184"/>
      <c r="F60" s="185" t="str">
        <f t="shared" si="11"/>
        <v/>
      </c>
      <c r="G60" s="221">
        <v>30000.0</v>
      </c>
      <c r="H60" s="187">
        <f t="shared" si="12"/>
        <v>45000</v>
      </c>
      <c r="I60" s="222">
        <v>44000.0</v>
      </c>
      <c r="J60" s="215">
        <f t="shared" si="13"/>
        <v>66000</v>
      </c>
      <c r="K60" s="194">
        <f t="shared" si="14"/>
        <v>21000</v>
      </c>
      <c r="L60" s="195">
        <f t="shared" si="15"/>
        <v>0.4666666667</v>
      </c>
      <c r="M60" s="196"/>
    </row>
    <row r="61" ht="15.75" customHeight="1">
      <c r="A61" s="159">
        <v>5.0</v>
      </c>
      <c r="B61" s="226" t="s">
        <v>1575</v>
      </c>
      <c r="C61" s="159" t="s">
        <v>69</v>
      </c>
      <c r="D61" s="227">
        <v>1.0</v>
      </c>
      <c r="E61" s="184"/>
      <c r="F61" s="185" t="str">
        <f t="shared" si="11"/>
        <v/>
      </c>
      <c r="G61" s="221">
        <v>24000.0</v>
      </c>
      <c r="H61" s="187">
        <f t="shared" si="12"/>
        <v>24000</v>
      </c>
      <c r="I61" s="222">
        <v>25000.0</v>
      </c>
      <c r="J61" s="215">
        <f t="shared" si="13"/>
        <v>25000</v>
      </c>
      <c r="K61" s="190">
        <f t="shared" si="14"/>
        <v>1000</v>
      </c>
      <c r="L61" s="191">
        <f t="shared" si="15"/>
        <v>0.04166666667</v>
      </c>
      <c r="M61" s="192"/>
    </row>
    <row r="62" ht="15.75" customHeight="1">
      <c r="A62" s="164">
        <v>6.0</v>
      </c>
      <c r="B62" s="197" t="s">
        <v>1532</v>
      </c>
      <c r="C62" s="164" t="s">
        <v>261</v>
      </c>
      <c r="D62" s="198">
        <v>1.0</v>
      </c>
      <c r="E62" s="184"/>
      <c r="F62" s="185" t="str">
        <f t="shared" si="11"/>
        <v/>
      </c>
      <c r="G62" s="221">
        <v>400000.0</v>
      </c>
      <c r="H62" s="187">
        <f t="shared" si="12"/>
        <v>400000</v>
      </c>
      <c r="I62" s="222">
        <v>420000.0</v>
      </c>
      <c r="J62" s="215">
        <f t="shared" si="13"/>
        <v>420000</v>
      </c>
      <c r="K62" s="194">
        <f t="shared" si="14"/>
        <v>20000</v>
      </c>
      <c r="L62" s="195">
        <f t="shared" si="15"/>
        <v>0.05</v>
      </c>
      <c r="M62" s="196"/>
    </row>
    <row r="63" ht="15.75" customHeight="1">
      <c r="A63" s="159">
        <v>7.0</v>
      </c>
      <c r="B63" s="226" t="s">
        <v>1580</v>
      </c>
      <c r="C63" s="159" t="s">
        <v>109</v>
      </c>
      <c r="D63" s="183">
        <v>1.0</v>
      </c>
      <c r="E63" s="184"/>
      <c r="F63" s="185" t="str">
        <f t="shared" si="11"/>
        <v/>
      </c>
      <c r="G63" s="221">
        <v>52000.0</v>
      </c>
      <c r="H63" s="187">
        <f t="shared" si="12"/>
        <v>52000</v>
      </c>
      <c r="I63" s="222">
        <v>55000.0</v>
      </c>
      <c r="J63" s="215">
        <f t="shared" si="13"/>
        <v>55000</v>
      </c>
      <c r="K63" s="190">
        <f t="shared" si="14"/>
        <v>3000</v>
      </c>
      <c r="L63" s="191">
        <f t="shared" si="15"/>
        <v>0.05769230769</v>
      </c>
      <c r="M63" s="192"/>
    </row>
    <row r="64" ht="15.75" customHeight="1">
      <c r="A64" s="164">
        <v>8.0</v>
      </c>
      <c r="B64" s="197" t="s">
        <v>1548</v>
      </c>
      <c r="C64" s="164" t="s">
        <v>109</v>
      </c>
      <c r="D64" s="198">
        <v>0.5</v>
      </c>
      <c r="E64" s="184"/>
      <c r="F64" s="185" t="str">
        <f t="shared" si="11"/>
        <v/>
      </c>
      <c r="G64" s="221">
        <v>23000.0</v>
      </c>
      <c r="H64" s="187">
        <f t="shared" si="12"/>
        <v>11500</v>
      </c>
      <c r="I64" s="222">
        <v>26000.0</v>
      </c>
      <c r="J64" s="215">
        <f t="shared" si="13"/>
        <v>13000</v>
      </c>
      <c r="K64" s="194">
        <f t="shared" si="14"/>
        <v>1500</v>
      </c>
      <c r="L64" s="195">
        <f t="shared" si="15"/>
        <v>0.1304347826</v>
      </c>
      <c r="M64" s="196"/>
    </row>
    <row r="65" ht="15.75" customHeight="1">
      <c r="A65" s="159">
        <v>9.0</v>
      </c>
      <c r="B65" s="226" t="s">
        <v>1584</v>
      </c>
      <c r="C65" s="159" t="s">
        <v>109</v>
      </c>
      <c r="D65" s="227">
        <v>2.0</v>
      </c>
      <c r="E65" s="184"/>
      <c r="F65" s="185" t="str">
        <f t="shared" si="11"/>
        <v/>
      </c>
      <c r="G65" s="221">
        <v>45000.0</v>
      </c>
      <c r="H65" s="187">
        <f t="shared" si="12"/>
        <v>90000</v>
      </c>
      <c r="I65" s="222">
        <v>46000.0</v>
      </c>
      <c r="J65" s="215">
        <f t="shared" si="13"/>
        <v>92000</v>
      </c>
      <c r="K65" s="190">
        <f t="shared" si="14"/>
        <v>2000</v>
      </c>
      <c r="L65" s="191">
        <f t="shared" si="15"/>
        <v>0.02222222222</v>
      </c>
      <c r="M65" s="192"/>
    </row>
    <row r="66" ht="15.75" customHeight="1">
      <c r="A66" s="164">
        <v>10.0</v>
      </c>
      <c r="B66" s="197" t="s">
        <v>1796</v>
      </c>
      <c r="C66" s="164" t="s">
        <v>69</v>
      </c>
      <c r="D66" s="198">
        <v>3.0</v>
      </c>
      <c r="E66" s="184"/>
      <c r="F66" s="185" t="str">
        <f t="shared" si="11"/>
        <v/>
      </c>
      <c r="G66" s="221">
        <v>127000.0</v>
      </c>
      <c r="H66" s="187">
        <f t="shared" si="12"/>
        <v>381000</v>
      </c>
      <c r="I66" s="222">
        <v>135000.0</v>
      </c>
      <c r="J66" s="215">
        <f t="shared" si="13"/>
        <v>405000</v>
      </c>
      <c r="K66" s="194">
        <f t="shared" si="14"/>
        <v>24000</v>
      </c>
      <c r="L66" s="195">
        <f t="shared" si="15"/>
        <v>0.06299212598</v>
      </c>
      <c r="M66" s="196"/>
    </row>
    <row r="67" ht="15.75" customHeight="1">
      <c r="A67" s="159">
        <v>11.0</v>
      </c>
      <c r="B67" s="226" t="s">
        <v>1797</v>
      </c>
      <c r="C67" s="159" t="s">
        <v>109</v>
      </c>
      <c r="D67" s="227">
        <v>1.0</v>
      </c>
      <c r="E67" s="184"/>
      <c r="F67" s="185" t="str">
        <f t="shared" si="11"/>
        <v/>
      </c>
      <c r="G67" s="221">
        <v>117000.0</v>
      </c>
      <c r="H67" s="187">
        <f t="shared" si="12"/>
        <v>117000</v>
      </c>
      <c r="I67" s="222">
        <v>120000.0</v>
      </c>
      <c r="J67" s="215">
        <f t="shared" si="13"/>
        <v>120000</v>
      </c>
      <c r="K67" s="190">
        <f t="shared" si="14"/>
        <v>3000</v>
      </c>
      <c r="L67" s="191">
        <f t="shared" si="15"/>
        <v>0.02564102564</v>
      </c>
      <c r="M67" s="192"/>
    </row>
    <row r="68" ht="15.75" customHeight="1">
      <c r="A68" s="164">
        <v>12.0</v>
      </c>
      <c r="B68" s="197" t="s">
        <v>1344</v>
      </c>
      <c r="C68" s="164" t="s">
        <v>1579</v>
      </c>
      <c r="D68" s="198">
        <v>2077.0</v>
      </c>
      <c r="E68" s="184"/>
      <c r="F68" s="185" t="str">
        <f t="shared" si="11"/>
        <v/>
      </c>
      <c r="G68" s="221">
        <v>480.0</v>
      </c>
      <c r="H68" s="187">
        <f t="shared" si="12"/>
        <v>996960</v>
      </c>
      <c r="I68" s="222">
        <v>700.0</v>
      </c>
      <c r="J68" s="215">
        <f t="shared" si="13"/>
        <v>1453900</v>
      </c>
      <c r="K68" s="194">
        <f t="shared" si="14"/>
        <v>456940</v>
      </c>
      <c r="L68" s="195">
        <f t="shared" si="15"/>
        <v>0.4583333333</v>
      </c>
      <c r="M68" s="196"/>
    </row>
    <row r="69" ht="15.75" customHeight="1">
      <c r="A69" s="159">
        <v>13.0</v>
      </c>
      <c r="B69" s="226" t="s">
        <v>1578</v>
      </c>
      <c r="C69" s="159" t="s">
        <v>1557</v>
      </c>
      <c r="D69" s="227">
        <v>36.0</v>
      </c>
      <c r="E69" s="184"/>
      <c r="F69" s="185" t="str">
        <f t="shared" si="11"/>
        <v/>
      </c>
      <c r="G69" s="221">
        <v>22000.0</v>
      </c>
      <c r="H69" s="187">
        <f t="shared" si="12"/>
        <v>792000</v>
      </c>
      <c r="I69" s="222">
        <v>23000.0</v>
      </c>
      <c r="J69" s="215">
        <f t="shared" si="13"/>
        <v>828000</v>
      </c>
      <c r="K69" s="190">
        <f t="shared" si="14"/>
        <v>36000</v>
      </c>
      <c r="L69" s="191">
        <f t="shared" si="15"/>
        <v>0.04545454545</v>
      </c>
      <c r="M69" s="192"/>
    </row>
    <row r="70" ht="15.75" customHeight="1">
      <c r="A70" s="164">
        <v>14.0</v>
      </c>
      <c r="B70" s="197" t="s">
        <v>1607</v>
      </c>
      <c r="C70" s="164" t="s">
        <v>109</v>
      </c>
      <c r="D70" s="198">
        <v>32.0</v>
      </c>
      <c r="E70" s="184"/>
      <c r="F70" s="185" t="str">
        <f t="shared" si="11"/>
        <v/>
      </c>
      <c r="G70" s="221">
        <v>10000.0</v>
      </c>
      <c r="H70" s="187">
        <f t="shared" si="12"/>
        <v>320000</v>
      </c>
      <c r="I70" s="222">
        <v>12000.0</v>
      </c>
      <c r="J70" s="215">
        <f t="shared" si="13"/>
        <v>384000</v>
      </c>
      <c r="K70" s="194">
        <f t="shared" si="14"/>
        <v>64000</v>
      </c>
      <c r="L70" s="195">
        <f t="shared" si="15"/>
        <v>0.2</v>
      </c>
      <c r="M70" s="196"/>
    </row>
    <row r="71" ht="15.75" customHeight="1">
      <c r="A71" s="159">
        <v>15.0</v>
      </c>
      <c r="B71" s="226" t="s">
        <v>1594</v>
      </c>
      <c r="C71" s="159" t="s">
        <v>261</v>
      </c>
      <c r="D71" s="227">
        <v>15.0</v>
      </c>
      <c r="E71" s="184"/>
      <c r="F71" s="185" t="str">
        <f t="shared" si="11"/>
        <v/>
      </c>
      <c r="G71" s="221">
        <v>32000.0</v>
      </c>
      <c r="H71" s="187">
        <f t="shared" si="12"/>
        <v>480000</v>
      </c>
      <c r="I71" s="222">
        <v>34000.0</v>
      </c>
      <c r="J71" s="215">
        <f t="shared" si="13"/>
        <v>510000</v>
      </c>
      <c r="K71" s="190">
        <f t="shared" si="14"/>
        <v>30000</v>
      </c>
      <c r="L71" s="191">
        <f t="shared" si="15"/>
        <v>0.0625</v>
      </c>
      <c r="M71" s="192"/>
    </row>
    <row r="72" ht="15.75" customHeight="1">
      <c r="A72" s="164">
        <v>16.0</v>
      </c>
      <c r="B72" s="197" t="s">
        <v>1656</v>
      </c>
      <c r="C72" s="164" t="s">
        <v>69</v>
      </c>
      <c r="D72" s="198">
        <v>29.0</v>
      </c>
      <c r="E72" s="184"/>
      <c r="F72" s="185" t="str">
        <f t="shared" si="11"/>
        <v/>
      </c>
      <c r="G72" s="221">
        <v>250000.0</v>
      </c>
      <c r="H72" s="187">
        <f t="shared" si="12"/>
        <v>7250000</v>
      </c>
      <c r="I72" s="222">
        <v>260000.0</v>
      </c>
      <c r="J72" s="219">
        <f t="shared" si="13"/>
        <v>7540000</v>
      </c>
      <c r="K72" s="194">
        <f t="shared" si="14"/>
        <v>290000</v>
      </c>
      <c r="L72" s="195">
        <f t="shared" si="15"/>
        <v>0.04</v>
      </c>
      <c r="M72" s="196"/>
    </row>
    <row r="73" ht="19.5" customHeight="1">
      <c r="A73" s="205" t="s">
        <v>1635</v>
      </c>
      <c r="B73" s="206"/>
      <c r="C73" s="206"/>
      <c r="D73" s="174"/>
      <c r="E73" s="207"/>
      <c r="F73" s="208">
        <f>SUMIF(F57:F72,"&lt;&gt;",F57:F72)</f>
        <v>0</v>
      </c>
      <c r="G73" s="207"/>
      <c r="H73" s="208">
        <f>SUMIF(H57:H72,"&lt;&gt;",H57:H72)</f>
        <v>17641460</v>
      </c>
      <c r="I73" s="209"/>
      <c r="J73" s="210">
        <f>SUMIF(J57:J72,"&lt;&gt;",J57:J72)</f>
        <v>19032900</v>
      </c>
      <c r="K73" s="211">
        <f t="shared" si="14"/>
        <v>1391440</v>
      </c>
      <c r="L73" s="212">
        <f t="shared" si="15"/>
        <v>0.07887329053</v>
      </c>
      <c r="M73" s="207"/>
    </row>
    <row r="74" ht="15.75" customHeight="1"/>
    <row r="75" ht="15.75" customHeight="1">
      <c r="A75" s="171" t="s">
        <v>1633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6"/>
    </row>
    <row r="76" ht="15.75" customHeight="1">
      <c r="A76" s="172" t="s">
        <v>1509</v>
      </c>
      <c r="B76" s="172" t="s">
        <v>1510</v>
      </c>
      <c r="C76" s="172" t="s">
        <v>1511</v>
      </c>
      <c r="D76" s="172" t="s">
        <v>1614</v>
      </c>
      <c r="E76" s="173" t="s">
        <v>1615</v>
      </c>
      <c r="F76" s="174"/>
      <c r="G76" s="175" t="s">
        <v>1616</v>
      </c>
      <c r="H76" s="174"/>
      <c r="I76" s="176" t="s">
        <v>1617</v>
      </c>
      <c r="J76" s="174"/>
      <c r="K76" s="177" t="s">
        <v>1618</v>
      </c>
      <c r="L76" s="174"/>
      <c r="M76" s="172" t="s">
        <v>1619</v>
      </c>
    </row>
    <row r="77" ht="15.75" customHeight="1">
      <c r="A77" s="178" t="s">
        <v>1509</v>
      </c>
      <c r="B77" s="178" t="s">
        <v>1510</v>
      </c>
      <c r="C77" s="178" t="s">
        <v>1511</v>
      </c>
      <c r="D77" s="178" t="s">
        <v>1614</v>
      </c>
      <c r="E77" s="179" t="s">
        <v>1620</v>
      </c>
      <c r="F77" s="179" t="s">
        <v>1621</v>
      </c>
      <c r="G77" s="180" t="s">
        <v>1622</v>
      </c>
      <c r="H77" s="180" t="s">
        <v>1623</v>
      </c>
      <c r="I77" s="181" t="s">
        <v>1624</v>
      </c>
      <c r="J77" s="181" t="s">
        <v>1625</v>
      </c>
      <c r="K77" s="182" t="s">
        <v>1626</v>
      </c>
      <c r="L77" s="182" t="s">
        <v>1627</v>
      </c>
      <c r="M77" s="178" t="s">
        <v>1619</v>
      </c>
    </row>
    <row r="78" ht="15.75" customHeight="1">
      <c r="A78" s="159">
        <v>1.0</v>
      </c>
      <c r="B78" s="226" t="s">
        <v>1798</v>
      </c>
      <c r="C78" s="223" t="s">
        <v>1799</v>
      </c>
      <c r="D78" s="227">
        <v>2016.0</v>
      </c>
      <c r="E78" s="184"/>
      <c r="F78" s="185" t="str">
        <f t="shared" ref="F78:F80" si="16">IF(E78&lt;&gt;"",D78*E78,"")</f>
        <v/>
      </c>
      <c r="G78" s="221">
        <v>3167.0</v>
      </c>
      <c r="H78" s="187">
        <f t="shared" ref="H78:H80" si="17">IF(G78&lt;&gt;"",D78*G78,"")</f>
        <v>6384672</v>
      </c>
      <c r="I78" s="222">
        <v>3600.0</v>
      </c>
      <c r="J78" s="215">
        <f t="shared" ref="J78:J80" si="18">IF(I78&lt;&gt;"",D78*I78,"")</f>
        <v>7257600</v>
      </c>
      <c r="K78" s="190">
        <f t="shared" ref="K78:K81" si="19">IF(J78&lt;&gt;"",IF(H78&lt;&gt;"",J78-H78,IF(F78&lt;&gt;"",J78-F78,"")),"")</f>
        <v>872928</v>
      </c>
      <c r="L78" s="191">
        <f t="shared" ref="L78:L81" si="20">IF(K78&lt;&gt;"",IF(H78&lt;&gt;"",IF(H78&lt;&gt;0,K78/H78,""),IF(F78&lt;&gt;"",IF(F78&lt;&gt;0,K78/F78,""),"")),"")</f>
        <v>0.1367224503</v>
      </c>
      <c r="M78" s="192"/>
    </row>
    <row r="79" ht="15.75" customHeight="1">
      <c r="A79" s="164">
        <v>2.0</v>
      </c>
      <c r="B79" s="197" t="s">
        <v>1800</v>
      </c>
      <c r="C79" s="220" t="s">
        <v>261</v>
      </c>
      <c r="D79" s="198">
        <v>5.0</v>
      </c>
      <c r="E79" s="184"/>
      <c r="F79" s="185" t="str">
        <f t="shared" si="16"/>
        <v/>
      </c>
      <c r="G79" s="221">
        <v>590000.0</v>
      </c>
      <c r="H79" s="187">
        <f t="shared" si="17"/>
        <v>2950000</v>
      </c>
      <c r="I79" s="222">
        <v>610000.0</v>
      </c>
      <c r="J79" s="215">
        <f t="shared" si="18"/>
        <v>3050000</v>
      </c>
      <c r="K79" s="194">
        <f t="shared" si="19"/>
        <v>100000</v>
      </c>
      <c r="L79" s="195">
        <f t="shared" si="20"/>
        <v>0.03389830508</v>
      </c>
      <c r="M79" s="196"/>
    </row>
    <row r="80" ht="15.75" customHeight="1">
      <c r="A80" s="159">
        <v>3.0</v>
      </c>
      <c r="B80" s="226" t="s">
        <v>1801</v>
      </c>
      <c r="C80" s="223" t="s">
        <v>261</v>
      </c>
      <c r="D80" s="227">
        <v>18.0</v>
      </c>
      <c r="E80" s="184"/>
      <c r="F80" s="185" t="str">
        <f t="shared" si="16"/>
        <v/>
      </c>
      <c r="G80" s="221">
        <v>355000.0</v>
      </c>
      <c r="H80" s="187">
        <f t="shared" si="17"/>
        <v>6390000</v>
      </c>
      <c r="I80" s="222">
        <v>380000.0</v>
      </c>
      <c r="J80" s="219">
        <f t="shared" si="18"/>
        <v>6840000</v>
      </c>
      <c r="K80" s="190">
        <f t="shared" si="19"/>
        <v>450000</v>
      </c>
      <c r="L80" s="191">
        <f t="shared" si="20"/>
        <v>0.07042253521</v>
      </c>
      <c r="M80" s="192"/>
    </row>
    <row r="81" ht="15.75" customHeight="1">
      <c r="A81" s="205" t="s">
        <v>1635</v>
      </c>
      <c r="B81" s="206"/>
      <c r="C81" s="206"/>
      <c r="D81" s="174"/>
      <c r="E81" s="207"/>
      <c r="F81" s="208">
        <f>SUMIF(F68:F80,"&lt;&gt;",F68:F80)</f>
        <v>0</v>
      </c>
      <c r="G81" s="207"/>
      <c r="H81" s="208">
        <f>SUMIF(H78:H80,"&lt;&gt;",H78:H80)</f>
        <v>15724672</v>
      </c>
      <c r="I81" s="209"/>
      <c r="J81" s="210">
        <f>SUMIF(J78:J80,"&lt;&gt;",J78:J80)</f>
        <v>17147600</v>
      </c>
      <c r="K81" s="211">
        <f t="shared" si="19"/>
        <v>1422928</v>
      </c>
      <c r="L81" s="212">
        <f t="shared" si="20"/>
        <v>0.09049015458</v>
      </c>
      <c r="M81" s="207"/>
    </row>
    <row r="82" ht="15.75" customHeight="1"/>
    <row r="83" ht="15.75" customHeight="1">
      <c r="A83" s="171" t="s">
        <v>1633</v>
      </c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6"/>
    </row>
    <row r="84" ht="15.75" customHeight="1">
      <c r="A84" s="172" t="s">
        <v>1509</v>
      </c>
      <c r="B84" s="172" t="s">
        <v>1510</v>
      </c>
      <c r="C84" s="172" t="s">
        <v>1511</v>
      </c>
      <c r="D84" s="172" t="s">
        <v>1614</v>
      </c>
      <c r="E84" s="173" t="s">
        <v>1615</v>
      </c>
      <c r="F84" s="174"/>
      <c r="G84" s="175" t="s">
        <v>1616</v>
      </c>
      <c r="H84" s="174"/>
      <c r="I84" s="176" t="s">
        <v>1617</v>
      </c>
      <c r="J84" s="174"/>
      <c r="K84" s="177" t="s">
        <v>1618</v>
      </c>
      <c r="L84" s="174"/>
      <c r="M84" s="172" t="s">
        <v>1619</v>
      </c>
    </row>
    <row r="85" ht="15.75" customHeight="1">
      <c r="A85" s="178" t="s">
        <v>1509</v>
      </c>
      <c r="B85" s="178" t="s">
        <v>1510</v>
      </c>
      <c r="C85" s="178" t="s">
        <v>1511</v>
      </c>
      <c r="D85" s="178" t="s">
        <v>1614</v>
      </c>
      <c r="E85" s="179" t="s">
        <v>1620</v>
      </c>
      <c r="F85" s="179" t="s">
        <v>1621</v>
      </c>
      <c r="G85" s="180" t="s">
        <v>1622</v>
      </c>
      <c r="H85" s="180" t="s">
        <v>1623</v>
      </c>
      <c r="I85" s="181" t="s">
        <v>1624</v>
      </c>
      <c r="J85" s="181" t="s">
        <v>1625</v>
      </c>
      <c r="K85" s="182" t="s">
        <v>1626</v>
      </c>
      <c r="L85" s="182" t="s">
        <v>1627</v>
      </c>
      <c r="M85" s="178" t="s">
        <v>1619</v>
      </c>
    </row>
    <row r="86" ht="15.75" customHeight="1">
      <c r="A86" s="159">
        <v>1.0</v>
      </c>
      <c r="B86" s="160" t="s">
        <v>1517</v>
      </c>
      <c r="C86" s="223" t="s">
        <v>1208</v>
      </c>
      <c r="D86" s="227">
        <v>1.0</v>
      </c>
      <c r="E86" s="184"/>
      <c r="F86" s="185" t="str">
        <f>IF(E86&lt;&gt;"",D86*E86,"")</f>
        <v/>
      </c>
      <c r="G86" s="221">
        <v>590000.0</v>
      </c>
      <c r="H86" s="187">
        <f>IF(G86&lt;&gt;"",D86*G86,"")</f>
        <v>590000</v>
      </c>
      <c r="I86" s="222">
        <v>610000.0</v>
      </c>
      <c r="J86" s="219">
        <f>IF(I86&lt;&gt;"",D86*I86,"")</f>
        <v>610000</v>
      </c>
      <c r="K86" s="190">
        <f t="shared" ref="K86:K87" si="21">IF(J86&lt;&gt;"",IF(H86&lt;&gt;"",J86-H86,IF(F86&lt;&gt;"",J86-F86,"")),"")</f>
        <v>20000</v>
      </c>
      <c r="L86" s="191">
        <f t="shared" ref="L86:L87" si="22">IF(K86&lt;&gt;"",IF(H86&lt;&gt;"",IF(H86&lt;&gt;0,K86/H86,""),IF(F86&lt;&gt;"",IF(F86&lt;&gt;0,K86/F86,""),"")),"")</f>
        <v>0.03389830508</v>
      </c>
      <c r="M86" s="192"/>
    </row>
    <row r="87" ht="15.75" customHeight="1">
      <c r="A87" s="205" t="s">
        <v>1635</v>
      </c>
      <c r="B87" s="206"/>
      <c r="C87" s="206"/>
      <c r="D87" s="174"/>
      <c r="E87" s="207"/>
      <c r="F87" s="208">
        <f>SUMIF(F68:F86,"&lt;&gt;",F68:F86)</f>
        <v>0</v>
      </c>
      <c r="G87" s="207"/>
      <c r="H87" s="208">
        <f>SUMIF(H86,"&lt;&gt;",H86)</f>
        <v>590000</v>
      </c>
      <c r="I87" s="209"/>
      <c r="J87" s="210">
        <f>SUMIF(J86,"&lt;&gt;",J86)</f>
        <v>610000</v>
      </c>
      <c r="K87" s="211">
        <f t="shared" si="21"/>
        <v>20000</v>
      </c>
      <c r="L87" s="212">
        <f t="shared" si="22"/>
        <v>0.03389830508</v>
      </c>
      <c r="M87" s="207"/>
    </row>
    <row r="88" ht="15.75" customHeight="1"/>
    <row r="89" ht="15.75" customHeight="1">
      <c r="A89" s="228" t="s">
        <v>1639</v>
      </c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6"/>
    </row>
    <row r="90" ht="15.75" customHeight="1">
      <c r="A90" s="229" t="s">
        <v>1509</v>
      </c>
      <c r="B90" s="229" t="s">
        <v>1510</v>
      </c>
      <c r="C90" s="229" t="s">
        <v>1511</v>
      </c>
      <c r="D90" s="229" t="s">
        <v>1614</v>
      </c>
      <c r="E90" s="230" t="s">
        <v>1615</v>
      </c>
      <c r="F90" s="174"/>
      <c r="G90" s="231" t="s">
        <v>1616</v>
      </c>
      <c r="H90" s="174"/>
      <c r="I90" s="232" t="s">
        <v>1617</v>
      </c>
      <c r="J90" s="174"/>
      <c r="K90" s="233" t="s">
        <v>1618</v>
      </c>
      <c r="L90" s="174"/>
      <c r="M90" s="229" t="s">
        <v>1619</v>
      </c>
    </row>
    <row r="91" ht="15.75" customHeight="1">
      <c r="A91" s="234" t="s">
        <v>1509</v>
      </c>
      <c r="B91" s="234" t="s">
        <v>1510</v>
      </c>
      <c r="C91" s="234" t="s">
        <v>1511</v>
      </c>
      <c r="D91" s="234" t="s">
        <v>1614</v>
      </c>
      <c r="E91" s="235" t="s">
        <v>1620</v>
      </c>
      <c r="F91" s="235" t="s">
        <v>1621</v>
      </c>
      <c r="G91" s="236" t="s">
        <v>1622</v>
      </c>
      <c r="H91" s="236" t="s">
        <v>1623</v>
      </c>
      <c r="I91" s="237" t="s">
        <v>1624</v>
      </c>
      <c r="J91" s="237" t="s">
        <v>1625</v>
      </c>
      <c r="K91" s="238" t="s">
        <v>1626</v>
      </c>
      <c r="L91" s="238" t="s">
        <v>1627</v>
      </c>
      <c r="M91" s="234" t="s">
        <v>1619</v>
      </c>
    </row>
    <row r="92" ht="15.75" customHeight="1">
      <c r="A92" s="239">
        <v>1.0</v>
      </c>
      <c r="B92" s="240" t="s">
        <v>1518</v>
      </c>
      <c r="C92" s="239" t="s">
        <v>109</v>
      </c>
      <c r="D92" s="213">
        <v>1.0</v>
      </c>
      <c r="E92" s="241"/>
      <c r="F92" s="242" t="str">
        <f t="shared" ref="F92:F113" si="23">IF(E92&lt;&gt;"",D92*E92,"")</f>
        <v/>
      </c>
      <c r="G92" s="186">
        <v>20000.0</v>
      </c>
      <c r="H92" s="243">
        <f t="shared" ref="H92:H113" si="24">IF(G92&lt;&gt;"",D92*G92,"")</f>
        <v>20000</v>
      </c>
      <c r="I92" s="188">
        <v>25000.0</v>
      </c>
      <c r="J92" s="244">
        <f t="shared" ref="J92:J113" si="25">IF(I92&lt;&gt;"",D92*I92,"")</f>
        <v>25000</v>
      </c>
      <c r="K92" s="245">
        <f t="shared" ref="K92:K114" si="26">IF(J92&lt;&gt;"",IF(H92&lt;&gt;"",J92-H92,IF(F92&lt;&gt;"",J92-F92,"")),"")</f>
        <v>5000</v>
      </c>
      <c r="L92" s="246">
        <f t="shared" ref="L92:L114" si="27">IF(K92&lt;&gt;"",IF(H92&lt;&gt;"",IF(H92&lt;&gt;0,K92/H92,""),IF(F92&lt;&gt;"",IF(F92&lt;&gt;0,K92/F92,""),"")),"")</f>
        <v>0.25</v>
      </c>
      <c r="M92" s="247"/>
    </row>
    <row r="93" ht="15.75" customHeight="1">
      <c r="A93" s="248">
        <v>2.0</v>
      </c>
      <c r="B93" s="249" t="s">
        <v>1116</v>
      </c>
      <c r="C93" s="248" t="s">
        <v>109</v>
      </c>
      <c r="D93" s="216">
        <v>215.0</v>
      </c>
      <c r="E93" s="241"/>
      <c r="F93" s="242" t="str">
        <f t="shared" si="23"/>
        <v/>
      </c>
      <c r="G93" s="199">
        <v>33000.0</v>
      </c>
      <c r="H93" s="243">
        <f t="shared" si="24"/>
        <v>7095000</v>
      </c>
      <c r="I93" s="188">
        <v>38000.0</v>
      </c>
      <c r="J93" s="244">
        <f t="shared" si="25"/>
        <v>8170000</v>
      </c>
      <c r="K93" s="250">
        <f t="shared" si="26"/>
        <v>1075000</v>
      </c>
      <c r="L93" s="251">
        <f t="shared" si="27"/>
        <v>0.1515151515</v>
      </c>
      <c r="M93" s="252"/>
    </row>
    <row r="94" ht="15.75" customHeight="1">
      <c r="A94" s="239">
        <v>3.0</v>
      </c>
      <c r="B94" s="240" t="s">
        <v>1522</v>
      </c>
      <c r="C94" s="239" t="s">
        <v>109</v>
      </c>
      <c r="D94" s="213">
        <v>4.0</v>
      </c>
      <c r="E94" s="241"/>
      <c r="F94" s="242" t="str">
        <f t="shared" si="23"/>
        <v/>
      </c>
      <c r="G94" s="186">
        <v>28000.0</v>
      </c>
      <c r="H94" s="243">
        <f t="shared" si="24"/>
        <v>112000</v>
      </c>
      <c r="I94" s="188">
        <v>35000.0</v>
      </c>
      <c r="J94" s="244">
        <f t="shared" si="25"/>
        <v>140000</v>
      </c>
      <c r="K94" s="245">
        <f t="shared" si="26"/>
        <v>28000</v>
      </c>
      <c r="L94" s="246">
        <f t="shared" si="27"/>
        <v>0.25</v>
      </c>
      <c r="M94" s="247"/>
    </row>
    <row r="95" ht="15.75" customHeight="1">
      <c r="A95" s="248">
        <v>4.0</v>
      </c>
      <c r="B95" s="249" t="s">
        <v>1640</v>
      </c>
      <c r="C95" s="248" t="s">
        <v>109</v>
      </c>
      <c r="D95" s="216">
        <v>3.0</v>
      </c>
      <c r="E95" s="241"/>
      <c r="F95" s="242" t="str">
        <f t="shared" si="23"/>
        <v/>
      </c>
      <c r="G95" s="186">
        <v>40000.0</v>
      </c>
      <c r="H95" s="243">
        <f t="shared" si="24"/>
        <v>120000</v>
      </c>
      <c r="I95" s="188">
        <v>45000.0</v>
      </c>
      <c r="J95" s="244">
        <f t="shared" si="25"/>
        <v>135000</v>
      </c>
      <c r="K95" s="250">
        <f t="shared" si="26"/>
        <v>15000</v>
      </c>
      <c r="L95" s="251">
        <f t="shared" si="27"/>
        <v>0.125</v>
      </c>
      <c r="M95" s="252"/>
    </row>
    <row r="96" ht="15.75" customHeight="1">
      <c r="A96" s="239">
        <v>5.0</v>
      </c>
      <c r="B96" s="240" t="s">
        <v>1641</v>
      </c>
      <c r="C96" s="239" t="s">
        <v>109</v>
      </c>
      <c r="D96" s="213">
        <v>4.0</v>
      </c>
      <c r="E96" s="241"/>
      <c r="F96" s="242" t="str">
        <f t="shared" si="23"/>
        <v/>
      </c>
      <c r="G96" s="186">
        <v>30000.0</v>
      </c>
      <c r="H96" s="243">
        <f t="shared" si="24"/>
        <v>120000</v>
      </c>
      <c r="I96" s="188">
        <v>44000.0</v>
      </c>
      <c r="J96" s="244">
        <f t="shared" si="25"/>
        <v>176000</v>
      </c>
      <c r="K96" s="245">
        <f t="shared" si="26"/>
        <v>56000</v>
      </c>
      <c r="L96" s="246">
        <f t="shared" si="27"/>
        <v>0.4666666667</v>
      </c>
      <c r="M96" s="247"/>
    </row>
    <row r="97" ht="15.75" customHeight="1">
      <c r="A97" s="248">
        <v>6.0</v>
      </c>
      <c r="B97" s="249" t="s">
        <v>1696</v>
      </c>
      <c r="C97" s="248" t="s">
        <v>109</v>
      </c>
      <c r="D97" s="216">
        <v>5.0</v>
      </c>
      <c r="E97" s="241"/>
      <c r="F97" s="242" t="str">
        <f t="shared" si="23"/>
        <v/>
      </c>
      <c r="G97" s="186">
        <v>60000.0</v>
      </c>
      <c r="H97" s="243">
        <f t="shared" si="24"/>
        <v>300000</v>
      </c>
      <c r="I97" s="188">
        <v>70000.0</v>
      </c>
      <c r="J97" s="244">
        <f t="shared" si="25"/>
        <v>350000</v>
      </c>
      <c r="K97" s="250">
        <f t="shared" si="26"/>
        <v>50000</v>
      </c>
      <c r="L97" s="251">
        <f t="shared" si="27"/>
        <v>0.1666666667</v>
      </c>
      <c r="M97" s="252"/>
    </row>
    <row r="98" ht="15.75" customHeight="1">
      <c r="A98" s="239">
        <v>7.0</v>
      </c>
      <c r="B98" s="240" t="s">
        <v>1719</v>
      </c>
      <c r="C98" s="239" t="s">
        <v>109</v>
      </c>
      <c r="D98" s="213">
        <v>2.0</v>
      </c>
      <c r="E98" s="241"/>
      <c r="F98" s="242" t="str">
        <f t="shared" si="23"/>
        <v/>
      </c>
      <c r="G98" s="186">
        <v>65000.0</v>
      </c>
      <c r="H98" s="243">
        <f t="shared" si="24"/>
        <v>130000</v>
      </c>
      <c r="I98" s="188">
        <v>75000.0</v>
      </c>
      <c r="J98" s="244">
        <f t="shared" si="25"/>
        <v>150000</v>
      </c>
      <c r="K98" s="245">
        <f t="shared" si="26"/>
        <v>20000</v>
      </c>
      <c r="L98" s="246">
        <f t="shared" si="27"/>
        <v>0.1538461538</v>
      </c>
      <c r="M98" s="247"/>
    </row>
    <row r="99" ht="15.75" customHeight="1">
      <c r="A99" s="239">
        <v>9.0</v>
      </c>
      <c r="B99" s="240" t="s">
        <v>1542</v>
      </c>
      <c r="C99" s="239" t="s">
        <v>109</v>
      </c>
      <c r="D99" s="213">
        <v>0.2</v>
      </c>
      <c r="E99" s="241"/>
      <c r="F99" s="242" t="str">
        <f t="shared" si="23"/>
        <v/>
      </c>
      <c r="G99" s="186">
        <v>32308.0</v>
      </c>
      <c r="H99" s="243">
        <f t="shared" si="24"/>
        <v>6461.6</v>
      </c>
      <c r="I99" s="188">
        <v>15000.0</v>
      </c>
      <c r="J99" s="244">
        <f t="shared" si="25"/>
        <v>3000</v>
      </c>
      <c r="K99" s="245">
        <f t="shared" si="26"/>
        <v>-3461.6</v>
      </c>
      <c r="L99" s="246">
        <f t="shared" si="27"/>
        <v>-0.5357187074</v>
      </c>
      <c r="M99" s="247"/>
    </row>
    <row r="100" ht="15.75" customHeight="1">
      <c r="A100" s="248">
        <v>10.0</v>
      </c>
      <c r="B100" s="249" t="s">
        <v>1802</v>
      </c>
      <c r="C100" s="248" t="s">
        <v>109</v>
      </c>
      <c r="D100" s="216">
        <v>7.0</v>
      </c>
      <c r="E100" s="241"/>
      <c r="F100" s="242" t="str">
        <f t="shared" si="23"/>
        <v/>
      </c>
      <c r="G100" s="186">
        <v>30000.0</v>
      </c>
      <c r="H100" s="243">
        <f t="shared" si="24"/>
        <v>210000</v>
      </c>
      <c r="I100" s="188">
        <v>35000.0</v>
      </c>
      <c r="J100" s="244">
        <f t="shared" si="25"/>
        <v>245000</v>
      </c>
      <c r="K100" s="250">
        <f t="shared" si="26"/>
        <v>35000</v>
      </c>
      <c r="L100" s="251">
        <f t="shared" si="27"/>
        <v>0.1666666667</v>
      </c>
      <c r="M100" s="252"/>
    </row>
    <row r="101" ht="15.75" customHeight="1">
      <c r="A101" s="239">
        <v>11.0</v>
      </c>
      <c r="B101" s="240" t="s">
        <v>1680</v>
      </c>
      <c r="C101" s="239" t="s">
        <v>109</v>
      </c>
      <c r="D101" s="213">
        <v>5.0</v>
      </c>
      <c r="E101" s="241"/>
      <c r="F101" s="242" t="str">
        <f t="shared" si="23"/>
        <v/>
      </c>
      <c r="G101" s="186">
        <v>16000.0</v>
      </c>
      <c r="H101" s="243">
        <f t="shared" si="24"/>
        <v>80000</v>
      </c>
      <c r="I101" s="188">
        <v>22000.0</v>
      </c>
      <c r="J101" s="244">
        <f t="shared" si="25"/>
        <v>110000</v>
      </c>
      <c r="K101" s="245">
        <f t="shared" si="26"/>
        <v>30000</v>
      </c>
      <c r="L101" s="246">
        <f t="shared" si="27"/>
        <v>0.375</v>
      </c>
      <c r="M101" s="247"/>
    </row>
    <row r="102" ht="15.75" customHeight="1">
      <c r="A102" s="248">
        <v>12.0</v>
      </c>
      <c r="B102" s="249" t="s">
        <v>1548</v>
      </c>
      <c r="C102" s="248" t="s">
        <v>109</v>
      </c>
      <c r="D102" s="216">
        <v>1.0</v>
      </c>
      <c r="E102" s="241"/>
      <c r="F102" s="242" t="str">
        <f t="shared" si="23"/>
        <v/>
      </c>
      <c r="G102" s="186">
        <v>20000.0</v>
      </c>
      <c r="H102" s="243">
        <f t="shared" si="24"/>
        <v>20000</v>
      </c>
      <c r="I102" s="188">
        <v>26000.0</v>
      </c>
      <c r="J102" s="244">
        <f t="shared" si="25"/>
        <v>26000</v>
      </c>
      <c r="K102" s="250">
        <f t="shared" si="26"/>
        <v>6000</v>
      </c>
      <c r="L102" s="251">
        <f t="shared" si="27"/>
        <v>0.3</v>
      </c>
      <c r="M102" s="252"/>
    </row>
    <row r="103" ht="15.75" customHeight="1">
      <c r="A103" s="239">
        <v>13.0</v>
      </c>
      <c r="B103" s="240" t="s">
        <v>1643</v>
      </c>
      <c r="C103" s="239" t="s">
        <v>1559</v>
      </c>
      <c r="D103" s="213">
        <v>4.0</v>
      </c>
      <c r="E103" s="241"/>
      <c r="F103" s="242" t="str">
        <f t="shared" si="23"/>
        <v/>
      </c>
      <c r="G103" s="186">
        <v>190000.0</v>
      </c>
      <c r="H103" s="243">
        <f t="shared" si="24"/>
        <v>760000</v>
      </c>
      <c r="I103" s="188">
        <v>210000.0</v>
      </c>
      <c r="J103" s="244">
        <f t="shared" si="25"/>
        <v>840000</v>
      </c>
      <c r="K103" s="245">
        <f t="shared" si="26"/>
        <v>80000</v>
      </c>
      <c r="L103" s="246">
        <f t="shared" si="27"/>
        <v>0.1052631579</v>
      </c>
      <c r="M103" s="247"/>
    </row>
    <row r="104" ht="15.75" customHeight="1">
      <c r="A104" s="248">
        <v>14.0</v>
      </c>
      <c r="B104" s="249" t="s">
        <v>1563</v>
      </c>
      <c r="C104" s="248" t="s">
        <v>109</v>
      </c>
      <c r="D104" s="216">
        <v>2.0</v>
      </c>
      <c r="E104" s="241"/>
      <c r="F104" s="242" t="str">
        <f t="shared" si="23"/>
        <v/>
      </c>
      <c r="G104" s="186">
        <v>45000.0</v>
      </c>
      <c r="H104" s="243">
        <f t="shared" si="24"/>
        <v>90000</v>
      </c>
      <c r="I104" s="188">
        <v>55000.0</v>
      </c>
      <c r="J104" s="244">
        <f t="shared" si="25"/>
        <v>110000</v>
      </c>
      <c r="K104" s="250">
        <f t="shared" si="26"/>
        <v>20000</v>
      </c>
      <c r="L104" s="251">
        <f t="shared" si="27"/>
        <v>0.2222222222</v>
      </c>
      <c r="M104" s="252"/>
    </row>
    <row r="105" ht="15.75" customHeight="1">
      <c r="A105" s="239">
        <v>15.0</v>
      </c>
      <c r="B105" s="240" t="s">
        <v>1803</v>
      </c>
      <c r="C105" s="239" t="s">
        <v>109</v>
      </c>
      <c r="D105" s="213">
        <v>0.25</v>
      </c>
      <c r="E105" s="241"/>
      <c r="F105" s="242" t="str">
        <f t="shared" si="23"/>
        <v/>
      </c>
      <c r="G105" s="186">
        <v>80000.0</v>
      </c>
      <c r="H105" s="243">
        <f t="shared" si="24"/>
        <v>20000</v>
      </c>
      <c r="I105" s="188">
        <v>100000.0</v>
      </c>
      <c r="J105" s="244">
        <f t="shared" si="25"/>
        <v>25000</v>
      </c>
      <c r="K105" s="245">
        <f t="shared" si="26"/>
        <v>5000</v>
      </c>
      <c r="L105" s="246">
        <f t="shared" si="27"/>
        <v>0.25</v>
      </c>
      <c r="M105" s="247"/>
    </row>
    <row r="106" ht="15.75" customHeight="1">
      <c r="A106" s="248">
        <v>16.0</v>
      </c>
      <c r="B106" s="249" t="s">
        <v>1569</v>
      </c>
      <c r="C106" s="248" t="s">
        <v>109</v>
      </c>
      <c r="D106" s="216">
        <v>3.0</v>
      </c>
      <c r="E106" s="241"/>
      <c r="F106" s="242" t="str">
        <f t="shared" si="23"/>
        <v/>
      </c>
      <c r="G106" s="199">
        <v>10000.0</v>
      </c>
      <c r="H106" s="243">
        <f t="shared" si="24"/>
        <v>30000</v>
      </c>
      <c r="I106" s="188">
        <v>16000.0</v>
      </c>
      <c r="J106" s="244">
        <f t="shared" si="25"/>
        <v>48000</v>
      </c>
      <c r="K106" s="250">
        <f t="shared" si="26"/>
        <v>18000</v>
      </c>
      <c r="L106" s="251">
        <f t="shared" si="27"/>
        <v>0.6</v>
      </c>
      <c r="M106" s="252"/>
    </row>
    <row r="107" ht="15.75" customHeight="1">
      <c r="A107" s="239">
        <v>17.0</v>
      </c>
      <c r="B107" s="240" t="s">
        <v>1578</v>
      </c>
      <c r="C107" s="239" t="s">
        <v>1579</v>
      </c>
      <c r="D107" s="213">
        <v>12.0</v>
      </c>
      <c r="E107" s="241"/>
      <c r="F107" s="242" t="str">
        <f t="shared" si="23"/>
        <v/>
      </c>
      <c r="G107" s="186">
        <v>21500.0</v>
      </c>
      <c r="H107" s="243">
        <f t="shared" si="24"/>
        <v>258000</v>
      </c>
      <c r="I107" s="188">
        <v>23000.0</v>
      </c>
      <c r="J107" s="244">
        <f t="shared" si="25"/>
        <v>276000</v>
      </c>
      <c r="K107" s="245">
        <f t="shared" si="26"/>
        <v>18000</v>
      </c>
      <c r="L107" s="246">
        <f t="shared" si="27"/>
        <v>0.06976744186</v>
      </c>
      <c r="M107" s="247"/>
    </row>
    <row r="108" ht="15.75" customHeight="1">
      <c r="A108" s="248">
        <v>18.0</v>
      </c>
      <c r="B108" s="249" t="s">
        <v>1634</v>
      </c>
      <c r="C108" s="248" t="s">
        <v>69</v>
      </c>
      <c r="D108" s="216">
        <v>2010.0</v>
      </c>
      <c r="E108" s="241"/>
      <c r="F108" s="242" t="str">
        <f t="shared" si="23"/>
        <v/>
      </c>
      <c r="G108" s="186">
        <v>1800.0</v>
      </c>
      <c r="H108" s="243">
        <f t="shared" si="24"/>
        <v>3618000</v>
      </c>
      <c r="I108" s="188">
        <v>2000.0</v>
      </c>
      <c r="J108" s="244">
        <f t="shared" si="25"/>
        <v>4020000</v>
      </c>
      <c r="K108" s="250">
        <f t="shared" si="26"/>
        <v>402000</v>
      </c>
      <c r="L108" s="251">
        <f t="shared" si="27"/>
        <v>0.1111111111</v>
      </c>
      <c r="M108" s="252"/>
    </row>
    <row r="109" ht="15.75" customHeight="1">
      <c r="A109" s="239">
        <v>19.0</v>
      </c>
      <c r="B109" s="240" t="s">
        <v>1595</v>
      </c>
      <c r="C109" s="239" t="s">
        <v>109</v>
      </c>
      <c r="D109" s="213">
        <v>0.5</v>
      </c>
      <c r="E109" s="241"/>
      <c r="F109" s="242" t="str">
        <f t="shared" si="23"/>
        <v/>
      </c>
      <c r="G109" s="186">
        <v>10667.0</v>
      </c>
      <c r="H109" s="243">
        <f t="shared" si="24"/>
        <v>5333.5</v>
      </c>
      <c r="I109" s="188">
        <v>15000.0</v>
      </c>
      <c r="J109" s="244">
        <f t="shared" si="25"/>
        <v>7500</v>
      </c>
      <c r="K109" s="245">
        <f t="shared" si="26"/>
        <v>2166.5</v>
      </c>
      <c r="L109" s="246">
        <f t="shared" si="27"/>
        <v>0.4062060561</v>
      </c>
      <c r="M109" s="247"/>
    </row>
    <row r="110" ht="15.75" customHeight="1">
      <c r="A110" s="248">
        <v>20.0</v>
      </c>
      <c r="B110" s="249" t="s">
        <v>1601</v>
      </c>
      <c r="C110" s="248" t="s">
        <v>67</v>
      </c>
      <c r="D110" s="216">
        <v>83.0</v>
      </c>
      <c r="E110" s="241"/>
      <c r="F110" s="242" t="str">
        <f t="shared" si="23"/>
        <v/>
      </c>
      <c r="G110" s="199">
        <v>12000.0</v>
      </c>
      <c r="H110" s="243">
        <f t="shared" si="24"/>
        <v>996000</v>
      </c>
      <c r="I110" s="188">
        <v>14000.0</v>
      </c>
      <c r="J110" s="244">
        <f t="shared" si="25"/>
        <v>1162000</v>
      </c>
      <c r="K110" s="250">
        <f t="shared" si="26"/>
        <v>166000</v>
      </c>
      <c r="L110" s="251">
        <f t="shared" si="27"/>
        <v>0.1666666667</v>
      </c>
      <c r="M110" s="252"/>
    </row>
    <row r="111" ht="15.75" customHeight="1">
      <c r="A111" s="239">
        <v>21.0</v>
      </c>
      <c r="B111" s="240" t="s">
        <v>1607</v>
      </c>
      <c r="C111" s="239" t="s">
        <v>109</v>
      </c>
      <c r="D111" s="213">
        <v>40.0</v>
      </c>
      <c r="E111" s="241"/>
      <c r="F111" s="242" t="str">
        <f t="shared" si="23"/>
        <v/>
      </c>
      <c r="G111" s="186">
        <v>9000.0</v>
      </c>
      <c r="H111" s="243">
        <f t="shared" si="24"/>
        <v>360000</v>
      </c>
      <c r="I111" s="188">
        <v>12000.0</v>
      </c>
      <c r="J111" s="244">
        <f t="shared" si="25"/>
        <v>480000</v>
      </c>
      <c r="K111" s="245">
        <f t="shared" si="26"/>
        <v>120000</v>
      </c>
      <c r="L111" s="246">
        <f t="shared" si="27"/>
        <v>0.3333333333</v>
      </c>
      <c r="M111" s="247"/>
    </row>
    <row r="112" ht="15.75" customHeight="1">
      <c r="A112" s="248">
        <v>22.0</v>
      </c>
      <c r="B112" s="249" t="s">
        <v>1608</v>
      </c>
      <c r="C112" s="248" t="s">
        <v>109</v>
      </c>
      <c r="D112" s="216">
        <v>5.0</v>
      </c>
      <c r="E112" s="241"/>
      <c r="F112" s="242" t="str">
        <f t="shared" si="23"/>
        <v/>
      </c>
      <c r="G112" s="186">
        <v>9000.0</v>
      </c>
      <c r="H112" s="243">
        <f t="shared" si="24"/>
        <v>45000</v>
      </c>
      <c r="I112" s="188">
        <v>18000.0</v>
      </c>
      <c r="J112" s="244">
        <f t="shared" si="25"/>
        <v>90000</v>
      </c>
      <c r="K112" s="250">
        <f t="shared" si="26"/>
        <v>45000</v>
      </c>
      <c r="L112" s="251">
        <f t="shared" si="27"/>
        <v>1</v>
      </c>
      <c r="M112" s="252"/>
    </row>
    <row r="113" ht="15.75" customHeight="1">
      <c r="A113" s="239">
        <v>23.0</v>
      </c>
      <c r="B113" s="240" t="s">
        <v>1609</v>
      </c>
      <c r="C113" s="239" t="s">
        <v>109</v>
      </c>
      <c r="D113" s="213">
        <v>30.0</v>
      </c>
      <c r="E113" s="241"/>
      <c r="F113" s="242" t="str">
        <f t="shared" si="23"/>
        <v/>
      </c>
      <c r="G113" s="186">
        <v>15000.0</v>
      </c>
      <c r="H113" s="243">
        <f t="shared" si="24"/>
        <v>450000</v>
      </c>
      <c r="I113" s="188">
        <v>18000.0</v>
      </c>
      <c r="J113" s="244">
        <f t="shared" si="25"/>
        <v>540000</v>
      </c>
      <c r="K113" s="245">
        <f t="shared" si="26"/>
        <v>90000</v>
      </c>
      <c r="L113" s="246">
        <f t="shared" si="27"/>
        <v>0.2</v>
      </c>
      <c r="M113" s="247"/>
    </row>
    <row r="114" ht="15.75" customHeight="1">
      <c r="A114" s="256" t="s">
        <v>1646</v>
      </c>
      <c r="B114" s="206"/>
      <c r="C114" s="206"/>
      <c r="D114" s="174"/>
      <c r="E114" s="257"/>
      <c r="F114" s="258">
        <f>SUMIF(F92:F113,"&lt;&gt;",F92:F113)</f>
        <v>0</v>
      </c>
      <c r="G114" s="257"/>
      <c r="H114" s="258">
        <f>SUMIF(H92:H113,"&lt;&gt;",H92:H113)</f>
        <v>14845795.1</v>
      </c>
      <c r="I114" s="257"/>
      <c r="J114" s="258">
        <f>SUMIF(J92:J113,"&lt;&gt;",J92:J113)</f>
        <v>17128500</v>
      </c>
      <c r="K114" s="258">
        <f t="shared" si="26"/>
        <v>2282704.9</v>
      </c>
      <c r="L114" s="262">
        <f t="shared" si="27"/>
        <v>0.1537610404</v>
      </c>
      <c r="M114" s="257"/>
    </row>
    <row r="115" ht="15.75" customHeight="1"/>
    <row r="116" ht="15.75" customHeight="1">
      <c r="A116" s="228" t="s">
        <v>1647</v>
      </c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6"/>
    </row>
    <row r="117" ht="15.75" customHeight="1">
      <c r="A117" s="229" t="s">
        <v>1509</v>
      </c>
      <c r="B117" s="229" t="s">
        <v>1510</v>
      </c>
      <c r="C117" s="229" t="s">
        <v>1511</v>
      </c>
      <c r="D117" s="229" t="s">
        <v>1614</v>
      </c>
      <c r="E117" s="230" t="s">
        <v>1615</v>
      </c>
      <c r="F117" s="174"/>
      <c r="G117" s="231" t="s">
        <v>1616</v>
      </c>
      <c r="H117" s="174"/>
      <c r="I117" s="232" t="s">
        <v>1617</v>
      </c>
      <c r="J117" s="174"/>
      <c r="K117" s="233" t="s">
        <v>1618</v>
      </c>
      <c r="L117" s="174"/>
      <c r="M117" s="229" t="s">
        <v>1619</v>
      </c>
    </row>
    <row r="118" ht="15.75" customHeight="1">
      <c r="A118" s="234" t="s">
        <v>1509</v>
      </c>
      <c r="B118" s="234" t="s">
        <v>1510</v>
      </c>
      <c r="C118" s="234" t="s">
        <v>1511</v>
      </c>
      <c r="D118" s="234" t="s">
        <v>1614</v>
      </c>
      <c r="E118" s="235" t="s">
        <v>1620</v>
      </c>
      <c r="F118" s="235" t="s">
        <v>1621</v>
      </c>
      <c r="G118" s="236" t="s">
        <v>1622</v>
      </c>
      <c r="H118" s="236" t="s">
        <v>1623</v>
      </c>
      <c r="I118" s="237" t="s">
        <v>1624</v>
      </c>
      <c r="J118" s="237" t="s">
        <v>1625</v>
      </c>
      <c r="K118" s="238" t="s">
        <v>1626</v>
      </c>
      <c r="L118" s="238" t="s">
        <v>1627</v>
      </c>
      <c r="M118" s="234" t="s">
        <v>1619</v>
      </c>
    </row>
    <row r="119" ht="15.75" customHeight="1">
      <c r="A119" s="239">
        <v>1.0</v>
      </c>
      <c r="B119" s="240" t="s">
        <v>1804</v>
      </c>
      <c r="C119" s="239" t="s">
        <v>109</v>
      </c>
      <c r="D119" s="213">
        <v>21.5</v>
      </c>
      <c r="E119" s="241">
        <f>'Daftar Harga'!D90</f>
        <v>650</v>
      </c>
      <c r="F119" s="242">
        <f t="shared" ref="F119:F142" si="28">IF(E119&lt;&gt;"",D119*E119,"")</f>
        <v>13975</v>
      </c>
      <c r="G119" s="186">
        <v>37500.0</v>
      </c>
      <c r="H119" s="243">
        <f t="shared" ref="H119:H145" si="29">IF(G119&lt;&gt;"",D119*G119,"")</f>
        <v>806250</v>
      </c>
      <c r="I119" s="188">
        <v>39000.0</v>
      </c>
      <c r="J119" s="253">
        <f t="shared" ref="J119:J145" si="30">IF(I119&lt;&gt;"",D119*I119,"")</f>
        <v>838500</v>
      </c>
      <c r="K119" s="245">
        <f t="shared" ref="K119:K146" si="31">IF(J119&lt;&gt;"",IF(H119&lt;&gt;"",J119-H119,IF(F119&lt;&gt;"",J119-F119,"")),"")</f>
        <v>32250</v>
      </c>
      <c r="L119" s="246">
        <f t="shared" ref="L119:L146" si="32">IF(K119&lt;&gt;"",IF(H119&lt;&gt;"",IF(H119&lt;&gt;0,K119/H119,""),IF(F119&lt;&gt;"",IF(F119&lt;&gt;0,K119/F119,""),"")),"")</f>
        <v>0.04</v>
      </c>
      <c r="M119" s="247"/>
    </row>
    <row r="120" ht="15.75" customHeight="1">
      <c r="A120" s="248">
        <v>2.0</v>
      </c>
      <c r="B120" s="249" t="s">
        <v>1518</v>
      </c>
      <c r="C120" s="248" t="s">
        <v>109</v>
      </c>
      <c r="D120" s="216">
        <v>0.5</v>
      </c>
      <c r="E120" s="241">
        <f>'Daftar Harga'!D91</f>
        <v>500</v>
      </c>
      <c r="F120" s="242">
        <f t="shared" si="28"/>
        <v>250</v>
      </c>
      <c r="G120" s="186">
        <v>20000.0</v>
      </c>
      <c r="H120" s="243">
        <f t="shared" si="29"/>
        <v>10000</v>
      </c>
      <c r="I120" s="188">
        <v>25000.0</v>
      </c>
      <c r="J120" s="253">
        <f t="shared" si="30"/>
        <v>12500</v>
      </c>
      <c r="K120" s="250">
        <f t="shared" si="31"/>
        <v>2500</v>
      </c>
      <c r="L120" s="251">
        <f t="shared" si="32"/>
        <v>0.25</v>
      </c>
      <c r="M120" s="252"/>
    </row>
    <row r="121" ht="15.75" customHeight="1">
      <c r="A121" s="239">
        <v>3.0</v>
      </c>
      <c r="B121" s="240" t="s">
        <v>1522</v>
      </c>
      <c r="C121" s="239" t="s">
        <v>109</v>
      </c>
      <c r="D121" s="213">
        <v>2.0</v>
      </c>
      <c r="E121" s="241">
        <f>'Daftar Harga'!D95</f>
        <v>23000</v>
      </c>
      <c r="F121" s="242">
        <f t="shared" si="28"/>
        <v>46000</v>
      </c>
      <c r="G121" s="186">
        <v>28000.0</v>
      </c>
      <c r="H121" s="243">
        <f t="shared" si="29"/>
        <v>56000</v>
      </c>
      <c r="I121" s="188">
        <v>35000.0</v>
      </c>
      <c r="J121" s="253">
        <f t="shared" si="30"/>
        <v>70000</v>
      </c>
      <c r="K121" s="245">
        <f t="shared" si="31"/>
        <v>14000</v>
      </c>
      <c r="L121" s="246">
        <f t="shared" si="32"/>
        <v>0.25</v>
      </c>
      <c r="M121" s="247"/>
    </row>
    <row r="122" ht="15.75" customHeight="1">
      <c r="A122" s="248">
        <v>4.0</v>
      </c>
      <c r="B122" s="249" t="s">
        <v>1805</v>
      </c>
      <c r="C122" s="248" t="s">
        <v>109</v>
      </c>
      <c r="D122" s="216">
        <v>3.0</v>
      </c>
      <c r="E122" s="241">
        <f>'Daftar Harga'!D96</f>
        <v>12000</v>
      </c>
      <c r="F122" s="242">
        <f t="shared" si="28"/>
        <v>36000</v>
      </c>
      <c r="G122" s="186">
        <v>65000.0</v>
      </c>
      <c r="H122" s="243">
        <f t="shared" si="29"/>
        <v>195000</v>
      </c>
      <c r="I122" s="188">
        <v>70000.0</v>
      </c>
      <c r="J122" s="253">
        <f t="shared" si="30"/>
        <v>210000</v>
      </c>
      <c r="K122" s="250">
        <f t="shared" si="31"/>
        <v>15000</v>
      </c>
      <c r="L122" s="251">
        <f t="shared" si="32"/>
        <v>0.07692307692</v>
      </c>
      <c r="M122" s="252"/>
    </row>
    <row r="123" ht="15.75" customHeight="1">
      <c r="A123" s="239">
        <v>5.0</v>
      </c>
      <c r="B123" s="240" t="s">
        <v>1640</v>
      </c>
      <c r="C123" s="239" t="s">
        <v>109</v>
      </c>
      <c r="D123" s="213">
        <v>5.0</v>
      </c>
      <c r="E123" s="241">
        <f>'Daftar Harga'!D98</f>
        <v>7000</v>
      </c>
      <c r="F123" s="242">
        <f t="shared" si="28"/>
        <v>35000</v>
      </c>
      <c r="G123" s="186">
        <v>43000.0</v>
      </c>
      <c r="H123" s="243">
        <f t="shared" si="29"/>
        <v>215000</v>
      </c>
      <c r="I123" s="188">
        <v>52000.0</v>
      </c>
      <c r="J123" s="253">
        <f t="shared" si="30"/>
        <v>260000</v>
      </c>
      <c r="K123" s="245">
        <f t="shared" si="31"/>
        <v>45000</v>
      </c>
      <c r="L123" s="246">
        <f t="shared" si="32"/>
        <v>0.2093023256</v>
      </c>
      <c r="M123" s="247"/>
    </row>
    <row r="124" ht="15.75" customHeight="1">
      <c r="A124" s="248">
        <v>6.0</v>
      </c>
      <c r="B124" s="249" t="s">
        <v>1641</v>
      </c>
      <c r="C124" s="248" t="s">
        <v>109</v>
      </c>
      <c r="D124" s="216">
        <v>5.0</v>
      </c>
      <c r="E124" s="241">
        <f>'Daftar Harga'!D101</f>
        <v>9000</v>
      </c>
      <c r="F124" s="242">
        <f t="shared" si="28"/>
        <v>45000</v>
      </c>
      <c r="G124" s="186">
        <v>30000.0</v>
      </c>
      <c r="H124" s="243">
        <f t="shared" si="29"/>
        <v>150000</v>
      </c>
      <c r="I124" s="188">
        <v>45000.0</v>
      </c>
      <c r="J124" s="253">
        <f t="shared" si="30"/>
        <v>225000</v>
      </c>
      <c r="K124" s="250">
        <f t="shared" si="31"/>
        <v>75000</v>
      </c>
      <c r="L124" s="251">
        <f t="shared" si="32"/>
        <v>0.5</v>
      </c>
      <c r="M124" s="252"/>
    </row>
    <row r="125" ht="15.75" customHeight="1">
      <c r="A125" s="239">
        <v>7.0</v>
      </c>
      <c r="B125" s="240" t="s">
        <v>1696</v>
      </c>
      <c r="C125" s="239" t="s">
        <v>109</v>
      </c>
      <c r="D125" s="213">
        <v>3.0</v>
      </c>
      <c r="E125" s="241" t="str">
        <f>'Daftar Harga'!D110</f>
        <v/>
      </c>
      <c r="F125" s="242" t="str">
        <f t="shared" si="28"/>
        <v/>
      </c>
      <c r="G125" s="186">
        <v>60000.0</v>
      </c>
      <c r="H125" s="243">
        <f t="shared" si="29"/>
        <v>180000</v>
      </c>
      <c r="I125" s="188">
        <v>70000.0</v>
      </c>
      <c r="J125" s="253">
        <f t="shared" si="30"/>
        <v>210000</v>
      </c>
      <c r="K125" s="245">
        <f t="shared" si="31"/>
        <v>30000</v>
      </c>
      <c r="L125" s="246">
        <f t="shared" si="32"/>
        <v>0.1666666667</v>
      </c>
      <c r="M125" s="247"/>
    </row>
    <row r="126" ht="15.75" customHeight="1">
      <c r="A126" s="248">
        <v>8.0</v>
      </c>
      <c r="B126" s="249" t="s">
        <v>1719</v>
      </c>
      <c r="C126" s="248" t="s">
        <v>109</v>
      </c>
      <c r="D126" s="216">
        <v>1.0</v>
      </c>
      <c r="E126" s="241" t="str">
        <f>'Daftar Harga'!D111</f>
        <v/>
      </c>
      <c r="F126" s="242" t="str">
        <f t="shared" si="28"/>
        <v/>
      </c>
      <c r="G126" s="186">
        <v>65000.0</v>
      </c>
      <c r="H126" s="243">
        <f t="shared" si="29"/>
        <v>65000</v>
      </c>
      <c r="I126" s="188">
        <v>75000.0</v>
      </c>
      <c r="J126" s="253">
        <f t="shared" si="30"/>
        <v>75000</v>
      </c>
      <c r="K126" s="250">
        <f t="shared" si="31"/>
        <v>10000</v>
      </c>
      <c r="L126" s="251">
        <f t="shared" si="32"/>
        <v>0.1538461538</v>
      </c>
      <c r="M126" s="252"/>
    </row>
    <row r="127" ht="15.75" customHeight="1">
      <c r="A127" s="239">
        <v>9.0</v>
      </c>
      <c r="B127" s="240" t="s">
        <v>1542</v>
      </c>
      <c r="C127" s="239" t="s">
        <v>109</v>
      </c>
      <c r="D127" s="213">
        <v>0.25</v>
      </c>
      <c r="E127" s="241" t="str">
        <f>'Daftar Harga'!D119</f>
        <v/>
      </c>
      <c r="F127" s="242" t="str">
        <f t="shared" si="28"/>
        <v/>
      </c>
      <c r="G127" s="186">
        <v>12000.0</v>
      </c>
      <c r="H127" s="243">
        <f t="shared" si="29"/>
        <v>3000</v>
      </c>
      <c r="I127" s="188">
        <v>20000.0</v>
      </c>
      <c r="J127" s="253">
        <f t="shared" si="30"/>
        <v>5000</v>
      </c>
      <c r="K127" s="245">
        <f t="shared" si="31"/>
        <v>2000</v>
      </c>
      <c r="L127" s="246">
        <f t="shared" si="32"/>
        <v>0.6666666667</v>
      </c>
      <c r="M127" s="247"/>
    </row>
    <row r="128" ht="15.75" customHeight="1">
      <c r="A128" s="248">
        <v>10.0</v>
      </c>
      <c r="B128" s="249" t="s">
        <v>1680</v>
      </c>
      <c r="C128" s="248" t="s">
        <v>109</v>
      </c>
      <c r="D128" s="216">
        <v>4.0</v>
      </c>
      <c r="E128" s="241" t="str">
        <f>'Daftar Harga'!D123</f>
        <v/>
      </c>
      <c r="F128" s="242" t="str">
        <f t="shared" si="28"/>
        <v/>
      </c>
      <c r="G128" s="186">
        <v>17000.0</v>
      </c>
      <c r="H128" s="243">
        <f t="shared" si="29"/>
        <v>68000</v>
      </c>
      <c r="I128" s="188">
        <v>22000.0</v>
      </c>
      <c r="J128" s="253">
        <f t="shared" si="30"/>
        <v>88000</v>
      </c>
      <c r="K128" s="250">
        <f t="shared" si="31"/>
        <v>20000</v>
      </c>
      <c r="L128" s="251">
        <f t="shared" si="32"/>
        <v>0.2941176471</v>
      </c>
      <c r="M128" s="252"/>
    </row>
    <row r="129" ht="15.75" customHeight="1">
      <c r="A129" s="239">
        <v>11.0</v>
      </c>
      <c r="B129" s="240" t="s">
        <v>1556</v>
      </c>
      <c r="C129" s="239" t="s">
        <v>1557</v>
      </c>
      <c r="D129" s="213">
        <v>2.0</v>
      </c>
      <c r="E129" s="241" t="str">
        <f>'Daftar Harga'!D137</f>
        <v/>
      </c>
      <c r="F129" s="242" t="str">
        <f t="shared" si="28"/>
        <v/>
      </c>
      <c r="G129" s="186">
        <v>47000.0</v>
      </c>
      <c r="H129" s="243">
        <f t="shared" si="29"/>
        <v>94000</v>
      </c>
      <c r="I129" s="188">
        <v>55000.0</v>
      </c>
      <c r="J129" s="253">
        <f t="shared" si="30"/>
        <v>110000</v>
      </c>
      <c r="K129" s="245">
        <f t="shared" si="31"/>
        <v>16000</v>
      </c>
      <c r="L129" s="246">
        <f t="shared" si="32"/>
        <v>0.170212766</v>
      </c>
      <c r="M129" s="247"/>
    </row>
    <row r="130" ht="15.75" customHeight="1">
      <c r="A130" s="248">
        <v>12.0</v>
      </c>
      <c r="B130" s="249" t="s">
        <v>1643</v>
      </c>
      <c r="C130" s="248" t="s">
        <v>1559</v>
      </c>
      <c r="D130" s="216">
        <v>2.0</v>
      </c>
      <c r="E130" s="241" t="str">
        <f>'Daftar Harga'!D138</f>
        <v/>
      </c>
      <c r="F130" s="242" t="str">
        <f t="shared" si="28"/>
        <v/>
      </c>
      <c r="G130" s="186">
        <v>190000.0</v>
      </c>
      <c r="H130" s="243">
        <f t="shared" si="29"/>
        <v>380000</v>
      </c>
      <c r="I130" s="188">
        <v>210000.0</v>
      </c>
      <c r="J130" s="253">
        <f t="shared" si="30"/>
        <v>420000</v>
      </c>
      <c r="K130" s="250">
        <f t="shared" si="31"/>
        <v>40000</v>
      </c>
      <c r="L130" s="251">
        <f t="shared" si="32"/>
        <v>0.1052631579</v>
      </c>
      <c r="M130" s="252"/>
    </row>
    <row r="131" ht="15.75" customHeight="1">
      <c r="A131" s="239">
        <v>13.0</v>
      </c>
      <c r="B131" s="240" t="s">
        <v>1806</v>
      </c>
      <c r="C131" s="239" t="s">
        <v>109</v>
      </c>
      <c r="D131" s="213">
        <v>226.0</v>
      </c>
      <c r="E131" s="241" t="str">
        <f>'Daftar Harga'!D140</f>
        <v/>
      </c>
      <c r="F131" s="242" t="str">
        <f t="shared" si="28"/>
        <v/>
      </c>
      <c r="G131" s="186">
        <v>18000.0</v>
      </c>
      <c r="H131" s="243">
        <f t="shared" si="29"/>
        <v>4068000</v>
      </c>
      <c r="I131" s="188">
        <v>19000.0</v>
      </c>
      <c r="J131" s="253">
        <f t="shared" si="30"/>
        <v>4294000</v>
      </c>
      <c r="K131" s="245">
        <f t="shared" si="31"/>
        <v>226000</v>
      </c>
      <c r="L131" s="246">
        <f t="shared" si="32"/>
        <v>0.05555555556</v>
      </c>
      <c r="M131" s="247"/>
    </row>
    <row r="132" ht="15.75" customHeight="1">
      <c r="A132" s="248">
        <v>14.0</v>
      </c>
      <c r="B132" s="249" t="s">
        <v>1563</v>
      </c>
      <c r="C132" s="248" t="s">
        <v>109</v>
      </c>
      <c r="D132" s="216">
        <v>1.0</v>
      </c>
      <c r="E132" s="241" t="str">
        <f>'Daftar Harga'!D141</f>
        <v/>
      </c>
      <c r="F132" s="242" t="str">
        <f t="shared" si="28"/>
        <v/>
      </c>
      <c r="G132" s="186">
        <v>45000.0</v>
      </c>
      <c r="H132" s="243">
        <f t="shared" si="29"/>
        <v>45000</v>
      </c>
      <c r="I132" s="188">
        <v>55000.0</v>
      </c>
      <c r="J132" s="253">
        <f t="shared" si="30"/>
        <v>55000</v>
      </c>
      <c r="K132" s="250">
        <f t="shared" si="31"/>
        <v>10000</v>
      </c>
      <c r="L132" s="251">
        <f t="shared" si="32"/>
        <v>0.2222222222</v>
      </c>
      <c r="M132" s="252"/>
    </row>
    <row r="133" ht="15.75" customHeight="1">
      <c r="A133" s="239">
        <v>15.0</v>
      </c>
      <c r="B133" s="240" t="s">
        <v>1570</v>
      </c>
      <c r="C133" s="239" t="s">
        <v>109</v>
      </c>
      <c r="D133" s="213">
        <v>35.0</v>
      </c>
      <c r="E133" s="241" t="str">
        <f>'Daftar Harga'!D149</f>
        <v/>
      </c>
      <c r="F133" s="242" t="str">
        <f t="shared" si="28"/>
        <v/>
      </c>
      <c r="G133" s="186">
        <v>9000.0</v>
      </c>
      <c r="H133" s="243">
        <f t="shared" si="29"/>
        <v>315000</v>
      </c>
      <c r="I133" s="188">
        <v>12000.0</v>
      </c>
      <c r="J133" s="253">
        <f t="shared" si="30"/>
        <v>420000</v>
      </c>
      <c r="K133" s="245">
        <f t="shared" si="31"/>
        <v>105000</v>
      </c>
      <c r="L133" s="246">
        <f t="shared" si="32"/>
        <v>0.3333333333</v>
      </c>
      <c r="M133" s="247"/>
    </row>
    <row r="134" ht="15.75" customHeight="1">
      <c r="A134" s="248">
        <v>16.0</v>
      </c>
      <c r="B134" s="249" t="s">
        <v>1578</v>
      </c>
      <c r="C134" s="248" t="s">
        <v>1579</v>
      </c>
      <c r="D134" s="216">
        <v>24.0</v>
      </c>
      <c r="E134" s="241" t="str">
        <f>'Daftar Harga'!D159</f>
        <v/>
      </c>
      <c r="F134" s="242" t="str">
        <f t="shared" si="28"/>
        <v/>
      </c>
      <c r="G134" s="186">
        <v>21500.0</v>
      </c>
      <c r="H134" s="243">
        <f t="shared" si="29"/>
        <v>516000</v>
      </c>
      <c r="I134" s="188">
        <v>24500.0</v>
      </c>
      <c r="J134" s="253">
        <f t="shared" si="30"/>
        <v>588000</v>
      </c>
      <c r="K134" s="250">
        <f t="shared" si="31"/>
        <v>72000</v>
      </c>
      <c r="L134" s="251">
        <f t="shared" si="32"/>
        <v>0.1395348837</v>
      </c>
      <c r="M134" s="252"/>
    </row>
    <row r="135" ht="15.75" customHeight="1">
      <c r="A135" s="239">
        <v>17.0</v>
      </c>
      <c r="B135" s="240" t="s">
        <v>1807</v>
      </c>
      <c r="C135" s="239" t="s">
        <v>109</v>
      </c>
      <c r="D135" s="213">
        <v>12.5</v>
      </c>
      <c r="E135" s="241" t="str">
        <f>'Daftar Harga'!D164</f>
        <v/>
      </c>
      <c r="F135" s="242" t="str">
        <f t="shared" si="28"/>
        <v/>
      </c>
      <c r="G135" s="186">
        <v>18000.0</v>
      </c>
      <c r="H135" s="243">
        <f t="shared" si="29"/>
        <v>225000</v>
      </c>
      <c r="I135" s="188">
        <v>24000.0</v>
      </c>
      <c r="J135" s="253">
        <f t="shared" si="30"/>
        <v>300000</v>
      </c>
      <c r="K135" s="245">
        <f t="shared" si="31"/>
        <v>75000</v>
      </c>
      <c r="L135" s="246">
        <f t="shared" si="32"/>
        <v>0.3333333333</v>
      </c>
      <c r="M135" s="247"/>
    </row>
    <row r="136" ht="15.75" customHeight="1">
      <c r="A136" s="248">
        <v>18.0</v>
      </c>
      <c r="B136" s="249" t="s">
        <v>1808</v>
      </c>
      <c r="C136" s="248" t="s">
        <v>1559</v>
      </c>
      <c r="D136" s="216">
        <v>1.0</v>
      </c>
      <c r="E136" s="241" t="str">
        <f>'Daftar Harga'!D171</f>
        <v/>
      </c>
      <c r="F136" s="242" t="str">
        <f t="shared" si="28"/>
        <v/>
      </c>
      <c r="G136" s="186">
        <v>95000.0</v>
      </c>
      <c r="H136" s="243">
        <f t="shared" si="29"/>
        <v>95000</v>
      </c>
      <c r="I136" s="188">
        <v>105000.0</v>
      </c>
      <c r="J136" s="253">
        <f t="shared" si="30"/>
        <v>105000</v>
      </c>
      <c r="K136" s="250">
        <f t="shared" si="31"/>
        <v>10000</v>
      </c>
      <c r="L136" s="251">
        <f t="shared" si="32"/>
        <v>0.1052631579</v>
      </c>
      <c r="M136" s="252"/>
    </row>
    <row r="137" ht="15.75" customHeight="1">
      <c r="A137" s="239">
        <v>19.0</v>
      </c>
      <c r="B137" s="240" t="s">
        <v>1595</v>
      </c>
      <c r="C137" s="239" t="s">
        <v>109</v>
      </c>
      <c r="D137" s="213">
        <v>0.5</v>
      </c>
      <c r="E137" s="241" t="str">
        <f>'Daftar Harga'!D176</f>
        <v/>
      </c>
      <c r="F137" s="242" t="str">
        <f t="shared" si="28"/>
        <v/>
      </c>
      <c r="G137" s="186">
        <v>12000.0</v>
      </c>
      <c r="H137" s="243">
        <f t="shared" si="29"/>
        <v>6000</v>
      </c>
      <c r="I137" s="188">
        <v>15000.0</v>
      </c>
      <c r="J137" s="253">
        <f t="shared" si="30"/>
        <v>7500</v>
      </c>
      <c r="K137" s="245">
        <f t="shared" si="31"/>
        <v>1500</v>
      </c>
      <c r="L137" s="246">
        <f t="shared" si="32"/>
        <v>0.25</v>
      </c>
      <c r="M137" s="247"/>
    </row>
    <row r="138" ht="15.75" customHeight="1">
      <c r="A138" s="248">
        <v>20.0</v>
      </c>
      <c r="B138" s="249" t="s">
        <v>1596</v>
      </c>
      <c r="C138" s="248" t="s">
        <v>69</v>
      </c>
      <c r="D138" s="216">
        <v>144.0</v>
      </c>
      <c r="E138" s="241" t="str">
        <f>'Daftar Harga'!D180</f>
        <v/>
      </c>
      <c r="F138" s="242" t="str">
        <f t="shared" si="28"/>
        <v/>
      </c>
      <c r="G138" s="199">
        <v>3250.0</v>
      </c>
      <c r="H138" s="243">
        <f t="shared" si="29"/>
        <v>468000</v>
      </c>
      <c r="I138" s="188">
        <v>3600.0</v>
      </c>
      <c r="J138" s="253">
        <f t="shared" si="30"/>
        <v>518400</v>
      </c>
      <c r="K138" s="250">
        <f t="shared" si="31"/>
        <v>50400</v>
      </c>
      <c r="L138" s="251">
        <f t="shared" si="32"/>
        <v>0.1076923077</v>
      </c>
      <c r="M138" s="252"/>
    </row>
    <row r="139" ht="15.75" customHeight="1">
      <c r="A139" s="239">
        <v>21.0</v>
      </c>
      <c r="B139" s="240" t="s">
        <v>1809</v>
      </c>
      <c r="C139" s="239" t="s">
        <v>69</v>
      </c>
      <c r="D139" s="213">
        <v>2040.0</v>
      </c>
      <c r="E139" s="241" t="str">
        <f>'Daftar Harga'!D181</f>
        <v/>
      </c>
      <c r="F139" s="242" t="str">
        <f t="shared" si="28"/>
        <v/>
      </c>
      <c r="G139" s="186">
        <v>1500.0</v>
      </c>
      <c r="H139" s="243">
        <f t="shared" si="29"/>
        <v>3060000</v>
      </c>
      <c r="I139" s="188">
        <v>1750.0</v>
      </c>
      <c r="J139" s="253">
        <f t="shared" si="30"/>
        <v>3570000</v>
      </c>
      <c r="K139" s="245">
        <f t="shared" si="31"/>
        <v>510000</v>
      </c>
      <c r="L139" s="246">
        <f t="shared" si="32"/>
        <v>0.1666666667</v>
      </c>
      <c r="M139" s="247"/>
    </row>
    <row r="140" ht="15.75" customHeight="1">
      <c r="A140" s="248">
        <v>22.0</v>
      </c>
      <c r="B140" s="249" t="s">
        <v>1600</v>
      </c>
      <c r="C140" s="248" t="s">
        <v>109</v>
      </c>
      <c r="D140" s="216">
        <v>135.0</v>
      </c>
      <c r="E140" s="241" t="str">
        <f>'Daftar Harga'!D187</f>
        <v/>
      </c>
      <c r="F140" s="242" t="str">
        <f t="shared" si="28"/>
        <v/>
      </c>
      <c r="G140" s="186">
        <v>25500.0</v>
      </c>
      <c r="H140" s="243">
        <f t="shared" si="29"/>
        <v>3442500</v>
      </c>
      <c r="I140" s="188">
        <v>27000.0</v>
      </c>
      <c r="J140" s="253">
        <f t="shared" si="30"/>
        <v>3645000</v>
      </c>
      <c r="K140" s="250">
        <f t="shared" si="31"/>
        <v>202500</v>
      </c>
      <c r="L140" s="251">
        <f t="shared" si="32"/>
        <v>0.05882352941</v>
      </c>
      <c r="M140" s="252"/>
    </row>
    <row r="141" ht="15.75" customHeight="1">
      <c r="A141" s="239">
        <v>23.0</v>
      </c>
      <c r="B141" s="240" t="s">
        <v>1810</v>
      </c>
      <c r="C141" s="239" t="s">
        <v>109</v>
      </c>
      <c r="D141" s="213">
        <v>2.0</v>
      </c>
      <c r="E141" s="267" t="str">
        <f>'Daftar Harga'!D194</f>
        <v/>
      </c>
      <c r="F141" s="268" t="str">
        <f t="shared" si="28"/>
        <v/>
      </c>
      <c r="G141" s="186">
        <v>100000.0</v>
      </c>
      <c r="H141" s="243">
        <f t="shared" si="29"/>
        <v>200000</v>
      </c>
      <c r="I141" s="188">
        <v>110000.0</v>
      </c>
      <c r="J141" s="253">
        <f t="shared" si="30"/>
        <v>220000</v>
      </c>
      <c r="K141" s="245">
        <f t="shared" si="31"/>
        <v>20000</v>
      </c>
      <c r="L141" s="246">
        <f t="shared" si="32"/>
        <v>0.1</v>
      </c>
      <c r="M141" s="319">
        <v>2.0</v>
      </c>
    </row>
    <row r="142" ht="15.75" customHeight="1">
      <c r="A142" s="248">
        <v>24.0</v>
      </c>
      <c r="B142" s="249" t="s">
        <v>1608</v>
      </c>
      <c r="C142" s="248" t="s">
        <v>109</v>
      </c>
      <c r="D142" s="216">
        <v>2.0</v>
      </c>
      <c r="E142" s="241" t="str">
        <f>'Daftar Harga'!D196</f>
        <v/>
      </c>
      <c r="F142" s="242" t="str">
        <f t="shared" si="28"/>
        <v/>
      </c>
      <c r="G142" s="186">
        <v>10000.0</v>
      </c>
      <c r="H142" s="243">
        <f t="shared" si="29"/>
        <v>20000</v>
      </c>
      <c r="I142" s="188">
        <v>18000.0</v>
      </c>
      <c r="J142" s="253">
        <f t="shared" si="30"/>
        <v>36000</v>
      </c>
      <c r="K142" s="250">
        <f t="shared" si="31"/>
        <v>16000</v>
      </c>
      <c r="L142" s="251">
        <f t="shared" si="32"/>
        <v>0.8</v>
      </c>
      <c r="M142" s="252"/>
    </row>
    <row r="143" ht="15.75" customHeight="1">
      <c r="A143" s="239">
        <v>25.0</v>
      </c>
      <c r="B143" s="240" t="s">
        <v>1811</v>
      </c>
      <c r="C143" s="239" t="s">
        <v>109</v>
      </c>
      <c r="D143" s="213">
        <v>2.0</v>
      </c>
      <c r="E143" s="267"/>
      <c r="F143" s="268"/>
      <c r="G143" s="186">
        <v>42000.0</v>
      </c>
      <c r="H143" s="243">
        <f t="shared" si="29"/>
        <v>84000</v>
      </c>
      <c r="I143" s="188">
        <v>46000.0</v>
      </c>
      <c r="J143" s="253">
        <f t="shared" si="30"/>
        <v>92000</v>
      </c>
      <c r="K143" s="250">
        <f t="shared" si="31"/>
        <v>8000</v>
      </c>
      <c r="L143" s="251">
        <f t="shared" si="32"/>
        <v>0.09523809524</v>
      </c>
      <c r="M143" s="247"/>
    </row>
    <row r="144" ht="15.75" customHeight="1">
      <c r="A144" s="239">
        <v>26.0</v>
      </c>
      <c r="B144" s="240" t="s">
        <v>1656</v>
      </c>
      <c r="C144" s="239" t="s">
        <v>1812</v>
      </c>
      <c r="D144" s="213">
        <v>11.0</v>
      </c>
      <c r="E144" s="267"/>
      <c r="F144" s="268"/>
      <c r="G144" s="186">
        <v>260000.0</v>
      </c>
      <c r="H144" s="243">
        <f t="shared" si="29"/>
        <v>2860000</v>
      </c>
      <c r="I144" s="188">
        <v>265000.0</v>
      </c>
      <c r="J144" s="253">
        <f t="shared" si="30"/>
        <v>2915000</v>
      </c>
      <c r="K144" s="250">
        <f t="shared" si="31"/>
        <v>55000</v>
      </c>
      <c r="L144" s="251">
        <f t="shared" si="32"/>
        <v>0.01923076923</v>
      </c>
      <c r="M144" s="247"/>
    </row>
    <row r="145" ht="15.75" customHeight="1">
      <c r="A145" s="239">
        <v>27.0</v>
      </c>
      <c r="B145" s="240" t="s">
        <v>1609</v>
      </c>
      <c r="C145" s="239" t="s">
        <v>109</v>
      </c>
      <c r="D145" s="213">
        <v>40.0</v>
      </c>
      <c r="E145" s="241" t="str">
        <f>'Daftar Harga'!D197</f>
        <v/>
      </c>
      <c r="F145" s="242" t="str">
        <f>IF(E145&lt;&gt;"",D145*E145,"")</f>
        <v/>
      </c>
      <c r="G145" s="186">
        <v>15000.0</v>
      </c>
      <c r="H145" s="263">
        <f t="shared" si="29"/>
        <v>600000</v>
      </c>
      <c r="I145" s="188">
        <v>17000.0</v>
      </c>
      <c r="J145" s="255">
        <f t="shared" si="30"/>
        <v>680000</v>
      </c>
      <c r="K145" s="245">
        <f t="shared" si="31"/>
        <v>80000</v>
      </c>
      <c r="L145" s="246">
        <f t="shared" si="32"/>
        <v>0.1333333333</v>
      </c>
      <c r="M145" s="247"/>
    </row>
    <row r="146" ht="15.75" customHeight="1">
      <c r="A146" s="256" t="s">
        <v>1653</v>
      </c>
      <c r="B146" s="206"/>
      <c r="C146" s="206"/>
      <c r="D146" s="174"/>
      <c r="E146" s="257"/>
      <c r="F146" s="258">
        <f>SUMIF(F119:F145,"&lt;&gt;",F119:F145)</f>
        <v>176225</v>
      </c>
      <c r="G146" s="259"/>
      <c r="H146" s="260">
        <f>SUMIF(H119:H145,"&lt;&gt;",H119:H145)</f>
        <v>18226750</v>
      </c>
      <c r="I146" s="265"/>
      <c r="J146" s="260">
        <f>SUMIF(J119:J145,"&lt;&gt;",J119:J145)</f>
        <v>19969900</v>
      </c>
      <c r="K146" s="261">
        <f t="shared" si="31"/>
        <v>1743150</v>
      </c>
      <c r="L146" s="262">
        <f t="shared" si="32"/>
        <v>0.09563690729</v>
      </c>
      <c r="M146" s="257"/>
    </row>
    <row r="147" ht="15.75" customHeight="1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</row>
    <row r="148" ht="15.75" customHeight="1">
      <c r="A148" s="228" t="s">
        <v>1654</v>
      </c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6"/>
    </row>
    <row r="149" ht="15.75" customHeight="1">
      <c r="A149" s="229" t="s">
        <v>1509</v>
      </c>
      <c r="B149" s="229" t="s">
        <v>1510</v>
      </c>
      <c r="C149" s="229" t="s">
        <v>1511</v>
      </c>
      <c r="D149" s="229" t="s">
        <v>1614</v>
      </c>
      <c r="E149" s="230" t="s">
        <v>1615</v>
      </c>
      <c r="F149" s="174"/>
      <c r="G149" s="231" t="s">
        <v>1616</v>
      </c>
      <c r="H149" s="174"/>
      <c r="I149" s="232" t="s">
        <v>1617</v>
      </c>
      <c r="J149" s="174"/>
      <c r="K149" s="233" t="s">
        <v>1618</v>
      </c>
      <c r="L149" s="174"/>
      <c r="M149" s="229" t="s">
        <v>1619</v>
      </c>
    </row>
    <row r="150" ht="15.75" customHeight="1">
      <c r="A150" s="234" t="s">
        <v>1509</v>
      </c>
      <c r="B150" s="234" t="s">
        <v>1510</v>
      </c>
      <c r="C150" s="234" t="s">
        <v>1511</v>
      </c>
      <c r="D150" s="234" t="s">
        <v>1614</v>
      </c>
      <c r="E150" s="235" t="s">
        <v>1620</v>
      </c>
      <c r="F150" s="235" t="s">
        <v>1621</v>
      </c>
      <c r="G150" s="236" t="s">
        <v>1622</v>
      </c>
      <c r="H150" s="236" t="s">
        <v>1623</v>
      </c>
      <c r="I150" s="237" t="s">
        <v>1624</v>
      </c>
      <c r="J150" s="237" t="s">
        <v>1625</v>
      </c>
      <c r="K150" s="238" t="s">
        <v>1626</v>
      </c>
      <c r="L150" s="238" t="s">
        <v>1627</v>
      </c>
      <c r="M150" s="234" t="s">
        <v>1619</v>
      </c>
    </row>
    <row r="151" ht="15.75" customHeight="1">
      <c r="A151" s="248">
        <v>1.0</v>
      </c>
      <c r="B151" s="249" t="s">
        <v>1518</v>
      </c>
      <c r="C151" s="248" t="s">
        <v>109</v>
      </c>
      <c r="D151" s="216">
        <v>1.0</v>
      </c>
      <c r="E151" s="241">
        <f>'Daftar Harga'!D91</f>
        <v>500</v>
      </c>
      <c r="F151" s="242">
        <f t="shared" ref="F151:F171" si="33">IF(E151&lt;&gt;"",D151*E151,"")</f>
        <v>500</v>
      </c>
      <c r="G151" s="186">
        <v>20000.0</v>
      </c>
      <c r="H151" s="243">
        <f t="shared" ref="H151:H175" si="34">IF(G151&lt;&gt;"",D151*G151,"")</f>
        <v>20000</v>
      </c>
      <c r="I151" s="188">
        <v>25000.0</v>
      </c>
      <c r="J151" s="253">
        <f t="shared" ref="J151:J175" si="35">IF(I151&lt;&gt;"",D151*I151,"")</f>
        <v>25000</v>
      </c>
      <c r="K151" s="250">
        <f t="shared" ref="K151:K176" si="36">IF(J151&lt;&gt;"",IF(H151&lt;&gt;"",J151-H151,IF(F151&lt;&gt;"",J151-F151,"")),"")</f>
        <v>5000</v>
      </c>
      <c r="L151" s="251">
        <f t="shared" ref="L151:L176" si="37">IF(K151&lt;&gt;"",IF(H151&lt;&gt;"",IF(H151&lt;&gt;0,K151/H151,""),IF(F151&lt;&gt;"",IF(F151&lt;&gt;0,K151/F151,""),"")),"")</f>
        <v>0.25</v>
      </c>
      <c r="M151" s="252"/>
    </row>
    <row r="152" ht="15.75" customHeight="1">
      <c r="A152" s="239">
        <v>2.0</v>
      </c>
      <c r="B152" s="240" t="s">
        <v>1117</v>
      </c>
      <c r="C152" s="239" t="s">
        <v>109</v>
      </c>
      <c r="D152" s="213">
        <v>60.0</v>
      </c>
      <c r="E152" s="241">
        <f>'Daftar Harga'!D93</f>
        <v>12000</v>
      </c>
      <c r="F152" s="242">
        <f t="shared" si="33"/>
        <v>720000</v>
      </c>
      <c r="G152" s="186">
        <v>45500.0</v>
      </c>
      <c r="H152" s="243">
        <f t="shared" si="34"/>
        <v>2730000</v>
      </c>
      <c r="I152" s="188">
        <v>49000.0</v>
      </c>
      <c r="J152" s="253">
        <f t="shared" si="35"/>
        <v>2940000</v>
      </c>
      <c r="K152" s="245">
        <f t="shared" si="36"/>
        <v>210000</v>
      </c>
      <c r="L152" s="246">
        <f t="shared" si="37"/>
        <v>0.07692307692</v>
      </c>
      <c r="M152" s="247"/>
    </row>
    <row r="153" ht="15.75" customHeight="1">
      <c r="A153" s="248">
        <v>3.0</v>
      </c>
      <c r="B153" s="249" t="s">
        <v>1640</v>
      </c>
      <c r="C153" s="248" t="s">
        <v>109</v>
      </c>
      <c r="D153" s="216">
        <v>3.0</v>
      </c>
      <c r="E153" s="241">
        <f>'Daftar Harga'!D98</f>
        <v>7000</v>
      </c>
      <c r="F153" s="242">
        <f t="shared" si="33"/>
        <v>21000</v>
      </c>
      <c r="G153" s="186">
        <v>43000.0</v>
      </c>
      <c r="H153" s="243">
        <f t="shared" si="34"/>
        <v>129000</v>
      </c>
      <c r="I153" s="188">
        <v>52000.0</v>
      </c>
      <c r="J153" s="244">
        <f t="shared" si="35"/>
        <v>156000</v>
      </c>
      <c r="K153" s="250">
        <f t="shared" si="36"/>
        <v>27000</v>
      </c>
      <c r="L153" s="251">
        <f t="shared" si="37"/>
        <v>0.2093023256</v>
      </c>
      <c r="M153" s="252"/>
    </row>
    <row r="154" ht="15.75" customHeight="1">
      <c r="A154" s="239">
        <v>4.0</v>
      </c>
      <c r="B154" s="240" t="s">
        <v>1813</v>
      </c>
      <c r="C154" s="239" t="s">
        <v>109</v>
      </c>
      <c r="D154" s="213">
        <v>1.0</v>
      </c>
      <c r="E154" s="241">
        <f>'Daftar Harga'!D100</f>
        <v>14000</v>
      </c>
      <c r="F154" s="242">
        <f t="shared" si="33"/>
        <v>14000</v>
      </c>
      <c r="G154" s="186">
        <v>70000.0</v>
      </c>
      <c r="H154" s="243">
        <f t="shared" si="34"/>
        <v>70000</v>
      </c>
      <c r="I154" s="188">
        <v>90000.0</v>
      </c>
      <c r="J154" s="253">
        <f t="shared" si="35"/>
        <v>90000</v>
      </c>
      <c r="K154" s="245">
        <f t="shared" si="36"/>
        <v>20000</v>
      </c>
      <c r="L154" s="246">
        <f t="shared" si="37"/>
        <v>0.2857142857</v>
      </c>
      <c r="M154" s="247"/>
    </row>
    <row r="155" ht="15.75" customHeight="1">
      <c r="A155" s="248">
        <v>5.0</v>
      </c>
      <c r="B155" s="249" t="s">
        <v>1641</v>
      </c>
      <c r="C155" s="248" t="s">
        <v>109</v>
      </c>
      <c r="D155" s="216">
        <v>3.0</v>
      </c>
      <c r="E155" s="241">
        <f>'Daftar Harga'!D101</f>
        <v>9000</v>
      </c>
      <c r="F155" s="242">
        <f t="shared" si="33"/>
        <v>27000</v>
      </c>
      <c r="G155" s="186">
        <v>33000.0</v>
      </c>
      <c r="H155" s="243">
        <f t="shared" si="34"/>
        <v>99000</v>
      </c>
      <c r="I155" s="188">
        <v>45000.0</v>
      </c>
      <c r="J155" s="253">
        <f t="shared" si="35"/>
        <v>135000</v>
      </c>
      <c r="K155" s="250">
        <f t="shared" si="36"/>
        <v>36000</v>
      </c>
      <c r="L155" s="251">
        <f t="shared" si="37"/>
        <v>0.3636363636</v>
      </c>
      <c r="M155" s="252"/>
    </row>
    <row r="156" ht="15.75" customHeight="1">
      <c r="A156" s="239">
        <v>6.0</v>
      </c>
      <c r="B156" s="240" t="s">
        <v>1642</v>
      </c>
      <c r="C156" s="239" t="s">
        <v>109</v>
      </c>
      <c r="D156" s="213">
        <v>1.0</v>
      </c>
      <c r="E156" s="241" t="str">
        <f>'Daftar Harga'!D115</f>
        <v/>
      </c>
      <c r="F156" s="242" t="str">
        <f t="shared" si="33"/>
        <v/>
      </c>
      <c r="G156" s="186">
        <v>15000.0</v>
      </c>
      <c r="H156" s="243">
        <f t="shared" si="34"/>
        <v>15000</v>
      </c>
      <c r="I156" s="188">
        <v>18000.0</v>
      </c>
      <c r="J156" s="253">
        <f t="shared" si="35"/>
        <v>18000</v>
      </c>
      <c r="K156" s="245">
        <f t="shared" si="36"/>
        <v>3000</v>
      </c>
      <c r="L156" s="246">
        <f t="shared" si="37"/>
        <v>0.2</v>
      </c>
      <c r="M156" s="247"/>
    </row>
    <row r="157" ht="15.75" customHeight="1">
      <c r="A157" s="248">
        <v>7.0</v>
      </c>
      <c r="B157" s="249" t="s">
        <v>1814</v>
      </c>
      <c r="C157" s="248" t="s">
        <v>109</v>
      </c>
      <c r="D157" s="216">
        <v>0.5</v>
      </c>
      <c r="E157" s="241" t="str">
        <f>'Daftar Harga'!D118</f>
        <v/>
      </c>
      <c r="F157" s="242" t="str">
        <f t="shared" si="33"/>
        <v/>
      </c>
      <c r="G157" s="186">
        <v>30000.0</v>
      </c>
      <c r="H157" s="243">
        <f t="shared" si="34"/>
        <v>15000</v>
      </c>
      <c r="I157" s="188">
        <v>45000.0</v>
      </c>
      <c r="J157" s="253">
        <f t="shared" si="35"/>
        <v>22500</v>
      </c>
      <c r="K157" s="250">
        <f t="shared" si="36"/>
        <v>7500</v>
      </c>
      <c r="L157" s="251">
        <f t="shared" si="37"/>
        <v>0.5</v>
      </c>
      <c r="M157" s="252"/>
    </row>
    <row r="158" ht="15.75" customHeight="1">
      <c r="A158" s="239">
        <v>8.0</v>
      </c>
      <c r="B158" s="240" t="s">
        <v>1680</v>
      </c>
      <c r="C158" s="239" t="s">
        <v>109</v>
      </c>
      <c r="D158" s="213">
        <v>3.0</v>
      </c>
      <c r="E158" s="241" t="str">
        <f>'Daftar Harga'!D123</f>
        <v/>
      </c>
      <c r="F158" s="242" t="str">
        <f t="shared" si="33"/>
        <v/>
      </c>
      <c r="G158" s="186">
        <v>17000.0</v>
      </c>
      <c r="H158" s="243">
        <f t="shared" si="34"/>
        <v>51000</v>
      </c>
      <c r="I158" s="188">
        <v>22000.0</v>
      </c>
      <c r="J158" s="253">
        <f t="shared" si="35"/>
        <v>66000</v>
      </c>
      <c r="K158" s="245">
        <f t="shared" si="36"/>
        <v>15000</v>
      </c>
      <c r="L158" s="246">
        <f t="shared" si="37"/>
        <v>0.2941176471</v>
      </c>
      <c r="M158" s="247"/>
    </row>
    <row r="159" ht="15.75" customHeight="1">
      <c r="A159" s="248">
        <v>9.0</v>
      </c>
      <c r="B159" s="249" t="s">
        <v>1548</v>
      </c>
      <c r="C159" s="248" t="s">
        <v>109</v>
      </c>
      <c r="D159" s="216">
        <v>0.5</v>
      </c>
      <c r="E159" s="241" t="str">
        <f>'Daftar Harga'!D128</f>
        <v/>
      </c>
      <c r="F159" s="242" t="str">
        <f t="shared" si="33"/>
        <v/>
      </c>
      <c r="G159" s="186">
        <v>20000.0</v>
      </c>
      <c r="H159" s="243">
        <f t="shared" si="34"/>
        <v>10000</v>
      </c>
      <c r="I159" s="188">
        <v>26000.0</v>
      </c>
      <c r="J159" s="253">
        <f t="shared" si="35"/>
        <v>13000</v>
      </c>
      <c r="K159" s="250">
        <f t="shared" si="36"/>
        <v>3000</v>
      </c>
      <c r="L159" s="251">
        <f t="shared" si="37"/>
        <v>0.3</v>
      </c>
      <c r="M159" s="252"/>
    </row>
    <row r="160" ht="15.75" customHeight="1">
      <c r="A160" s="239">
        <v>10.0</v>
      </c>
      <c r="B160" s="240" t="s">
        <v>1815</v>
      </c>
      <c r="C160" s="239" t="s">
        <v>109</v>
      </c>
      <c r="D160" s="213">
        <v>5.0</v>
      </c>
      <c r="E160" s="267" t="str">
        <f>'Daftar Harga'!D129</f>
        <v/>
      </c>
      <c r="F160" s="268" t="str">
        <f t="shared" si="33"/>
        <v/>
      </c>
      <c r="G160" s="186">
        <v>25000.0</v>
      </c>
      <c r="H160" s="243">
        <f t="shared" si="34"/>
        <v>125000</v>
      </c>
      <c r="I160" s="188">
        <v>30000.0</v>
      </c>
      <c r="J160" s="253">
        <f t="shared" si="35"/>
        <v>150000</v>
      </c>
      <c r="K160" s="250">
        <f t="shared" si="36"/>
        <v>25000</v>
      </c>
      <c r="L160" s="246">
        <f t="shared" si="37"/>
        <v>0.2</v>
      </c>
      <c r="M160" s="247"/>
    </row>
    <row r="161" ht="15.75" customHeight="1">
      <c r="A161" s="248">
        <v>11.0</v>
      </c>
      <c r="B161" s="249" t="s">
        <v>1643</v>
      </c>
      <c r="C161" s="248" t="s">
        <v>1559</v>
      </c>
      <c r="D161" s="216">
        <v>1.0</v>
      </c>
      <c r="E161" s="241" t="str">
        <f>'Daftar Harga'!D138</f>
        <v/>
      </c>
      <c r="F161" s="242" t="str">
        <f t="shared" si="33"/>
        <v/>
      </c>
      <c r="G161" s="186">
        <v>190000.0</v>
      </c>
      <c r="H161" s="243">
        <f t="shared" si="34"/>
        <v>190000</v>
      </c>
      <c r="I161" s="188">
        <v>210000.0</v>
      </c>
      <c r="J161" s="253">
        <f t="shared" si="35"/>
        <v>210000</v>
      </c>
      <c r="K161" s="250">
        <f t="shared" si="36"/>
        <v>20000</v>
      </c>
      <c r="L161" s="251">
        <f t="shared" si="37"/>
        <v>0.1052631579</v>
      </c>
      <c r="M161" s="252"/>
    </row>
    <row r="162" ht="15.75" customHeight="1">
      <c r="A162" s="239">
        <v>12.0</v>
      </c>
      <c r="B162" s="240" t="s">
        <v>1567</v>
      </c>
      <c r="C162" s="239" t="s">
        <v>109</v>
      </c>
      <c r="D162" s="213">
        <v>20.0</v>
      </c>
      <c r="E162" s="241" t="str">
        <f>'Daftar Harga'!D146</f>
        <v/>
      </c>
      <c r="F162" s="242" t="str">
        <f t="shared" si="33"/>
        <v/>
      </c>
      <c r="G162" s="186">
        <v>7000.0</v>
      </c>
      <c r="H162" s="243">
        <f t="shared" si="34"/>
        <v>140000</v>
      </c>
      <c r="I162" s="188">
        <v>14000.0</v>
      </c>
      <c r="J162" s="253">
        <f t="shared" si="35"/>
        <v>280000</v>
      </c>
      <c r="K162" s="250">
        <f t="shared" si="36"/>
        <v>140000</v>
      </c>
      <c r="L162" s="246">
        <f t="shared" si="37"/>
        <v>1</v>
      </c>
      <c r="M162" s="247"/>
    </row>
    <row r="163" ht="15.75" customHeight="1">
      <c r="A163" s="248">
        <v>13.0</v>
      </c>
      <c r="B163" s="249" t="s">
        <v>1578</v>
      </c>
      <c r="C163" s="248" t="s">
        <v>1579</v>
      </c>
      <c r="D163" s="216">
        <v>60.0</v>
      </c>
      <c r="E163" s="241" t="str">
        <f>'Daftar Harga'!D159</f>
        <v/>
      </c>
      <c r="F163" s="242" t="str">
        <f t="shared" si="33"/>
        <v/>
      </c>
      <c r="G163" s="186">
        <v>21500.0</v>
      </c>
      <c r="H163" s="243">
        <f t="shared" si="34"/>
        <v>1290000</v>
      </c>
      <c r="I163" s="188">
        <v>24000.0</v>
      </c>
      <c r="J163" s="253">
        <f t="shared" si="35"/>
        <v>1440000</v>
      </c>
      <c r="K163" s="250">
        <f t="shared" si="36"/>
        <v>150000</v>
      </c>
      <c r="L163" s="251">
        <f t="shared" si="37"/>
        <v>0.1162790698</v>
      </c>
      <c r="M163" s="252"/>
    </row>
    <row r="164" ht="15.75" customHeight="1">
      <c r="A164" s="239">
        <v>14.0</v>
      </c>
      <c r="B164" s="249" t="s">
        <v>1584</v>
      </c>
      <c r="C164" s="248" t="s">
        <v>109</v>
      </c>
      <c r="D164" s="216">
        <v>4.0</v>
      </c>
      <c r="E164" s="241" t="str">
        <f>'Daftar Harga'!D167</f>
        <v/>
      </c>
      <c r="F164" s="242" t="str">
        <f t="shared" si="33"/>
        <v/>
      </c>
      <c r="G164" s="186">
        <v>42000.0</v>
      </c>
      <c r="H164" s="243">
        <f t="shared" si="34"/>
        <v>168000</v>
      </c>
      <c r="I164" s="188">
        <v>46000.0</v>
      </c>
      <c r="J164" s="253">
        <f t="shared" si="35"/>
        <v>184000</v>
      </c>
      <c r="K164" s="250">
        <f t="shared" si="36"/>
        <v>16000</v>
      </c>
      <c r="L164" s="251">
        <f t="shared" si="37"/>
        <v>0.09523809524</v>
      </c>
      <c r="M164" s="252"/>
    </row>
    <row r="165" ht="15.75" customHeight="1">
      <c r="A165" s="248">
        <v>15.0</v>
      </c>
      <c r="B165" s="240" t="s">
        <v>1816</v>
      </c>
      <c r="C165" s="239" t="s">
        <v>261</v>
      </c>
      <c r="D165" s="213">
        <v>2.0</v>
      </c>
      <c r="E165" s="241" t="str">
        <f>'Daftar Harga'!D168</f>
        <v/>
      </c>
      <c r="F165" s="242" t="str">
        <f t="shared" si="33"/>
        <v/>
      </c>
      <c r="G165" s="186">
        <v>138000.0</v>
      </c>
      <c r="H165" s="243">
        <f t="shared" si="34"/>
        <v>276000</v>
      </c>
      <c r="I165" s="188">
        <v>150000.0</v>
      </c>
      <c r="J165" s="253">
        <f t="shared" si="35"/>
        <v>300000</v>
      </c>
      <c r="K165" s="250">
        <f t="shared" si="36"/>
        <v>24000</v>
      </c>
      <c r="L165" s="246">
        <f t="shared" si="37"/>
        <v>0.08695652174</v>
      </c>
      <c r="M165" s="247"/>
    </row>
    <row r="166" ht="15.75" customHeight="1">
      <c r="A166" s="239">
        <v>16.0</v>
      </c>
      <c r="B166" s="249" t="s">
        <v>1591</v>
      </c>
      <c r="C166" s="248" t="s">
        <v>261</v>
      </c>
      <c r="D166" s="216">
        <v>3.0</v>
      </c>
      <c r="E166" s="241" t="str">
        <f>'Daftar Harga'!D172</f>
        <v/>
      </c>
      <c r="F166" s="242" t="str">
        <f t="shared" si="33"/>
        <v/>
      </c>
      <c r="G166" s="186">
        <v>118000.0</v>
      </c>
      <c r="H166" s="243">
        <f t="shared" si="34"/>
        <v>354000</v>
      </c>
      <c r="I166" s="188">
        <v>130000.0</v>
      </c>
      <c r="J166" s="253">
        <f t="shared" si="35"/>
        <v>390000</v>
      </c>
      <c r="K166" s="250">
        <f t="shared" si="36"/>
        <v>36000</v>
      </c>
      <c r="L166" s="251">
        <f t="shared" si="37"/>
        <v>0.1016949153</v>
      </c>
      <c r="M166" s="252"/>
    </row>
    <row r="167" ht="15.75" customHeight="1">
      <c r="A167" s="248">
        <v>17.0</v>
      </c>
      <c r="B167" s="240" t="s">
        <v>1817</v>
      </c>
      <c r="C167" s="239" t="s">
        <v>109</v>
      </c>
      <c r="D167" s="213">
        <v>0.5</v>
      </c>
      <c r="E167" s="267" t="str">
        <f>'Daftar Harga'!D174</f>
        <v/>
      </c>
      <c r="F167" s="268" t="str">
        <f t="shared" si="33"/>
        <v/>
      </c>
      <c r="G167" s="186">
        <v>30000.0</v>
      </c>
      <c r="H167" s="243">
        <f t="shared" si="34"/>
        <v>15000</v>
      </c>
      <c r="I167" s="188">
        <v>45000.0</v>
      </c>
      <c r="J167" s="253">
        <f t="shared" si="35"/>
        <v>22500</v>
      </c>
      <c r="K167" s="250">
        <f t="shared" si="36"/>
        <v>7500</v>
      </c>
      <c r="L167" s="246">
        <f t="shared" si="37"/>
        <v>0.5</v>
      </c>
      <c r="M167" s="247"/>
    </row>
    <row r="168" ht="15.75" customHeight="1">
      <c r="A168" s="239">
        <v>18.0</v>
      </c>
      <c r="B168" s="240" t="s">
        <v>1600</v>
      </c>
      <c r="C168" s="239" t="s">
        <v>109</v>
      </c>
      <c r="D168" s="213">
        <v>3.0</v>
      </c>
      <c r="E168" s="241" t="str">
        <f>'Daftar Harga'!D187</f>
        <v/>
      </c>
      <c r="F168" s="242" t="str">
        <f t="shared" si="33"/>
        <v/>
      </c>
      <c r="G168" s="186">
        <v>25500.0</v>
      </c>
      <c r="H168" s="243">
        <f t="shared" si="34"/>
        <v>76500</v>
      </c>
      <c r="I168" s="188">
        <v>28000.0</v>
      </c>
      <c r="J168" s="253">
        <f t="shared" si="35"/>
        <v>84000</v>
      </c>
      <c r="K168" s="245">
        <f t="shared" si="36"/>
        <v>7500</v>
      </c>
      <c r="L168" s="246">
        <f t="shared" si="37"/>
        <v>0.09803921569</v>
      </c>
      <c r="M168" s="247"/>
    </row>
    <row r="169" ht="15.75" customHeight="1">
      <c r="A169" s="248">
        <v>19.0</v>
      </c>
      <c r="B169" s="249" t="s">
        <v>1601</v>
      </c>
      <c r="C169" s="248" t="s">
        <v>69</v>
      </c>
      <c r="D169" s="216">
        <v>50.0</v>
      </c>
      <c r="E169" s="241" t="str">
        <f>'Daftar Harga'!D189</f>
        <v/>
      </c>
      <c r="F169" s="242" t="str">
        <f t="shared" si="33"/>
        <v/>
      </c>
      <c r="G169" s="186">
        <v>12000.0</v>
      </c>
      <c r="H169" s="243">
        <f t="shared" si="34"/>
        <v>600000</v>
      </c>
      <c r="I169" s="188">
        <v>14000.0</v>
      </c>
      <c r="J169" s="253">
        <f t="shared" si="35"/>
        <v>700000</v>
      </c>
      <c r="K169" s="250">
        <f t="shared" si="36"/>
        <v>100000</v>
      </c>
      <c r="L169" s="251">
        <f t="shared" si="37"/>
        <v>0.1666666667</v>
      </c>
      <c r="M169" s="252"/>
    </row>
    <row r="170" ht="15.75" customHeight="1">
      <c r="A170" s="239">
        <v>20.0</v>
      </c>
      <c r="B170" s="240" t="s">
        <v>1818</v>
      </c>
      <c r="C170" s="239" t="s">
        <v>109</v>
      </c>
      <c r="D170" s="213">
        <v>5.0</v>
      </c>
      <c r="E170" s="241" t="str">
        <f>'Daftar Harga'!D190</f>
        <v/>
      </c>
      <c r="F170" s="242" t="str">
        <f t="shared" si="33"/>
        <v/>
      </c>
      <c r="G170" s="186">
        <v>26000.0</v>
      </c>
      <c r="H170" s="243">
        <f t="shared" si="34"/>
        <v>130000</v>
      </c>
      <c r="I170" s="188">
        <v>26000.0</v>
      </c>
      <c r="J170" s="253">
        <f t="shared" si="35"/>
        <v>130000</v>
      </c>
      <c r="K170" s="250">
        <f t="shared" si="36"/>
        <v>0</v>
      </c>
      <c r="L170" s="251">
        <f t="shared" si="37"/>
        <v>0</v>
      </c>
      <c r="M170" s="247"/>
    </row>
    <row r="171" ht="15.75" customHeight="1">
      <c r="A171" s="248">
        <v>21.0</v>
      </c>
      <c r="B171" s="249" t="s">
        <v>1605</v>
      </c>
      <c r="C171" s="248" t="s">
        <v>109</v>
      </c>
      <c r="D171" s="216">
        <v>15.0</v>
      </c>
      <c r="E171" s="241" t="str">
        <f>'Daftar Harga'!D193</f>
        <v/>
      </c>
      <c r="F171" s="242" t="str">
        <f t="shared" si="33"/>
        <v/>
      </c>
      <c r="G171" s="186">
        <v>11250.0</v>
      </c>
      <c r="H171" s="243">
        <f t="shared" si="34"/>
        <v>168750</v>
      </c>
      <c r="I171" s="188">
        <v>12000.0</v>
      </c>
      <c r="J171" s="253">
        <f t="shared" si="35"/>
        <v>180000</v>
      </c>
      <c r="K171" s="250">
        <f t="shared" si="36"/>
        <v>11250</v>
      </c>
      <c r="L171" s="251">
        <f t="shared" si="37"/>
        <v>0.06666666667</v>
      </c>
      <c r="M171" s="252"/>
    </row>
    <row r="172" ht="15.75" customHeight="1">
      <c r="A172" s="239">
        <v>22.0</v>
      </c>
      <c r="B172" s="240" t="s">
        <v>1574</v>
      </c>
      <c r="C172" s="239" t="s">
        <v>1724</v>
      </c>
      <c r="D172" s="213">
        <v>0.5</v>
      </c>
      <c r="E172" s="267"/>
      <c r="F172" s="268"/>
      <c r="G172" s="186">
        <v>11000.0</v>
      </c>
      <c r="H172" s="243">
        <f t="shared" si="34"/>
        <v>5500</v>
      </c>
      <c r="I172" s="188">
        <v>15000.0</v>
      </c>
      <c r="J172" s="253">
        <f t="shared" si="35"/>
        <v>7500</v>
      </c>
      <c r="K172" s="250">
        <f t="shared" si="36"/>
        <v>2000</v>
      </c>
      <c r="L172" s="251">
        <f t="shared" si="37"/>
        <v>0.3636363636</v>
      </c>
      <c r="M172" s="247"/>
    </row>
    <row r="173" ht="15.75" customHeight="1">
      <c r="A173" s="248">
        <v>23.0</v>
      </c>
      <c r="B173" s="240" t="s">
        <v>1609</v>
      </c>
      <c r="C173" s="239" t="s">
        <v>109</v>
      </c>
      <c r="D173" s="213">
        <v>15.0</v>
      </c>
      <c r="E173" s="241" t="str">
        <f>'Daftar Harga'!D197</f>
        <v/>
      </c>
      <c r="F173" s="242" t="str">
        <f>IF(E173&lt;&gt;"",D173*E173,"")</f>
        <v/>
      </c>
      <c r="G173" s="186">
        <v>14000.0</v>
      </c>
      <c r="H173" s="243">
        <f t="shared" si="34"/>
        <v>210000</v>
      </c>
      <c r="I173" s="188">
        <v>18000.0</v>
      </c>
      <c r="J173" s="253">
        <f t="shared" si="35"/>
        <v>270000</v>
      </c>
      <c r="K173" s="250">
        <f t="shared" si="36"/>
        <v>60000</v>
      </c>
      <c r="L173" s="251">
        <f t="shared" si="37"/>
        <v>0.2857142857</v>
      </c>
      <c r="M173" s="247"/>
    </row>
    <row r="174" ht="15.75" customHeight="1">
      <c r="A174" s="239">
        <v>24.0</v>
      </c>
      <c r="B174" s="320" t="s">
        <v>1819</v>
      </c>
      <c r="C174" s="312" t="s">
        <v>109</v>
      </c>
      <c r="D174" s="321">
        <v>0.25</v>
      </c>
      <c r="E174" s="267"/>
      <c r="F174" s="268"/>
      <c r="G174" s="186">
        <v>30000.0</v>
      </c>
      <c r="H174" s="243">
        <f t="shared" si="34"/>
        <v>7500</v>
      </c>
      <c r="I174" s="188">
        <v>30000.0</v>
      </c>
      <c r="J174" s="253">
        <f t="shared" si="35"/>
        <v>7500</v>
      </c>
      <c r="K174" s="250">
        <f t="shared" si="36"/>
        <v>0</v>
      </c>
      <c r="L174" s="251">
        <f t="shared" si="37"/>
        <v>0</v>
      </c>
      <c r="M174" s="247"/>
    </row>
    <row r="175" ht="15.75" customHeight="1">
      <c r="A175" s="248">
        <v>25.0</v>
      </c>
      <c r="B175" s="320" t="s">
        <v>1152</v>
      </c>
      <c r="C175" s="312" t="s">
        <v>69</v>
      </c>
      <c r="D175" s="321">
        <v>1120.0</v>
      </c>
      <c r="E175" s="267"/>
      <c r="F175" s="268"/>
      <c r="G175" s="186">
        <v>1800.0</v>
      </c>
      <c r="H175" s="243">
        <f t="shared" si="34"/>
        <v>2016000</v>
      </c>
      <c r="I175" s="188">
        <v>2000.0</v>
      </c>
      <c r="J175" s="255">
        <f t="shared" si="35"/>
        <v>2240000</v>
      </c>
      <c r="K175" s="250">
        <f t="shared" si="36"/>
        <v>224000</v>
      </c>
      <c r="L175" s="251">
        <f t="shared" si="37"/>
        <v>0.1111111111</v>
      </c>
      <c r="M175" s="247"/>
    </row>
    <row r="176" ht="15.75" customHeight="1">
      <c r="A176" s="256" t="s">
        <v>1659</v>
      </c>
      <c r="B176" s="206"/>
      <c r="C176" s="206"/>
      <c r="D176" s="174"/>
      <c r="E176" s="257"/>
      <c r="F176" s="258">
        <f>SUMIF(F151:F175,"&lt;&gt;",F151:F175)</f>
        <v>782500</v>
      </c>
      <c r="G176" s="317"/>
      <c r="H176" s="260">
        <f>SUMIF(H151:H175,"&lt;&gt;",H151:H175)</f>
        <v>8911250</v>
      </c>
      <c r="I176" s="322"/>
      <c r="J176" s="260">
        <f>SUMIF(J151:J175,"&lt;&gt;",J151:J175)</f>
        <v>10061000</v>
      </c>
      <c r="K176" s="261">
        <f t="shared" si="36"/>
        <v>1149750</v>
      </c>
      <c r="L176" s="262">
        <f t="shared" si="37"/>
        <v>0.1290223033</v>
      </c>
      <c r="M176" s="257"/>
    </row>
    <row r="177" ht="15.75" customHeight="1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</row>
    <row r="178" ht="15.75" customHeight="1">
      <c r="A178" s="228" t="s">
        <v>1660</v>
      </c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6"/>
    </row>
    <row r="179" ht="15.75" customHeight="1">
      <c r="A179" s="229" t="s">
        <v>1509</v>
      </c>
      <c r="B179" s="229" t="s">
        <v>1510</v>
      </c>
      <c r="C179" s="229" t="s">
        <v>1511</v>
      </c>
      <c r="D179" s="229" t="s">
        <v>1614</v>
      </c>
      <c r="E179" s="230" t="s">
        <v>1615</v>
      </c>
      <c r="F179" s="174"/>
      <c r="G179" s="231" t="s">
        <v>1616</v>
      </c>
      <c r="H179" s="174"/>
      <c r="I179" s="232" t="s">
        <v>1617</v>
      </c>
      <c r="J179" s="174"/>
      <c r="K179" s="233" t="s">
        <v>1618</v>
      </c>
      <c r="L179" s="174"/>
      <c r="M179" s="229" t="s">
        <v>1619</v>
      </c>
    </row>
    <row r="180" ht="15.75" customHeight="1">
      <c r="A180" s="234" t="s">
        <v>1509</v>
      </c>
      <c r="B180" s="234" t="s">
        <v>1510</v>
      </c>
      <c r="C180" s="234" t="s">
        <v>1511</v>
      </c>
      <c r="D180" s="234" t="s">
        <v>1614</v>
      </c>
      <c r="E180" s="235" t="s">
        <v>1620</v>
      </c>
      <c r="F180" s="235" t="s">
        <v>1621</v>
      </c>
      <c r="G180" s="236" t="s">
        <v>1622</v>
      </c>
      <c r="H180" s="236" t="s">
        <v>1623</v>
      </c>
      <c r="I180" s="237" t="s">
        <v>1624</v>
      </c>
      <c r="J180" s="237" t="s">
        <v>1625</v>
      </c>
      <c r="K180" s="238" t="s">
        <v>1626</v>
      </c>
      <c r="L180" s="238" t="s">
        <v>1627</v>
      </c>
      <c r="M180" s="234" t="s">
        <v>1619</v>
      </c>
    </row>
    <row r="181" ht="15.75" customHeight="1">
      <c r="A181" s="239">
        <v>1.0</v>
      </c>
      <c r="B181" s="240" t="s">
        <v>1534</v>
      </c>
      <c r="C181" s="239" t="s">
        <v>109</v>
      </c>
      <c r="D181" s="213">
        <v>30.0</v>
      </c>
      <c r="E181" s="241" t="str">
        <f>'Daftar Harga'!D106</f>
        <v/>
      </c>
      <c r="F181" s="242" t="str">
        <f t="shared" ref="F181:F192" si="38">IF(E181&lt;&gt;"",D181*E181,"")</f>
        <v/>
      </c>
      <c r="G181" s="186">
        <v>15000.0</v>
      </c>
      <c r="H181" s="243">
        <f t="shared" ref="H181:H192" si="39">IF(G181&lt;&gt;"",D181*G181,"")</f>
        <v>450000</v>
      </c>
      <c r="I181" s="188">
        <v>16000.0</v>
      </c>
      <c r="J181" s="244">
        <f t="shared" ref="J181:J192" si="40">IF(I181&lt;&gt;"",D181*I181,"")</f>
        <v>480000</v>
      </c>
      <c r="K181" s="245">
        <f t="shared" ref="K181:K193" si="41">IF(J181&lt;&gt;"",IF(H181&lt;&gt;"",J181-H181,IF(F181&lt;&gt;"",J181-F181,"")),"")</f>
        <v>30000</v>
      </c>
      <c r="L181" s="246">
        <f t="shared" ref="L181:L193" si="42">IF(K181&lt;&gt;"",IF(H181&lt;&gt;"",IF(H181&lt;&gt;0,K181/H181,""),IF(F181&lt;&gt;"",IF(F181&lt;&gt;0,K181/F181,""),"")),"")</f>
        <v>0.06666666667</v>
      </c>
      <c r="M181" s="247"/>
    </row>
    <row r="182" ht="15.75" customHeight="1">
      <c r="A182" s="248">
        <v>2.0</v>
      </c>
      <c r="B182" s="249" t="s">
        <v>1820</v>
      </c>
      <c r="C182" s="248" t="s">
        <v>109</v>
      </c>
      <c r="D182" s="216">
        <v>2.0</v>
      </c>
      <c r="E182" s="241" t="str">
        <f>'Daftar Harga'!D113</f>
        <v/>
      </c>
      <c r="F182" s="242" t="str">
        <f t="shared" si="38"/>
        <v/>
      </c>
      <c r="G182" s="186">
        <v>30000.0</v>
      </c>
      <c r="H182" s="243">
        <f t="shared" si="39"/>
        <v>60000</v>
      </c>
      <c r="I182" s="188">
        <v>35000.0</v>
      </c>
      <c r="J182" s="244">
        <f t="shared" si="40"/>
        <v>70000</v>
      </c>
      <c r="K182" s="250">
        <f t="shared" si="41"/>
        <v>10000</v>
      </c>
      <c r="L182" s="251">
        <f t="shared" si="42"/>
        <v>0.1666666667</v>
      </c>
      <c r="M182" s="252"/>
    </row>
    <row r="183" ht="15.75" customHeight="1">
      <c r="A183" s="239">
        <v>3.0</v>
      </c>
      <c r="B183" s="240" t="s">
        <v>1655</v>
      </c>
      <c r="C183" s="239" t="s">
        <v>109</v>
      </c>
      <c r="D183" s="213">
        <v>13.0</v>
      </c>
      <c r="E183" s="241" t="str">
        <f>'Daftar Harga'!D124</f>
        <v/>
      </c>
      <c r="F183" s="242" t="str">
        <f t="shared" si="38"/>
        <v/>
      </c>
      <c r="G183" s="186">
        <v>18500.0</v>
      </c>
      <c r="H183" s="243">
        <f t="shared" si="39"/>
        <v>240500</v>
      </c>
      <c r="I183" s="188">
        <v>20000.0</v>
      </c>
      <c r="J183" s="244">
        <f t="shared" si="40"/>
        <v>260000</v>
      </c>
      <c r="K183" s="245">
        <f t="shared" si="41"/>
        <v>19500</v>
      </c>
      <c r="L183" s="246">
        <f t="shared" si="42"/>
        <v>0.08108108108</v>
      </c>
      <c r="M183" s="247"/>
    </row>
    <row r="184" ht="15.75" customHeight="1">
      <c r="A184" s="248">
        <v>4.0</v>
      </c>
      <c r="B184" s="249" t="s">
        <v>1548</v>
      </c>
      <c r="C184" s="248" t="s">
        <v>109</v>
      </c>
      <c r="D184" s="216">
        <v>1.0</v>
      </c>
      <c r="E184" s="241" t="str">
        <f>'Daftar Harga'!D128</f>
        <v/>
      </c>
      <c r="F184" s="242" t="str">
        <f t="shared" si="38"/>
        <v/>
      </c>
      <c r="G184" s="186">
        <v>20000.0</v>
      </c>
      <c r="H184" s="243">
        <f t="shared" si="39"/>
        <v>20000</v>
      </c>
      <c r="I184" s="188">
        <v>26000.0</v>
      </c>
      <c r="J184" s="244">
        <f t="shared" si="40"/>
        <v>26000</v>
      </c>
      <c r="K184" s="250">
        <f t="shared" si="41"/>
        <v>6000</v>
      </c>
      <c r="L184" s="251">
        <f t="shared" si="42"/>
        <v>0.3</v>
      </c>
      <c r="M184" s="252"/>
    </row>
    <row r="185" ht="15.75" customHeight="1">
      <c r="A185" s="239">
        <v>5.0</v>
      </c>
      <c r="B185" s="240" t="s">
        <v>1112</v>
      </c>
      <c r="C185" s="239" t="s">
        <v>109</v>
      </c>
      <c r="D185" s="213">
        <v>154.0</v>
      </c>
      <c r="E185" s="241" t="str">
        <f>'Daftar Harga'!D130</f>
        <v/>
      </c>
      <c r="F185" s="242" t="str">
        <f t="shared" si="38"/>
        <v/>
      </c>
      <c r="G185" s="186">
        <v>18500.0</v>
      </c>
      <c r="H185" s="243">
        <f t="shared" si="39"/>
        <v>2849000</v>
      </c>
      <c r="I185" s="188">
        <v>20500.0</v>
      </c>
      <c r="J185" s="244">
        <f t="shared" si="40"/>
        <v>3157000</v>
      </c>
      <c r="K185" s="245">
        <f t="shared" si="41"/>
        <v>308000</v>
      </c>
      <c r="L185" s="246">
        <f t="shared" si="42"/>
        <v>0.1081081081</v>
      </c>
      <c r="M185" s="247"/>
    </row>
    <row r="186" ht="15.75" customHeight="1">
      <c r="A186" s="248">
        <v>6.0</v>
      </c>
      <c r="B186" s="249" t="s">
        <v>1821</v>
      </c>
      <c r="C186" s="248" t="s">
        <v>109</v>
      </c>
      <c r="D186" s="216">
        <v>125.0</v>
      </c>
      <c r="E186" s="241" t="str">
        <f>'Daftar Harga'!D134</f>
        <v/>
      </c>
      <c r="F186" s="242" t="str">
        <f t="shared" si="38"/>
        <v/>
      </c>
      <c r="G186" s="186">
        <v>31000.0</v>
      </c>
      <c r="H186" s="243">
        <f t="shared" si="39"/>
        <v>3875000</v>
      </c>
      <c r="I186" s="188">
        <v>35000.0</v>
      </c>
      <c r="J186" s="244">
        <f t="shared" si="40"/>
        <v>4375000</v>
      </c>
      <c r="K186" s="250">
        <f t="shared" si="41"/>
        <v>500000</v>
      </c>
      <c r="L186" s="251">
        <f t="shared" si="42"/>
        <v>0.1290322581</v>
      </c>
      <c r="M186" s="252"/>
    </row>
    <row r="187" ht="15.75" customHeight="1">
      <c r="A187" s="239">
        <v>7.0</v>
      </c>
      <c r="B187" s="240" t="s">
        <v>1575</v>
      </c>
      <c r="C187" s="239" t="s">
        <v>109</v>
      </c>
      <c r="D187" s="213">
        <v>1.0</v>
      </c>
      <c r="E187" s="241" t="str">
        <f>'Daftar Harga'!D156</f>
        <v/>
      </c>
      <c r="F187" s="242" t="str">
        <f t="shared" si="38"/>
        <v/>
      </c>
      <c r="G187" s="186">
        <v>25000.0</v>
      </c>
      <c r="H187" s="243">
        <f t="shared" si="39"/>
        <v>25000</v>
      </c>
      <c r="I187" s="188">
        <v>26000.0</v>
      </c>
      <c r="J187" s="244">
        <f t="shared" si="40"/>
        <v>26000</v>
      </c>
      <c r="K187" s="245">
        <f t="shared" si="41"/>
        <v>1000</v>
      </c>
      <c r="L187" s="246">
        <f t="shared" si="42"/>
        <v>0.04</v>
      </c>
      <c r="M187" s="247"/>
    </row>
    <row r="188" ht="15.75" customHeight="1">
      <c r="A188" s="248">
        <v>8.0</v>
      </c>
      <c r="B188" s="249" t="s">
        <v>1582</v>
      </c>
      <c r="C188" s="248" t="s">
        <v>69</v>
      </c>
      <c r="D188" s="216">
        <v>75.0</v>
      </c>
      <c r="E188" s="241" t="str">
        <f>'Daftar Harga'!D166</f>
        <v/>
      </c>
      <c r="F188" s="242" t="str">
        <f t="shared" si="38"/>
        <v/>
      </c>
      <c r="G188" s="186">
        <v>10500.0</v>
      </c>
      <c r="H188" s="243">
        <f t="shared" si="39"/>
        <v>787500</v>
      </c>
      <c r="I188" s="188">
        <v>13000.0</v>
      </c>
      <c r="J188" s="244">
        <f t="shared" si="40"/>
        <v>975000</v>
      </c>
      <c r="K188" s="250">
        <f t="shared" si="41"/>
        <v>187500</v>
      </c>
      <c r="L188" s="251">
        <f t="shared" si="42"/>
        <v>0.2380952381</v>
      </c>
      <c r="M188" s="252"/>
    </row>
    <row r="189" ht="15.75" customHeight="1">
      <c r="A189" s="239">
        <v>9.0</v>
      </c>
      <c r="B189" s="240" t="s">
        <v>1822</v>
      </c>
      <c r="C189" s="239" t="s">
        <v>1579</v>
      </c>
      <c r="D189" s="213">
        <v>2.0</v>
      </c>
      <c r="E189" s="241" t="str">
        <f>'Daftar Harga'!D178</f>
        <v/>
      </c>
      <c r="F189" s="242" t="str">
        <f t="shared" si="38"/>
        <v/>
      </c>
      <c r="G189" s="199">
        <v>19500.0</v>
      </c>
      <c r="H189" s="243">
        <f t="shared" si="39"/>
        <v>39000</v>
      </c>
      <c r="I189" s="188">
        <v>22500.0</v>
      </c>
      <c r="J189" s="244">
        <f t="shared" si="40"/>
        <v>45000</v>
      </c>
      <c r="K189" s="245">
        <f t="shared" si="41"/>
        <v>6000</v>
      </c>
      <c r="L189" s="246">
        <f t="shared" si="42"/>
        <v>0.1538461538</v>
      </c>
      <c r="M189" s="247"/>
    </row>
    <row r="190" ht="15.75" customHeight="1">
      <c r="A190" s="248">
        <v>10.0</v>
      </c>
      <c r="B190" s="249" t="s">
        <v>1823</v>
      </c>
      <c r="C190" s="248" t="s">
        <v>1824</v>
      </c>
      <c r="D190" s="216">
        <v>7.0</v>
      </c>
      <c r="E190" s="241" t="str">
        <f>'Daftar Harga'!D179</f>
        <v/>
      </c>
      <c r="F190" s="242" t="str">
        <f t="shared" si="38"/>
        <v/>
      </c>
      <c r="G190" s="186">
        <v>11875.0</v>
      </c>
      <c r="H190" s="243">
        <f t="shared" si="39"/>
        <v>83125</v>
      </c>
      <c r="I190" s="188">
        <v>15500.0</v>
      </c>
      <c r="J190" s="244">
        <f t="shared" si="40"/>
        <v>108500</v>
      </c>
      <c r="K190" s="250">
        <f t="shared" si="41"/>
        <v>25375</v>
      </c>
      <c r="L190" s="251">
        <f t="shared" si="42"/>
        <v>0.3052631579</v>
      </c>
      <c r="M190" s="252"/>
    </row>
    <row r="191" ht="15.75" customHeight="1">
      <c r="A191" s="239">
        <v>11.0</v>
      </c>
      <c r="B191" s="240" t="s">
        <v>1342</v>
      </c>
      <c r="C191" s="239" t="s">
        <v>109</v>
      </c>
      <c r="D191" s="213">
        <v>90.0</v>
      </c>
      <c r="E191" s="241" t="str">
        <f>'Daftar Harga'!D188</f>
        <v/>
      </c>
      <c r="F191" s="242" t="str">
        <f t="shared" si="38"/>
        <v/>
      </c>
      <c r="G191" s="186">
        <v>28000.0</v>
      </c>
      <c r="H191" s="243">
        <f t="shared" si="39"/>
        <v>2520000</v>
      </c>
      <c r="I191" s="188">
        <v>32000.0</v>
      </c>
      <c r="J191" s="244">
        <f t="shared" si="40"/>
        <v>2880000</v>
      </c>
      <c r="K191" s="245">
        <f t="shared" si="41"/>
        <v>360000</v>
      </c>
      <c r="L191" s="246">
        <f t="shared" si="42"/>
        <v>0.1428571429</v>
      </c>
      <c r="M191" s="247"/>
    </row>
    <row r="192" ht="15.75" customHeight="1">
      <c r="A192" s="248">
        <v>12.0</v>
      </c>
      <c r="B192" s="249" t="s">
        <v>1609</v>
      </c>
      <c r="C192" s="248" t="s">
        <v>109</v>
      </c>
      <c r="D192" s="216">
        <v>35.0</v>
      </c>
      <c r="E192" s="241" t="str">
        <f>'Daftar Harga'!D197</f>
        <v/>
      </c>
      <c r="F192" s="242" t="str">
        <f t="shared" si="38"/>
        <v/>
      </c>
      <c r="G192" s="186">
        <v>14000.0</v>
      </c>
      <c r="H192" s="263">
        <f t="shared" si="39"/>
        <v>490000</v>
      </c>
      <c r="I192" s="188">
        <v>18000.0</v>
      </c>
      <c r="J192" s="264">
        <f t="shared" si="40"/>
        <v>630000</v>
      </c>
      <c r="K192" s="250">
        <f t="shared" si="41"/>
        <v>140000</v>
      </c>
      <c r="L192" s="251">
        <f t="shared" si="42"/>
        <v>0.2857142857</v>
      </c>
      <c r="M192" s="252"/>
    </row>
    <row r="193" ht="15.75" customHeight="1">
      <c r="A193" s="256" t="s">
        <v>1666</v>
      </c>
      <c r="B193" s="206"/>
      <c r="C193" s="206"/>
      <c r="D193" s="174"/>
      <c r="E193" s="257"/>
      <c r="F193" s="258">
        <f>SUMIF(F181:F192,"&lt;&gt;",F181:F192)</f>
        <v>0</v>
      </c>
      <c r="G193" s="259"/>
      <c r="H193" s="260">
        <f>SUMIF(H181:H192,"&lt;&gt;",H181:H192)</f>
        <v>11439125</v>
      </c>
      <c r="I193" s="265"/>
      <c r="J193" s="260">
        <f>SUMIF(J181:J192,"&lt;&gt;",J181:J192)</f>
        <v>13032500</v>
      </c>
      <c r="K193" s="261">
        <f t="shared" si="41"/>
        <v>1593375</v>
      </c>
      <c r="L193" s="262">
        <f t="shared" si="42"/>
        <v>0.1392916853</v>
      </c>
      <c r="M193" s="257"/>
    </row>
    <row r="194" ht="15.75" customHeight="1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</row>
    <row r="195" ht="15.75" customHeight="1">
      <c r="A195" s="323"/>
      <c r="B195" s="324"/>
      <c r="C195" s="228" t="s">
        <v>1825</v>
      </c>
      <c r="D195" s="155"/>
      <c r="E195" s="155"/>
      <c r="F195" s="155"/>
      <c r="G195" s="155"/>
      <c r="H195" s="155"/>
      <c r="I195" s="155"/>
      <c r="J195" s="155"/>
      <c r="K195" s="155"/>
      <c r="L195" s="155"/>
      <c r="M195" s="323"/>
    </row>
    <row r="196" ht="15.75" customHeight="1">
      <c r="A196" s="229" t="s">
        <v>1509</v>
      </c>
      <c r="B196" s="229" t="s">
        <v>1510</v>
      </c>
      <c r="C196" s="229" t="s">
        <v>1511</v>
      </c>
      <c r="D196" s="229" t="s">
        <v>1614</v>
      </c>
      <c r="E196" s="230" t="s">
        <v>1615</v>
      </c>
      <c r="F196" s="174"/>
      <c r="G196" s="231" t="s">
        <v>1616</v>
      </c>
      <c r="H196" s="174"/>
      <c r="I196" s="232" t="s">
        <v>1617</v>
      </c>
      <c r="J196" s="174"/>
      <c r="K196" s="233" t="s">
        <v>1618</v>
      </c>
      <c r="L196" s="174"/>
      <c r="M196" s="229" t="s">
        <v>1619</v>
      </c>
    </row>
    <row r="197" ht="15.75" customHeight="1">
      <c r="A197" s="234" t="s">
        <v>1509</v>
      </c>
      <c r="B197" s="234" t="s">
        <v>1510</v>
      </c>
      <c r="C197" s="234" t="s">
        <v>1511</v>
      </c>
      <c r="D197" s="234" t="s">
        <v>1614</v>
      </c>
      <c r="E197" s="235" t="s">
        <v>1620</v>
      </c>
      <c r="F197" s="235" t="s">
        <v>1621</v>
      </c>
      <c r="G197" s="236" t="s">
        <v>1622</v>
      </c>
      <c r="H197" s="236" t="s">
        <v>1623</v>
      </c>
      <c r="I197" s="237" t="s">
        <v>1624</v>
      </c>
      <c r="J197" s="237" t="s">
        <v>1625</v>
      </c>
      <c r="K197" s="238" t="s">
        <v>1626</v>
      </c>
      <c r="L197" s="238" t="s">
        <v>1627</v>
      </c>
      <c r="M197" s="234" t="s">
        <v>1619</v>
      </c>
    </row>
    <row r="198" ht="15.75" customHeight="1">
      <c r="A198" s="239">
        <v>1.0</v>
      </c>
      <c r="B198" s="240" t="s">
        <v>1826</v>
      </c>
      <c r="C198" s="239" t="s">
        <v>109</v>
      </c>
      <c r="D198" s="213">
        <v>1260.0</v>
      </c>
      <c r="E198" s="267"/>
      <c r="F198" s="268" t="str">
        <f t="shared" ref="F198:F200" si="43">IF(E198&lt;&gt;"",D198*E198,"")</f>
        <v/>
      </c>
      <c r="G198" s="186">
        <v>3250.0</v>
      </c>
      <c r="H198" s="243">
        <f t="shared" ref="H198:H200" si="44">IF(G198&lt;&gt;"",D198*G198,"")</f>
        <v>4095000</v>
      </c>
      <c r="I198" s="188">
        <v>3600.0</v>
      </c>
      <c r="J198" s="244">
        <f t="shared" ref="J198:J200" si="45">IF(I198&lt;&gt;"",D198*I198,"")</f>
        <v>4536000</v>
      </c>
      <c r="K198" s="245">
        <f t="shared" ref="K198:K201" si="46">IF(J198&lt;&gt;"",IF(H198&lt;&gt;"",J198-H198,IF(F198&lt;&gt;"",J198-F198,"")),"")</f>
        <v>441000</v>
      </c>
      <c r="L198" s="246">
        <f t="shared" ref="L198:L201" si="47">IF(K198&lt;&gt;"",IF(H198&lt;&gt;"",IF(H198&lt;&gt;0,K198/H198,""),IF(F198&lt;&gt;"",IF(F198&lt;&gt;0,K198/F198,""),"")),"")</f>
        <v>0.1076923077</v>
      </c>
      <c r="M198" s="247"/>
    </row>
    <row r="199" ht="15.75" customHeight="1">
      <c r="A199" s="248">
        <v>2.0</v>
      </c>
      <c r="B199" s="249" t="s">
        <v>1517</v>
      </c>
      <c r="C199" s="248" t="s">
        <v>261</v>
      </c>
      <c r="D199" s="216">
        <v>7.0</v>
      </c>
      <c r="E199" s="267"/>
      <c r="F199" s="268" t="str">
        <f t="shared" si="43"/>
        <v/>
      </c>
      <c r="G199" s="186">
        <v>590000.0</v>
      </c>
      <c r="H199" s="243">
        <f t="shared" si="44"/>
        <v>4130000</v>
      </c>
      <c r="I199" s="188">
        <v>610000.0</v>
      </c>
      <c r="J199" s="244">
        <f t="shared" si="45"/>
        <v>4270000</v>
      </c>
      <c r="K199" s="250">
        <f t="shared" si="46"/>
        <v>140000</v>
      </c>
      <c r="L199" s="251">
        <f t="shared" si="47"/>
        <v>0.03389830508</v>
      </c>
      <c r="M199" s="252"/>
    </row>
    <row r="200" ht="15.75" customHeight="1">
      <c r="A200" s="239">
        <v>3.0</v>
      </c>
      <c r="B200" s="240" t="s">
        <v>1827</v>
      </c>
      <c r="C200" s="239" t="s">
        <v>261</v>
      </c>
      <c r="D200" s="213">
        <v>9.0</v>
      </c>
      <c r="E200" s="267"/>
      <c r="F200" s="268" t="str">
        <f t="shared" si="43"/>
        <v/>
      </c>
      <c r="G200" s="186">
        <v>335000.0</v>
      </c>
      <c r="H200" s="263">
        <f t="shared" si="44"/>
        <v>3015000</v>
      </c>
      <c r="I200" s="188">
        <v>375000.0</v>
      </c>
      <c r="J200" s="264">
        <f t="shared" si="45"/>
        <v>3375000</v>
      </c>
      <c r="K200" s="245">
        <f t="shared" si="46"/>
        <v>360000</v>
      </c>
      <c r="L200" s="246">
        <f t="shared" si="47"/>
        <v>0.1194029851</v>
      </c>
      <c r="M200" s="247"/>
    </row>
    <row r="201" ht="15.75" customHeight="1">
      <c r="A201" s="325" t="s">
        <v>1828</v>
      </c>
      <c r="B201" s="206"/>
      <c r="C201" s="206"/>
      <c r="D201" s="174"/>
      <c r="E201" s="257"/>
      <c r="F201" s="258">
        <f>SUMIF(F198:F200,"&lt;&gt;",F198:F200)</f>
        <v>0</v>
      </c>
      <c r="G201" s="317"/>
      <c r="H201" s="260">
        <f>SUMIF(H198:H200,"&lt;&gt;",H198:H200)</f>
        <v>11240000</v>
      </c>
      <c r="I201" s="326"/>
      <c r="J201" s="260">
        <f>SUMIF(J198:J200,"&lt;&gt;",J198:J200)</f>
        <v>12181000</v>
      </c>
      <c r="K201" s="261">
        <f t="shared" si="46"/>
        <v>941000</v>
      </c>
      <c r="L201" s="262">
        <f t="shared" si="47"/>
        <v>0.08371886121</v>
      </c>
      <c r="M201" s="257"/>
    </row>
    <row r="202" ht="15.75" customHeight="1"/>
    <row r="203" ht="15.75" customHeight="1">
      <c r="A203" s="273" t="s">
        <v>1683</v>
      </c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6"/>
    </row>
    <row r="204" ht="15.75" customHeight="1">
      <c r="A204" s="229" t="s">
        <v>1509</v>
      </c>
      <c r="B204" s="229" t="s">
        <v>1510</v>
      </c>
      <c r="C204" s="229" t="s">
        <v>1511</v>
      </c>
      <c r="D204" s="229" t="s">
        <v>1614</v>
      </c>
      <c r="E204" s="230" t="s">
        <v>1615</v>
      </c>
      <c r="F204" s="174"/>
      <c r="G204" s="231" t="s">
        <v>1616</v>
      </c>
      <c r="H204" s="174"/>
      <c r="I204" s="232" t="s">
        <v>1617</v>
      </c>
      <c r="J204" s="174"/>
      <c r="K204" s="233" t="s">
        <v>1618</v>
      </c>
      <c r="L204" s="174"/>
      <c r="M204" s="229" t="s">
        <v>1619</v>
      </c>
    </row>
    <row r="205" ht="15.75" customHeight="1">
      <c r="A205" s="234" t="s">
        <v>1509</v>
      </c>
      <c r="B205" s="234" t="s">
        <v>1510</v>
      </c>
      <c r="C205" s="234" t="s">
        <v>1511</v>
      </c>
      <c r="D205" s="234" t="s">
        <v>1614</v>
      </c>
      <c r="E205" s="235" t="s">
        <v>1620</v>
      </c>
      <c r="F205" s="235" t="s">
        <v>1621</v>
      </c>
      <c r="G205" s="236" t="s">
        <v>1622</v>
      </c>
      <c r="H205" s="236" t="s">
        <v>1623</v>
      </c>
      <c r="I205" s="237" t="s">
        <v>1624</v>
      </c>
      <c r="J205" s="237" t="s">
        <v>1625</v>
      </c>
      <c r="K205" s="238" t="s">
        <v>1626</v>
      </c>
      <c r="L205" s="238" t="s">
        <v>1627</v>
      </c>
      <c r="M205" s="234" t="s">
        <v>1619</v>
      </c>
    </row>
    <row r="206" ht="15.75" customHeight="1">
      <c r="A206" s="248">
        <v>1.0</v>
      </c>
      <c r="B206" s="276" t="s">
        <v>1527</v>
      </c>
      <c r="C206" s="248" t="s">
        <v>109</v>
      </c>
      <c r="D206" s="277">
        <v>75.0</v>
      </c>
      <c r="E206" s="241" t="str">
        <f>'Daftar Harga'!D148</f>
        <v/>
      </c>
      <c r="F206" s="242" t="str">
        <f t="shared" ref="F206:F226" si="48">IF(E206&lt;&gt;"",D206*E206,"")</f>
        <v/>
      </c>
      <c r="G206" s="199">
        <v>14500.0</v>
      </c>
      <c r="H206" s="243">
        <f t="shared" ref="H206:H226" si="49">IF(G206&lt;&gt;"",D206*G206,"")</f>
        <v>1087500</v>
      </c>
      <c r="I206" s="200">
        <v>15500.0</v>
      </c>
      <c r="J206" s="253">
        <f t="shared" ref="J206:J226" si="50">IF(I206&lt;&gt;"",D206*I206,"")</f>
        <v>1162500</v>
      </c>
      <c r="K206" s="250">
        <f t="shared" ref="K206:K227" si="51">IF(J206&lt;&gt;"",IF(H206&lt;&gt;"",J206-H206,IF(F206&lt;&gt;"",J206-F206,"")),"")</f>
        <v>75000</v>
      </c>
      <c r="L206" s="251">
        <f t="shared" ref="L206:L227" si="52">IF(K206&lt;&gt;"",IF(H206&lt;&gt;"",IF(H206&lt;&gt;0,K206/H206,""),IF(F206&lt;&gt;"",IF(F206&lt;&gt;0,K206/F206,""),"")),"")</f>
        <v>0.06896551724</v>
      </c>
      <c r="M206" s="252"/>
    </row>
    <row r="207" ht="15.75" customHeight="1">
      <c r="A207" s="239">
        <v>2.0</v>
      </c>
      <c r="B207" s="275" t="s">
        <v>1368</v>
      </c>
      <c r="C207" s="280" t="s">
        <v>112</v>
      </c>
      <c r="D207" s="254">
        <v>1200.0</v>
      </c>
      <c r="E207" s="241" t="str">
        <f>'Daftar Harga'!D150</f>
        <v/>
      </c>
      <c r="F207" s="242" t="str">
        <f t="shared" si="48"/>
        <v/>
      </c>
      <c r="G207" s="199">
        <v>3500.0</v>
      </c>
      <c r="H207" s="243">
        <f t="shared" si="49"/>
        <v>4200000</v>
      </c>
      <c r="I207" s="200">
        <v>3700.0</v>
      </c>
      <c r="J207" s="253">
        <f t="shared" si="50"/>
        <v>4440000</v>
      </c>
      <c r="K207" s="245">
        <f t="shared" si="51"/>
        <v>240000</v>
      </c>
      <c r="L207" s="246">
        <f t="shared" si="52"/>
        <v>0.05714285714</v>
      </c>
      <c r="M207" s="247"/>
    </row>
    <row r="208" ht="15.75" customHeight="1">
      <c r="A208" s="248">
        <v>3.0</v>
      </c>
      <c r="B208" s="276" t="s">
        <v>1548</v>
      </c>
      <c r="C208" s="248" t="s">
        <v>109</v>
      </c>
      <c r="D208" s="277">
        <v>0.6</v>
      </c>
      <c r="E208" s="241" t="str">
        <f>'Daftar Harga'!D155</f>
        <v/>
      </c>
      <c r="F208" s="242" t="str">
        <f t="shared" si="48"/>
        <v/>
      </c>
      <c r="G208" s="199">
        <v>20000.0</v>
      </c>
      <c r="H208" s="243">
        <f t="shared" si="49"/>
        <v>12000</v>
      </c>
      <c r="I208" s="200">
        <v>20000.0</v>
      </c>
      <c r="J208" s="244">
        <f t="shared" si="50"/>
        <v>12000</v>
      </c>
      <c r="K208" s="250">
        <f t="shared" si="51"/>
        <v>0</v>
      </c>
      <c r="L208" s="251">
        <f t="shared" si="52"/>
        <v>0</v>
      </c>
      <c r="M208" s="252"/>
    </row>
    <row r="209" ht="15.75" customHeight="1">
      <c r="A209" s="239">
        <v>4.0</v>
      </c>
      <c r="B209" s="275" t="s">
        <v>1569</v>
      </c>
      <c r="C209" s="248" t="s">
        <v>109</v>
      </c>
      <c r="D209" s="254">
        <v>2.0</v>
      </c>
      <c r="E209" s="241" t="str">
        <f>'Daftar Harga'!D157</f>
        <v/>
      </c>
      <c r="F209" s="242" t="str">
        <f t="shared" si="48"/>
        <v/>
      </c>
      <c r="G209" s="199">
        <v>10000.0</v>
      </c>
      <c r="H209" s="243">
        <f t="shared" si="49"/>
        <v>20000</v>
      </c>
      <c r="I209" s="200">
        <v>16000.0</v>
      </c>
      <c r="J209" s="253">
        <f t="shared" si="50"/>
        <v>32000</v>
      </c>
      <c r="K209" s="245">
        <f t="shared" si="51"/>
        <v>12000</v>
      </c>
      <c r="L209" s="246">
        <f t="shared" si="52"/>
        <v>0.6</v>
      </c>
      <c r="M209" s="247"/>
    </row>
    <row r="210" ht="15.75" customHeight="1">
      <c r="A210" s="248">
        <v>5.0</v>
      </c>
      <c r="B210" s="249" t="s">
        <v>1641</v>
      </c>
      <c r="C210" s="248" t="s">
        <v>109</v>
      </c>
      <c r="D210" s="277">
        <v>2.0</v>
      </c>
      <c r="E210" s="241" t="str">
        <f>'Daftar Harga'!D158</f>
        <v/>
      </c>
      <c r="F210" s="242" t="str">
        <f t="shared" si="48"/>
        <v/>
      </c>
      <c r="G210" s="199">
        <v>45000.0</v>
      </c>
      <c r="H210" s="243">
        <f t="shared" si="49"/>
        <v>90000</v>
      </c>
      <c r="I210" s="188">
        <v>45000.0</v>
      </c>
      <c r="J210" s="253">
        <f t="shared" si="50"/>
        <v>90000</v>
      </c>
      <c r="K210" s="250">
        <f t="shared" si="51"/>
        <v>0</v>
      </c>
      <c r="L210" s="251">
        <f t="shared" si="52"/>
        <v>0</v>
      </c>
      <c r="M210" s="252"/>
    </row>
    <row r="211" ht="15.75" customHeight="1">
      <c r="A211" s="239">
        <v>6.0</v>
      </c>
      <c r="B211" s="275" t="s">
        <v>1584</v>
      </c>
      <c r="C211" s="248" t="s">
        <v>109</v>
      </c>
      <c r="D211" s="254">
        <v>2.0</v>
      </c>
      <c r="E211" s="241" t="str">
        <f>'Daftar Harga'!D172</f>
        <v/>
      </c>
      <c r="F211" s="242" t="str">
        <f t="shared" si="48"/>
        <v/>
      </c>
      <c r="G211" s="199">
        <v>42000.0</v>
      </c>
      <c r="H211" s="243">
        <f t="shared" si="49"/>
        <v>84000</v>
      </c>
      <c r="I211" s="200">
        <v>46000.0</v>
      </c>
      <c r="J211" s="253">
        <f t="shared" si="50"/>
        <v>92000</v>
      </c>
      <c r="K211" s="245">
        <f t="shared" si="51"/>
        <v>8000</v>
      </c>
      <c r="L211" s="246">
        <f t="shared" si="52"/>
        <v>0.09523809524</v>
      </c>
      <c r="M211" s="247"/>
    </row>
    <row r="212" ht="15.75" customHeight="1">
      <c r="A212" s="248">
        <v>7.0</v>
      </c>
      <c r="B212" s="276" t="s">
        <v>1608</v>
      </c>
      <c r="C212" s="248" t="s">
        <v>109</v>
      </c>
      <c r="D212" s="277">
        <v>10.0</v>
      </c>
      <c r="E212" s="241" t="str">
        <f>'Daftar Harga'!D175</f>
        <v/>
      </c>
      <c r="F212" s="242" t="str">
        <f t="shared" si="48"/>
        <v/>
      </c>
      <c r="G212" s="199">
        <v>12000.0</v>
      </c>
      <c r="H212" s="243">
        <f t="shared" si="49"/>
        <v>120000</v>
      </c>
      <c r="I212" s="200">
        <v>15000.0</v>
      </c>
      <c r="J212" s="253">
        <f t="shared" si="50"/>
        <v>150000</v>
      </c>
      <c r="K212" s="250">
        <f t="shared" si="51"/>
        <v>30000</v>
      </c>
      <c r="L212" s="251">
        <f t="shared" si="52"/>
        <v>0.25</v>
      </c>
      <c r="M212" s="252"/>
    </row>
    <row r="213" ht="15.75" customHeight="1">
      <c r="A213" s="239">
        <v>8.0</v>
      </c>
      <c r="B213" s="275" t="s">
        <v>1685</v>
      </c>
      <c r="C213" s="248" t="s">
        <v>109</v>
      </c>
      <c r="D213" s="254">
        <v>5.0</v>
      </c>
      <c r="E213" s="241" t="str">
        <f>'Daftar Harga'!D180</f>
        <v/>
      </c>
      <c r="F213" s="242" t="str">
        <f t="shared" si="48"/>
        <v/>
      </c>
      <c r="G213" s="199">
        <v>50000.0</v>
      </c>
      <c r="H213" s="243">
        <f t="shared" si="49"/>
        <v>250000</v>
      </c>
      <c r="I213" s="200">
        <v>65000.0</v>
      </c>
      <c r="J213" s="253">
        <f t="shared" si="50"/>
        <v>325000</v>
      </c>
      <c r="K213" s="245">
        <f t="shared" si="51"/>
        <v>75000</v>
      </c>
      <c r="L213" s="246">
        <f t="shared" si="52"/>
        <v>0.3</v>
      </c>
      <c r="M213" s="247"/>
    </row>
    <row r="214" ht="15.75" customHeight="1">
      <c r="A214" s="248">
        <v>9.0</v>
      </c>
      <c r="B214" s="276" t="s">
        <v>1829</v>
      </c>
      <c r="C214" s="248" t="s">
        <v>109</v>
      </c>
      <c r="D214" s="277">
        <v>1.0</v>
      </c>
      <c r="E214" s="241" t="str">
        <f>'Daftar Harga'!D185</f>
        <v/>
      </c>
      <c r="F214" s="242" t="str">
        <f t="shared" si="48"/>
        <v/>
      </c>
      <c r="G214" s="199">
        <v>75000.0</v>
      </c>
      <c r="H214" s="243">
        <f t="shared" si="49"/>
        <v>75000</v>
      </c>
      <c r="I214" s="200">
        <v>80000.0</v>
      </c>
      <c r="J214" s="253">
        <f t="shared" si="50"/>
        <v>80000</v>
      </c>
      <c r="K214" s="250">
        <f t="shared" si="51"/>
        <v>5000</v>
      </c>
      <c r="L214" s="251">
        <f t="shared" si="52"/>
        <v>0.06666666667</v>
      </c>
      <c r="M214" s="252"/>
    </row>
    <row r="215" ht="15.75" customHeight="1">
      <c r="A215" s="239">
        <v>10.0</v>
      </c>
      <c r="B215" s="275" t="s">
        <v>1830</v>
      </c>
      <c r="C215" s="248" t="s">
        <v>109</v>
      </c>
      <c r="D215" s="254">
        <v>1.0</v>
      </c>
      <c r="E215" s="267" t="str">
        <f>'Daftar Harga'!D186</f>
        <v/>
      </c>
      <c r="F215" s="268" t="str">
        <f t="shared" si="48"/>
        <v/>
      </c>
      <c r="G215" s="199">
        <v>60000.0</v>
      </c>
      <c r="H215" s="243">
        <f t="shared" si="49"/>
        <v>60000</v>
      </c>
      <c r="I215" s="200">
        <v>65000.0</v>
      </c>
      <c r="J215" s="253">
        <f t="shared" si="50"/>
        <v>65000</v>
      </c>
      <c r="K215" s="250">
        <f t="shared" si="51"/>
        <v>5000</v>
      </c>
      <c r="L215" s="246">
        <f t="shared" si="52"/>
        <v>0.08333333333</v>
      </c>
      <c r="M215" s="247"/>
    </row>
    <row r="216" ht="15.75" customHeight="1">
      <c r="A216" s="248">
        <v>11.0</v>
      </c>
      <c r="B216" s="276" t="s">
        <v>1640</v>
      </c>
      <c r="C216" s="248" t="s">
        <v>109</v>
      </c>
      <c r="D216" s="277">
        <v>3.0</v>
      </c>
      <c r="E216" s="241" t="str">
        <f>'Daftar Harga'!D195</f>
        <v/>
      </c>
      <c r="F216" s="242" t="str">
        <f t="shared" si="48"/>
        <v/>
      </c>
      <c r="G216" s="199">
        <v>45000.0</v>
      </c>
      <c r="H216" s="243">
        <f t="shared" si="49"/>
        <v>135000</v>
      </c>
      <c r="I216" s="200">
        <v>54000.0</v>
      </c>
      <c r="J216" s="253">
        <f t="shared" si="50"/>
        <v>162000</v>
      </c>
      <c r="K216" s="250">
        <f t="shared" si="51"/>
        <v>27000</v>
      </c>
      <c r="L216" s="251">
        <f t="shared" si="52"/>
        <v>0.2</v>
      </c>
      <c r="M216" s="252"/>
    </row>
    <row r="217" ht="15.75" customHeight="1">
      <c r="A217" s="239">
        <v>12.0</v>
      </c>
      <c r="B217" s="275" t="s">
        <v>1606</v>
      </c>
      <c r="C217" s="248" t="s">
        <v>109</v>
      </c>
      <c r="D217" s="254">
        <v>0.25</v>
      </c>
      <c r="E217" s="241" t="str">
        <f>'Daftar Harga'!D203</f>
        <v/>
      </c>
      <c r="F217" s="242" t="str">
        <f t="shared" si="48"/>
        <v/>
      </c>
      <c r="G217" s="199">
        <v>24000.0</v>
      </c>
      <c r="H217" s="243">
        <f t="shared" si="49"/>
        <v>6000</v>
      </c>
      <c r="I217" s="200">
        <v>25000.0</v>
      </c>
      <c r="J217" s="253">
        <f t="shared" si="50"/>
        <v>6250</v>
      </c>
      <c r="K217" s="250">
        <f t="shared" si="51"/>
        <v>250</v>
      </c>
      <c r="L217" s="246">
        <f t="shared" si="52"/>
        <v>0.04166666667</v>
      </c>
      <c r="M217" s="247"/>
    </row>
    <row r="218" ht="15.75" customHeight="1">
      <c r="A218" s="248">
        <v>13.0</v>
      </c>
      <c r="B218" s="276" t="s">
        <v>1811</v>
      </c>
      <c r="C218" s="248" t="s">
        <v>109</v>
      </c>
      <c r="D218" s="277">
        <v>3.0</v>
      </c>
      <c r="E218" s="241" t="str">
        <f>'Daftar Harga'!D216</f>
        <v/>
      </c>
      <c r="F218" s="242" t="str">
        <f t="shared" si="48"/>
        <v/>
      </c>
      <c r="G218" s="199">
        <v>42000.0</v>
      </c>
      <c r="H218" s="243">
        <f t="shared" si="49"/>
        <v>126000</v>
      </c>
      <c r="I218" s="200">
        <v>46000.0</v>
      </c>
      <c r="J218" s="253">
        <f t="shared" si="50"/>
        <v>138000</v>
      </c>
      <c r="K218" s="250">
        <f t="shared" si="51"/>
        <v>12000</v>
      </c>
      <c r="L218" s="251">
        <f t="shared" si="52"/>
        <v>0.09523809524</v>
      </c>
      <c r="M218" s="252"/>
    </row>
    <row r="219" ht="15.75" customHeight="1">
      <c r="A219" s="239">
        <v>14.0</v>
      </c>
      <c r="B219" s="276" t="s">
        <v>1655</v>
      </c>
      <c r="C219" s="248" t="s">
        <v>109</v>
      </c>
      <c r="D219" s="277">
        <v>3.0</v>
      </c>
      <c r="E219" s="241" t="str">
        <f>'Daftar Harga'!D224</f>
        <v/>
      </c>
      <c r="F219" s="242" t="str">
        <f t="shared" si="48"/>
        <v/>
      </c>
      <c r="G219" s="199">
        <v>18500.0</v>
      </c>
      <c r="H219" s="243">
        <f t="shared" si="49"/>
        <v>55500</v>
      </c>
      <c r="I219" s="200">
        <v>20000.0</v>
      </c>
      <c r="J219" s="253">
        <f t="shared" si="50"/>
        <v>60000</v>
      </c>
      <c r="K219" s="250">
        <f t="shared" si="51"/>
        <v>4500</v>
      </c>
      <c r="L219" s="251">
        <f t="shared" si="52"/>
        <v>0.08108108108</v>
      </c>
      <c r="M219" s="252"/>
    </row>
    <row r="220" ht="15.75" customHeight="1">
      <c r="A220" s="248">
        <v>15.0</v>
      </c>
      <c r="B220" s="275" t="s">
        <v>1578</v>
      </c>
      <c r="C220" s="280" t="s">
        <v>1689</v>
      </c>
      <c r="D220" s="254">
        <v>84.0</v>
      </c>
      <c r="E220" s="241" t="str">
        <f>'Daftar Harga'!D225</f>
        <v/>
      </c>
      <c r="F220" s="242" t="str">
        <f t="shared" si="48"/>
        <v/>
      </c>
      <c r="G220" s="199">
        <v>21500.0</v>
      </c>
      <c r="H220" s="243">
        <f t="shared" si="49"/>
        <v>1806000</v>
      </c>
      <c r="I220" s="200">
        <v>23000.0</v>
      </c>
      <c r="J220" s="253">
        <f t="shared" si="50"/>
        <v>1932000</v>
      </c>
      <c r="K220" s="250">
        <f t="shared" si="51"/>
        <v>126000</v>
      </c>
      <c r="L220" s="246">
        <f t="shared" si="52"/>
        <v>0.06976744186</v>
      </c>
      <c r="M220" s="247"/>
    </row>
    <row r="221" ht="15.75" customHeight="1">
      <c r="A221" s="239">
        <v>16.0</v>
      </c>
      <c r="B221" s="276" t="s">
        <v>1607</v>
      </c>
      <c r="C221" s="248" t="s">
        <v>109</v>
      </c>
      <c r="D221" s="277">
        <v>20.0</v>
      </c>
      <c r="E221" s="241" t="str">
        <f>'Daftar Harga'!D229</f>
        <v/>
      </c>
      <c r="F221" s="242" t="str">
        <f t="shared" si="48"/>
        <v/>
      </c>
      <c r="G221" s="199">
        <v>8000.0</v>
      </c>
      <c r="H221" s="243">
        <f t="shared" si="49"/>
        <v>160000</v>
      </c>
      <c r="I221" s="200">
        <v>12000.0</v>
      </c>
      <c r="J221" s="253">
        <f t="shared" si="50"/>
        <v>240000</v>
      </c>
      <c r="K221" s="250">
        <f t="shared" si="51"/>
        <v>80000</v>
      </c>
      <c r="L221" s="251">
        <f t="shared" si="52"/>
        <v>0.5</v>
      </c>
      <c r="M221" s="252"/>
    </row>
    <row r="222" ht="15.75" customHeight="1">
      <c r="A222" s="248">
        <v>17.0</v>
      </c>
      <c r="B222" s="275" t="s">
        <v>1570</v>
      </c>
      <c r="C222" s="248" t="s">
        <v>109</v>
      </c>
      <c r="D222" s="254">
        <v>30.0</v>
      </c>
      <c r="E222" s="267" t="str">
        <f>'Daftar Harga'!D231</f>
        <v/>
      </c>
      <c r="F222" s="268" t="str">
        <f t="shared" si="48"/>
        <v/>
      </c>
      <c r="G222" s="199">
        <v>7000.0</v>
      </c>
      <c r="H222" s="243">
        <f t="shared" si="49"/>
        <v>210000</v>
      </c>
      <c r="I222" s="200">
        <v>10000.0</v>
      </c>
      <c r="J222" s="253">
        <f t="shared" si="50"/>
        <v>300000</v>
      </c>
      <c r="K222" s="250">
        <f t="shared" si="51"/>
        <v>90000</v>
      </c>
      <c r="L222" s="246">
        <f t="shared" si="52"/>
        <v>0.4285714286</v>
      </c>
      <c r="M222" s="247"/>
    </row>
    <row r="223" ht="15.75" customHeight="1">
      <c r="A223" s="239">
        <v>18.0</v>
      </c>
      <c r="B223" s="275" t="s">
        <v>1344</v>
      </c>
      <c r="C223" s="280" t="s">
        <v>69</v>
      </c>
      <c r="D223" s="254">
        <v>1210.0</v>
      </c>
      <c r="E223" s="241" t="str">
        <f>'Daftar Harga'!D244</f>
        <v/>
      </c>
      <c r="F223" s="242" t="str">
        <f t="shared" si="48"/>
        <v/>
      </c>
      <c r="G223" s="199">
        <v>480.0</v>
      </c>
      <c r="H223" s="243">
        <f t="shared" si="49"/>
        <v>580800</v>
      </c>
      <c r="I223" s="200">
        <v>700.0</v>
      </c>
      <c r="J223" s="253">
        <f t="shared" si="50"/>
        <v>847000</v>
      </c>
      <c r="K223" s="245">
        <f t="shared" si="51"/>
        <v>266200</v>
      </c>
      <c r="L223" s="246">
        <f t="shared" si="52"/>
        <v>0.4583333333</v>
      </c>
      <c r="M223" s="247"/>
    </row>
    <row r="224" ht="15.75" customHeight="1">
      <c r="A224" s="248">
        <v>19.0</v>
      </c>
      <c r="B224" s="276" t="s">
        <v>1605</v>
      </c>
      <c r="C224" s="248" t="s">
        <v>109</v>
      </c>
      <c r="D224" s="277">
        <v>10.0</v>
      </c>
      <c r="E224" s="241" t="str">
        <f>'Daftar Harga'!D246</f>
        <v/>
      </c>
      <c r="F224" s="242" t="str">
        <f t="shared" si="48"/>
        <v/>
      </c>
      <c r="G224" s="199">
        <v>11250.0</v>
      </c>
      <c r="H224" s="243">
        <f t="shared" si="49"/>
        <v>112500</v>
      </c>
      <c r="I224" s="200">
        <v>12000.0</v>
      </c>
      <c r="J224" s="253">
        <f t="shared" si="50"/>
        <v>120000</v>
      </c>
      <c r="K224" s="250">
        <f t="shared" si="51"/>
        <v>7500</v>
      </c>
      <c r="L224" s="251">
        <f t="shared" si="52"/>
        <v>0.06666666667</v>
      </c>
      <c r="M224" s="252"/>
    </row>
    <row r="225" ht="15.75" customHeight="1">
      <c r="A225" s="239">
        <v>20.0</v>
      </c>
      <c r="B225" s="275" t="s">
        <v>1112</v>
      </c>
      <c r="C225" s="248" t="s">
        <v>109</v>
      </c>
      <c r="D225" s="254">
        <v>144.0</v>
      </c>
      <c r="E225" s="241" t="str">
        <f>'Daftar Harga'!D247</f>
        <v/>
      </c>
      <c r="F225" s="242" t="str">
        <f t="shared" si="48"/>
        <v/>
      </c>
      <c r="G225" s="199">
        <v>19000.0</v>
      </c>
      <c r="H225" s="243">
        <f t="shared" si="49"/>
        <v>2736000</v>
      </c>
      <c r="I225" s="200">
        <v>19000.0</v>
      </c>
      <c r="J225" s="253">
        <f t="shared" si="50"/>
        <v>2736000</v>
      </c>
      <c r="K225" s="250">
        <f t="shared" si="51"/>
        <v>0</v>
      </c>
      <c r="L225" s="251">
        <f t="shared" si="52"/>
        <v>0</v>
      </c>
      <c r="M225" s="247"/>
    </row>
    <row r="226" ht="15.75" customHeight="1">
      <c r="A226" s="248">
        <v>21.0</v>
      </c>
      <c r="B226" s="276" t="s">
        <v>1831</v>
      </c>
      <c r="C226" s="280" t="s">
        <v>69</v>
      </c>
      <c r="D226" s="277">
        <v>108.0</v>
      </c>
      <c r="E226" s="241" t="str">
        <f>'Daftar Harga'!D250</f>
        <v/>
      </c>
      <c r="F226" s="242" t="str">
        <f t="shared" si="48"/>
        <v/>
      </c>
      <c r="G226" s="199">
        <v>3230.0</v>
      </c>
      <c r="H226" s="243">
        <f t="shared" si="49"/>
        <v>348840</v>
      </c>
      <c r="I226" s="200">
        <v>3600.0</v>
      </c>
      <c r="J226" s="253">
        <f t="shared" si="50"/>
        <v>388800</v>
      </c>
      <c r="K226" s="250">
        <f t="shared" si="51"/>
        <v>39960</v>
      </c>
      <c r="L226" s="251">
        <f t="shared" si="52"/>
        <v>0.1145510836</v>
      </c>
      <c r="M226" s="252"/>
    </row>
    <row r="227" ht="15.75" customHeight="1">
      <c r="A227" s="272" t="s">
        <v>1694</v>
      </c>
      <c r="B227" s="206"/>
      <c r="C227" s="206"/>
      <c r="D227" s="174"/>
      <c r="E227" s="257"/>
      <c r="F227" s="258">
        <f>SUMIF(F206:F226,"&lt;&gt;",F206:F226)</f>
        <v>0</v>
      </c>
      <c r="G227" s="317"/>
      <c r="H227" s="260">
        <f>SUMIF(H206:H226,"&lt;&gt;",H206:H226)</f>
        <v>12275140</v>
      </c>
      <c r="I227" s="322"/>
      <c r="J227" s="260">
        <f>SUMIF(J206:J226,"&lt;&gt;",J206:J226)</f>
        <v>13378550</v>
      </c>
      <c r="K227" s="261">
        <f t="shared" si="51"/>
        <v>1103410</v>
      </c>
      <c r="L227" s="262">
        <f t="shared" si="52"/>
        <v>0.08988980981</v>
      </c>
      <c r="M227" s="257"/>
    </row>
    <row r="228" ht="15.75" customHeight="1"/>
    <row r="229" ht="15.75" customHeight="1">
      <c r="A229" s="273" t="s">
        <v>1695</v>
      </c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6"/>
    </row>
    <row r="230">
      <c r="A230" s="229" t="s">
        <v>1509</v>
      </c>
      <c r="B230" s="229" t="s">
        <v>1510</v>
      </c>
      <c r="C230" s="229" t="s">
        <v>1511</v>
      </c>
      <c r="D230" s="229" t="s">
        <v>1614</v>
      </c>
      <c r="E230" s="230" t="s">
        <v>1615</v>
      </c>
      <c r="F230" s="174"/>
      <c r="G230" s="231" t="s">
        <v>1616</v>
      </c>
      <c r="H230" s="174"/>
      <c r="I230" s="232" t="s">
        <v>1617</v>
      </c>
      <c r="J230" s="174"/>
      <c r="K230" s="233" t="s">
        <v>1618</v>
      </c>
      <c r="L230" s="174"/>
      <c r="M230" s="229" t="s">
        <v>1619</v>
      </c>
    </row>
    <row r="231" ht="15.75" customHeight="1">
      <c r="A231" s="234" t="s">
        <v>1509</v>
      </c>
      <c r="B231" s="234" t="s">
        <v>1510</v>
      </c>
      <c r="C231" s="234" t="s">
        <v>1511</v>
      </c>
      <c r="D231" s="234" t="s">
        <v>1614</v>
      </c>
      <c r="E231" s="235" t="s">
        <v>1620</v>
      </c>
      <c r="F231" s="235" t="s">
        <v>1621</v>
      </c>
      <c r="G231" s="236" t="s">
        <v>1622</v>
      </c>
      <c r="H231" s="236" t="s">
        <v>1623</v>
      </c>
      <c r="I231" s="237" t="s">
        <v>1624</v>
      </c>
      <c r="J231" s="237" t="s">
        <v>1625</v>
      </c>
      <c r="K231" s="238" t="s">
        <v>1626</v>
      </c>
      <c r="L231" s="238" t="s">
        <v>1627</v>
      </c>
      <c r="M231" s="234" t="s">
        <v>1619</v>
      </c>
    </row>
    <row r="232" ht="15.75" customHeight="1">
      <c r="A232" s="248">
        <v>1.0</v>
      </c>
      <c r="B232" s="276" t="s">
        <v>1832</v>
      </c>
      <c r="C232" s="280" t="s">
        <v>69</v>
      </c>
      <c r="D232" s="277">
        <v>155.0</v>
      </c>
      <c r="E232" s="241" t="str">
        <f>'Daftar Harga'!D174</f>
        <v/>
      </c>
      <c r="F232" s="242" t="str">
        <f t="shared" ref="F232:F251" si="53">IF(E232&lt;&gt;"",D232*E232,"")</f>
        <v/>
      </c>
      <c r="G232" s="199">
        <v>2450.0</v>
      </c>
      <c r="H232" s="243">
        <f t="shared" ref="H232:H254" si="54">IF(G232&lt;&gt;"",D232*G232,"")</f>
        <v>379750</v>
      </c>
      <c r="I232" s="200">
        <v>3500.0</v>
      </c>
      <c r="J232" s="253">
        <f t="shared" ref="J232:J254" si="55">IF(I232&lt;&gt;"",D232*I232,"")</f>
        <v>542500</v>
      </c>
      <c r="K232" s="250">
        <f t="shared" ref="K232:K255" si="56">IF(J232&lt;&gt;"",IF(H232&lt;&gt;"",J232-H232,IF(F232&lt;&gt;"",J232-F232,"")),"")</f>
        <v>162750</v>
      </c>
      <c r="L232" s="251">
        <f t="shared" ref="L232:L255" si="57">IF(K232&lt;&gt;"",IF(H232&lt;&gt;"",IF(H232&lt;&gt;0,K232/H232,""),IF(F232&lt;&gt;"",IF(F232&lt;&gt;0,K232/F232,""),"")),"")</f>
        <v>0.4285714286</v>
      </c>
      <c r="M232" s="252"/>
    </row>
    <row r="233" ht="15.75" customHeight="1">
      <c r="A233" s="239">
        <v>2.0</v>
      </c>
      <c r="B233" s="275" t="s">
        <v>1655</v>
      </c>
      <c r="C233" s="280" t="s">
        <v>109</v>
      </c>
      <c r="D233" s="254">
        <v>25.0</v>
      </c>
      <c r="E233" s="241" t="str">
        <f>'Daftar Harga'!D176</f>
        <v/>
      </c>
      <c r="F233" s="242" t="str">
        <f t="shared" si="53"/>
        <v/>
      </c>
      <c r="G233" s="199">
        <v>18500.0</v>
      </c>
      <c r="H233" s="243">
        <f t="shared" si="54"/>
        <v>462500</v>
      </c>
      <c r="I233" s="200">
        <v>20000.0</v>
      </c>
      <c r="J233" s="253">
        <f t="shared" si="55"/>
        <v>500000</v>
      </c>
      <c r="K233" s="245">
        <f t="shared" si="56"/>
        <v>37500</v>
      </c>
      <c r="L233" s="246">
        <f t="shared" si="57"/>
        <v>0.08108108108</v>
      </c>
      <c r="M233" s="247"/>
    </row>
    <row r="234" ht="15.75" customHeight="1">
      <c r="A234" s="248">
        <v>3.0</v>
      </c>
      <c r="B234" s="276" t="s">
        <v>1814</v>
      </c>
      <c r="C234" s="248" t="s">
        <v>109</v>
      </c>
      <c r="D234" s="277">
        <v>0.1</v>
      </c>
      <c r="E234" s="241" t="str">
        <f>'Daftar Harga'!D181</f>
        <v/>
      </c>
      <c r="F234" s="242" t="str">
        <f t="shared" si="53"/>
        <v/>
      </c>
      <c r="G234" s="199">
        <v>20000.0</v>
      </c>
      <c r="H234" s="243">
        <f t="shared" si="54"/>
        <v>2000</v>
      </c>
      <c r="I234" s="200">
        <v>35000.0</v>
      </c>
      <c r="J234" s="244">
        <f t="shared" si="55"/>
        <v>3500</v>
      </c>
      <c r="K234" s="250">
        <f t="shared" si="56"/>
        <v>1500</v>
      </c>
      <c r="L234" s="251">
        <f t="shared" si="57"/>
        <v>0.75</v>
      </c>
      <c r="M234" s="252"/>
    </row>
    <row r="235" ht="15.75" customHeight="1">
      <c r="A235" s="239">
        <v>4.0</v>
      </c>
      <c r="B235" s="275" t="s">
        <v>1342</v>
      </c>
      <c r="C235" s="248" t="s">
        <v>109</v>
      </c>
      <c r="D235" s="254">
        <v>35.0</v>
      </c>
      <c r="E235" s="241" t="str">
        <f>'Daftar Harga'!D183</f>
        <v/>
      </c>
      <c r="F235" s="242" t="str">
        <f t="shared" si="53"/>
        <v/>
      </c>
      <c r="G235" s="199">
        <v>27500.0</v>
      </c>
      <c r="H235" s="243">
        <f t="shared" si="54"/>
        <v>962500</v>
      </c>
      <c r="I235" s="200">
        <v>30000.0</v>
      </c>
      <c r="J235" s="253">
        <f t="shared" si="55"/>
        <v>1050000</v>
      </c>
      <c r="K235" s="245">
        <f t="shared" si="56"/>
        <v>87500</v>
      </c>
      <c r="L235" s="246">
        <f t="shared" si="57"/>
        <v>0.09090909091</v>
      </c>
      <c r="M235" s="247"/>
    </row>
    <row r="236" ht="15.75" customHeight="1">
      <c r="A236" s="248">
        <v>5.0</v>
      </c>
      <c r="B236" s="276" t="s">
        <v>1563</v>
      </c>
      <c r="C236" s="248" t="s">
        <v>109</v>
      </c>
      <c r="D236" s="277">
        <v>1.0</v>
      </c>
      <c r="E236" s="241" t="str">
        <f>'Daftar Harga'!D184</f>
        <v/>
      </c>
      <c r="F236" s="242" t="str">
        <f t="shared" si="53"/>
        <v/>
      </c>
      <c r="G236" s="199">
        <v>46000.0</v>
      </c>
      <c r="H236" s="243">
        <f t="shared" si="54"/>
        <v>46000</v>
      </c>
      <c r="I236" s="200">
        <v>55000.0</v>
      </c>
      <c r="J236" s="253">
        <f t="shared" si="55"/>
        <v>55000</v>
      </c>
      <c r="K236" s="250">
        <f t="shared" si="56"/>
        <v>9000</v>
      </c>
      <c r="L236" s="251">
        <f t="shared" si="57"/>
        <v>0.1956521739</v>
      </c>
      <c r="M236" s="252"/>
    </row>
    <row r="237" ht="15.75" customHeight="1">
      <c r="A237" s="239">
        <v>6.0</v>
      </c>
      <c r="B237" s="275" t="s">
        <v>1640</v>
      </c>
      <c r="C237" s="248" t="s">
        <v>109</v>
      </c>
      <c r="D237" s="254">
        <v>2.0</v>
      </c>
      <c r="E237" s="241" t="str">
        <f>'Daftar Harga'!D198</f>
        <v/>
      </c>
      <c r="F237" s="242" t="str">
        <f t="shared" si="53"/>
        <v/>
      </c>
      <c r="G237" s="199">
        <v>45078.0</v>
      </c>
      <c r="H237" s="243">
        <f t="shared" si="54"/>
        <v>90156</v>
      </c>
      <c r="I237" s="200">
        <v>54000.0</v>
      </c>
      <c r="J237" s="253">
        <f t="shared" si="55"/>
        <v>108000</v>
      </c>
      <c r="K237" s="245">
        <f t="shared" si="56"/>
        <v>17844</v>
      </c>
      <c r="L237" s="246">
        <f t="shared" si="57"/>
        <v>0.1979235991</v>
      </c>
      <c r="M237" s="247"/>
    </row>
    <row r="238" ht="15.75" customHeight="1">
      <c r="A238" s="248">
        <v>7.0</v>
      </c>
      <c r="B238" s="276" t="s">
        <v>1641</v>
      </c>
      <c r="C238" s="248" t="s">
        <v>109</v>
      </c>
      <c r="D238" s="277">
        <v>1.0</v>
      </c>
      <c r="E238" s="241" t="str">
        <f>'Daftar Harga'!D201</f>
        <v/>
      </c>
      <c r="F238" s="242" t="str">
        <f t="shared" si="53"/>
        <v/>
      </c>
      <c r="G238" s="199">
        <v>45000.0</v>
      </c>
      <c r="H238" s="243">
        <f t="shared" si="54"/>
        <v>45000</v>
      </c>
      <c r="I238" s="200">
        <v>45000.0</v>
      </c>
      <c r="J238" s="253">
        <f t="shared" si="55"/>
        <v>45000</v>
      </c>
      <c r="K238" s="250">
        <f t="shared" si="56"/>
        <v>0</v>
      </c>
      <c r="L238" s="251">
        <f t="shared" si="57"/>
        <v>0</v>
      </c>
      <c r="M238" s="252"/>
    </row>
    <row r="239" ht="15.75" customHeight="1">
      <c r="A239" s="239">
        <v>8.0</v>
      </c>
      <c r="B239" s="275" t="s">
        <v>1679</v>
      </c>
      <c r="C239" s="248" t="s">
        <v>109</v>
      </c>
      <c r="D239" s="254">
        <v>0.1</v>
      </c>
      <c r="E239" s="241" t="str">
        <f>'Daftar Harga'!D206</f>
        <v/>
      </c>
      <c r="F239" s="242" t="str">
        <f t="shared" si="53"/>
        <v/>
      </c>
      <c r="G239" s="199">
        <v>28000.0</v>
      </c>
      <c r="H239" s="243">
        <f t="shared" si="54"/>
        <v>2800</v>
      </c>
      <c r="I239" s="200">
        <v>30000.0</v>
      </c>
      <c r="J239" s="253">
        <f t="shared" si="55"/>
        <v>3000</v>
      </c>
      <c r="K239" s="245">
        <f t="shared" si="56"/>
        <v>200</v>
      </c>
      <c r="L239" s="246">
        <f t="shared" si="57"/>
        <v>0.07142857143</v>
      </c>
      <c r="M239" s="247"/>
    </row>
    <row r="240" ht="15.75" customHeight="1">
      <c r="A240" s="248">
        <v>9.0</v>
      </c>
      <c r="B240" s="276" t="s">
        <v>1595</v>
      </c>
      <c r="C240" s="248" t="s">
        <v>109</v>
      </c>
      <c r="D240" s="277">
        <v>0.25</v>
      </c>
      <c r="E240" s="241" t="str">
        <f>'Daftar Harga'!D211</f>
        <v/>
      </c>
      <c r="F240" s="242" t="str">
        <f t="shared" si="53"/>
        <v/>
      </c>
      <c r="G240" s="199">
        <v>12000.0</v>
      </c>
      <c r="H240" s="243">
        <f t="shared" si="54"/>
        <v>3000</v>
      </c>
      <c r="I240" s="200">
        <v>15000.0</v>
      </c>
      <c r="J240" s="253">
        <f t="shared" si="55"/>
        <v>3750</v>
      </c>
      <c r="K240" s="250">
        <f t="shared" si="56"/>
        <v>750</v>
      </c>
      <c r="L240" s="251">
        <f t="shared" si="57"/>
        <v>0.25</v>
      </c>
      <c r="M240" s="252"/>
    </row>
    <row r="241" ht="15.75" customHeight="1">
      <c r="A241" s="239">
        <v>10.0</v>
      </c>
      <c r="B241" s="275" t="s">
        <v>1643</v>
      </c>
      <c r="C241" s="280" t="s">
        <v>1676</v>
      </c>
      <c r="D241" s="254">
        <v>1.0</v>
      </c>
      <c r="E241" s="267" t="str">
        <f>'Daftar Harga'!D212</f>
        <v/>
      </c>
      <c r="F241" s="268" t="str">
        <f t="shared" si="53"/>
        <v/>
      </c>
      <c r="G241" s="199">
        <v>190000.0</v>
      </c>
      <c r="H241" s="243">
        <f t="shared" si="54"/>
        <v>190000</v>
      </c>
      <c r="I241" s="200">
        <v>210000.0</v>
      </c>
      <c r="J241" s="253">
        <f t="shared" si="55"/>
        <v>210000</v>
      </c>
      <c r="K241" s="250">
        <f t="shared" si="56"/>
        <v>20000</v>
      </c>
      <c r="L241" s="246">
        <f t="shared" si="57"/>
        <v>0.1052631579</v>
      </c>
      <c r="M241" s="247"/>
    </row>
    <row r="242" ht="15.75" customHeight="1">
      <c r="A242" s="248">
        <v>11.0</v>
      </c>
      <c r="B242" s="276" t="s">
        <v>1578</v>
      </c>
      <c r="C242" s="280" t="s">
        <v>1579</v>
      </c>
      <c r="D242" s="277">
        <v>38.0</v>
      </c>
      <c r="E242" s="241" t="str">
        <f>'Daftar Harga'!D221</f>
        <v/>
      </c>
      <c r="F242" s="242" t="str">
        <f t="shared" si="53"/>
        <v/>
      </c>
      <c r="G242" s="199">
        <v>21500.0</v>
      </c>
      <c r="H242" s="243">
        <f t="shared" si="54"/>
        <v>817000</v>
      </c>
      <c r="I242" s="200">
        <v>24000.0</v>
      </c>
      <c r="J242" s="253">
        <f t="shared" si="55"/>
        <v>912000</v>
      </c>
      <c r="K242" s="250">
        <f t="shared" si="56"/>
        <v>95000</v>
      </c>
      <c r="L242" s="251">
        <f t="shared" si="57"/>
        <v>0.1162790698</v>
      </c>
      <c r="M242" s="252"/>
    </row>
    <row r="243" ht="15.75" customHeight="1">
      <c r="A243" s="239">
        <v>12.0</v>
      </c>
      <c r="B243" s="275" t="s">
        <v>1609</v>
      </c>
      <c r="C243" s="248" t="s">
        <v>109</v>
      </c>
      <c r="D243" s="254">
        <v>20.0</v>
      </c>
      <c r="E243" s="241" t="str">
        <f>'Daftar Harga'!D229</f>
        <v/>
      </c>
      <c r="F243" s="242" t="str">
        <f t="shared" si="53"/>
        <v/>
      </c>
      <c r="G243" s="199">
        <v>14000.0</v>
      </c>
      <c r="H243" s="243">
        <f t="shared" si="54"/>
        <v>280000</v>
      </c>
      <c r="I243" s="200">
        <v>18000.0</v>
      </c>
      <c r="J243" s="253">
        <f t="shared" si="55"/>
        <v>360000</v>
      </c>
      <c r="K243" s="250">
        <f t="shared" si="56"/>
        <v>80000</v>
      </c>
      <c r="L243" s="246">
        <f t="shared" si="57"/>
        <v>0.2857142857</v>
      </c>
      <c r="M243" s="247"/>
    </row>
    <row r="244" ht="15.75" customHeight="1">
      <c r="A244" s="248">
        <v>13.0</v>
      </c>
      <c r="B244" s="276" t="s">
        <v>1567</v>
      </c>
      <c r="C244" s="248" t="s">
        <v>109</v>
      </c>
      <c r="D244" s="277">
        <v>20.0</v>
      </c>
      <c r="E244" s="241" t="str">
        <f>'Daftar Harga'!D242</f>
        <v/>
      </c>
      <c r="F244" s="242" t="str">
        <f t="shared" si="53"/>
        <v/>
      </c>
      <c r="G244" s="199">
        <v>7500.0</v>
      </c>
      <c r="H244" s="243">
        <f t="shared" si="54"/>
        <v>150000</v>
      </c>
      <c r="I244" s="200">
        <v>14000.0</v>
      </c>
      <c r="J244" s="253">
        <f t="shared" si="55"/>
        <v>280000</v>
      </c>
      <c r="K244" s="250">
        <f t="shared" si="56"/>
        <v>130000</v>
      </c>
      <c r="L244" s="251">
        <f t="shared" si="57"/>
        <v>0.8666666667</v>
      </c>
      <c r="M244" s="252"/>
    </row>
    <row r="245" ht="15.75" customHeight="1">
      <c r="A245" s="239">
        <v>14.0</v>
      </c>
      <c r="B245" s="276" t="s">
        <v>1642</v>
      </c>
      <c r="C245" s="248" t="s">
        <v>109</v>
      </c>
      <c r="D245" s="277">
        <v>5.0</v>
      </c>
      <c r="E245" s="241" t="str">
        <f>'Daftar Harga'!D250</f>
        <v/>
      </c>
      <c r="F245" s="242" t="str">
        <f t="shared" si="53"/>
        <v/>
      </c>
      <c r="G245" s="199">
        <v>18000.0</v>
      </c>
      <c r="H245" s="243">
        <f t="shared" si="54"/>
        <v>90000</v>
      </c>
      <c r="I245" s="200">
        <v>18000.0</v>
      </c>
      <c r="J245" s="253">
        <f t="shared" si="55"/>
        <v>90000</v>
      </c>
      <c r="K245" s="250">
        <f t="shared" si="56"/>
        <v>0</v>
      </c>
      <c r="L245" s="251">
        <f t="shared" si="57"/>
        <v>0</v>
      </c>
      <c r="M245" s="252"/>
    </row>
    <row r="246" ht="15.75" customHeight="1">
      <c r="A246" s="248">
        <v>15.0</v>
      </c>
      <c r="B246" s="275" t="s">
        <v>1833</v>
      </c>
      <c r="C246" s="280" t="s">
        <v>109</v>
      </c>
      <c r="D246" s="254">
        <v>10.0</v>
      </c>
      <c r="E246" s="241" t="str">
        <f>'Daftar Harga'!D251</f>
        <v/>
      </c>
      <c r="F246" s="242" t="str">
        <f t="shared" si="53"/>
        <v/>
      </c>
      <c r="G246" s="199">
        <v>11500.0</v>
      </c>
      <c r="H246" s="243">
        <f t="shared" si="54"/>
        <v>115000</v>
      </c>
      <c r="I246" s="200">
        <v>12000.0</v>
      </c>
      <c r="J246" s="253">
        <f t="shared" si="55"/>
        <v>120000</v>
      </c>
      <c r="K246" s="250">
        <f t="shared" si="56"/>
        <v>5000</v>
      </c>
      <c r="L246" s="246">
        <f t="shared" si="57"/>
        <v>0.04347826087</v>
      </c>
      <c r="M246" s="247"/>
    </row>
    <row r="247" ht="15.75" customHeight="1">
      <c r="A247" s="239">
        <v>16.0</v>
      </c>
      <c r="B247" s="276" t="s">
        <v>1813</v>
      </c>
      <c r="C247" s="248" t="s">
        <v>109</v>
      </c>
      <c r="D247" s="277">
        <v>1.0</v>
      </c>
      <c r="E247" s="241" t="str">
        <f>'Daftar Harga'!D255</f>
        <v/>
      </c>
      <c r="F247" s="242" t="str">
        <f t="shared" si="53"/>
        <v/>
      </c>
      <c r="G247" s="199">
        <v>70000.0</v>
      </c>
      <c r="H247" s="243">
        <f t="shared" si="54"/>
        <v>70000</v>
      </c>
      <c r="I247" s="200">
        <v>100000.0</v>
      </c>
      <c r="J247" s="253">
        <f t="shared" si="55"/>
        <v>100000</v>
      </c>
      <c r="K247" s="250">
        <f t="shared" si="56"/>
        <v>30000</v>
      </c>
      <c r="L247" s="251">
        <f t="shared" si="57"/>
        <v>0.4285714286</v>
      </c>
      <c r="M247" s="252"/>
    </row>
    <row r="248" ht="15.75" customHeight="1">
      <c r="A248" s="248">
        <v>17.0</v>
      </c>
      <c r="B248" s="275" t="s">
        <v>1822</v>
      </c>
      <c r="C248" s="280" t="s">
        <v>1579</v>
      </c>
      <c r="D248" s="254">
        <v>20.0</v>
      </c>
      <c r="E248" s="267" t="str">
        <f>'Daftar Harga'!D257</f>
        <v/>
      </c>
      <c r="F248" s="268" t="str">
        <f t="shared" si="53"/>
        <v/>
      </c>
      <c r="G248" s="199">
        <v>19500.0</v>
      </c>
      <c r="H248" s="243">
        <f t="shared" si="54"/>
        <v>390000</v>
      </c>
      <c r="I248" s="200">
        <v>22500.0</v>
      </c>
      <c r="J248" s="253">
        <f t="shared" si="55"/>
        <v>450000</v>
      </c>
      <c r="K248" s="250">
        <f t="shared" si="56"/>
        <v>60000</v>
      </c>
      <c r="L248" s="246">
        <f t="shared" si="57"/>
        <v>0.1538461538</v>
      </c>
      <c r="M248" s="247"/>
    </row>
    <row r="249" ht="15.75" customHeight="1">
      <c r="A249" s="239">
        <v>18.0</v>
      </c>
      <c r="B249" s="275" t="s">
        <v>1834</v>
      </c>
      <c r="C249" s="280" t="s">
        <v>1664</v>
      </c>
      <c r="D249" s="254">
        <v>20.0</v>
      </c>
      <c r="E249" s="241" t="str">
        <f>'Daftar Harga'!D270</f>
        <v/>
      </c>
      <c r="F249" s="242" t="str">
        <f t="shared" si="53"/>
        <v/>
      </c>
      <c r="G249" s="199">
        <v>14500.0</v>
      </c>
      <c r="H249" s="243">
        <f t="shared" si="54"/>
        <v>290000</v>
      </c>
      <c r="I249" s="200">
        <v>16500.0</v>
      </c>
      <c r="J249" s="253">
        <f t="shared" si="55"/>
        <v>330000</v>
      </c>
      <c r="K249" s="245">
        <f t="shared" si="56"/>
        <v>40000</v>
      </c>
      <c r="L249" s="246">
        <f t="shared" si="57"/>
        <v>0.1379310345</v>
      </c>
      <c r="M249" s="247"/>
    </row>
    <row r="250" ht="15.75" customHeight="1">
      <c r="A250" s="248">
        <v>19.0</v>
      </c>
      <c r="B250" s="276" t="s">
        <v>1820</v>
      </c>
      <c r="C250" s="248" t="s">
        <v>109</v>
      </c>
      <c r="D250" s="277">
        <v>1.0</v>
      </c>
      <c r="E250" s="241" t="str">
        <f>'Daftar Harga'!D272</f>
        <v/>
      </c>
      <c r="F250" s="242" t="str">
        <f t="shared" si="53"/>
        <v/>
      </c>
      <c r="G250" s="199">
        <v>30000.0</v>
      </c>
      <c r="H250" s="243">
        <f t="shared" si="54"/>
        <v>30000</v>
      </c>
      <c r="I250" s="200">
        <v>40000.0</v>
      </c>
      <c r="J250" s="253">
        <f t="shared" si="55"/>
        <v>40000</v>
      </c>
      <c r="K250" s="250">
        <f t="shared" si="56"/>
        <v>10000</v>
      </c>
      <c r="L250" s="251">
        <f t="shared" si="57"/>
        <v>0.3333333333</v>
      </c>
      <c r="M250" s="252"/>
    </row>
    <row r="251" ht="15.75" customHeight="1">
      <c r="A251" s="239">
        <v>20.0</v>
      </c>
      <c r="B251" s="275" t="s">
        <v>1665</v>
      </c>
      <c r="C251" s="248" t="s">
        <v>109</v>
      </c>
      <c r="D251" s="254">
        <v>3.0</v>
      </c>
      <c r="E251" s="241" t="str">
        <f>'Daftar Harga'!D273</f>
        <v/>
      </c>
      <c r="F251" s="242" t="str">
        <f t="shared" si="53"/>
        <v/>
      </c>
      <c r="G251" s="199">
        <v>26000.0</v>
      </c>
      <c r="H251" s="243">
        <f t="shared" si="54"/>
        <v>78000</v>
      </c>
      <c r="I251" s="200">
        <v>27000.0</v>
      </c>
      <c r="J251" s="253">
        <f t="shared" si="55"/>
        <v>81000</v>
      </c>
      <c r="K251" s="250">
        <f t="shared" si="56"/>
        <v>3000</v>
      </c>
      <c r="L251" s="251">
        <f t="shared" si="57"/>
        <v>0.03846153846</v>
      </c>
      <c r="M251" s="247"/>
    </row>
    <row r="252" ht="15.75" customHeight="1">
      <c r="A252" s="248">
        <v>21.0</v>
      </c>
      <c r="B252" s="276" t="s">
        <v>1634</v>
      </c>
      <c r="C252" s="280" t="s">
        <v>69</v>
      </c>
      <c r="D252" s="254">
        <v>1290.0</v>
      </c>
      <c r="E252" s="241"/>
      <c r="F252" s="242"/>
      <c r="G252" s="199">
        <v>2000.0</v>
      </c>
      <c r="H252" s="243">
        <f t="shared" si="54"/>
        <v>2580000</v>
      </c>
      <c r="I252" s="200">
        <v>2000.0</v>
      </c>
      <c r="J252" s="253">
        <f t="shared" si="55"/>
        <v>2580000</v>
      </c>
      <c r="K252" s="250">
        <f t="shared" si="56"/>
        <v>0</v>
      </c>
      <c r="L252" s="251">
        <f t="shared" si="57"/>
        <v>0</v>
      </c>
      <c r="M252" s="252"/>
    </row>
    <row r="253" ht="15.75" customHeight="1">
      <c r="A253" s="239">
        <v>22.0</v>
      </c>
      <c r="B253" s="276" t="s">
        <v>1835</v>
      </c>
      <c r="C253" s="248" t="s">
        <v>109</v>
      </c>
      <c r="D253" s="254">
        <v>10.0</v>
      </c>
      <c r="E253" s="241"/>
      <c r="F253" s="242"/>
      <c r="G253" s="199">
        <v>36500.0</v>
      </c>
      <c r="H253" s="243">
        <f t="shared" si="54"/>
        <v>365000</v>
      </c>
      <c r="I253" s="200">
        <v>37500.0</v>
      </c>
      <c r="J253" s="253">
        <f t="shared" si="55"/>
        <v>375000</v>
      </c>
      <c r="K253" s="250">
        <f t="shared" si="56"/>
        <v>10000</v>
      </c>
      <c r="L253" s="251">
        <f t="shared" si="57"/>
        <v>0.02739726027</v>
      </c>
      <c r="M253" s="252"/>
    </row>
    <row r="254" ht="15.75" customHeight="1">
      <c r="A254" s="248">
        <v>23.0</v>
      </c>
      <c r="B254" s="276" t="s">
        <v>1836</v>
      </c>
      <c r="C254" s="280" t="s">
        <v>109</v>
      </c>
      <c r="D254" s="277">
        <v>5.0</v>
      </c>
      <c r="E254" s="241" t="str">
        <f>'Daftar Harga'!D276</f>
        <v/>
      </c>
      <c r="F254" s="242" t="str">
        <f>IF(E254&lt;&gt;"",D254*E254,"")</f>
        <v/>
      </c>
      <c r="G254" s="199">
        <v>32500.0</v>
      </c>
      <c r="H254" s="243">
        <f t="shared" si="54"/>
        <v>162500</v>
      </c>
      <c r="I254" s="200">
        <v>37500.0</v>
      </c>
      <c r="J254" s="253">
        <f t="shared" si="55"/>
        <v>187500</v>
      </c>
      <c r="K254" s="250">
        <f t="shared" si="56"/>
        <v>25000</v>
      </c>
      <c r="L254" s="251">
        <f t="shared" si="57"/>
        <v>0.1538461538</v>
      </c>
      <c r="M254" s="252"/>
    </row>
    <row r="255" ht="15.75" customHeight="1">
      <c r="A255" s="272" t="s">
        <v>1698</v>
      </c>
      <c r="B255" s="206"/>
      <c r="C255" s="206"/>
      <c r="D255" s="174"/>
      <c r="E255" s="257"/>
      <c r="F255" s="258">
        <f>SUMIF(F232:F254,"&lt;&gt;",F232:F254)</f>
        <v>0</v>
      </c>
      <c r="G255" s="317"/>
      <c r="H255" s="260">
        <f>SUMIF(H232:H254,"&lt;&gt;",H232:H254)</f>
        <v>7601206</v>
      </c>
      <c r="I255" s="322"/>
      <c r="J255" s="260">
        <f>SUMIF(J232:J254,"&lt;&gt;",J232:J254)</f>
        <v>8426250</v>
      </c>
      <c r="K255" s="261">
        <f t="shared" si="56"/>
        <v>825044</v>
      </c>
      <c r="L255" s="262">
        <f t="shared" si="57"/>
        <v>0.1085411973</v>
      </c>
      <c r="M255" s="257"/>
    </row>
    <row r="256" ht="15.75" customHeight="1"/>
    <row r="257" ht="15.75" customHeight="1">
      <c r="A257" s="273" t="s">
        <v>1699</v>
      </c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6"/>
    </row>
    <row r="258" ht="15.75" customHeight="1">
      <c r="A258" s="229" t="s">
        <v>1509</v>
      </c>
      <c r="B258" s="229" t="s">
        <v>1510</v>
      </c>
      <c r="C258" s="229" t="s">
        <v>1511</v>
      </c>
      <c r="D258" s="229" t="s">
        <v>1614</v>
      </c>
      <c r="E258" s="230" t="s">
        <v>1615</v>
      </c>
      <c r="F258" s="174"/>
      <c r="G258" s="231" t="s">
        <v>1616</v>
      </c>
      <c r="H258" s="174"/>
      <c r="I258" s="232" t="s">
        <v>1617</v>
      </c>
      <c r="J258" s="174"/>
      <c r="K258" s="233" t="s">
        <v>1618</v>
      </c>
      <c r="L258" s="174"/>
      <c r="M258" s="229" t="s">
        <v>1619</v>
      </c>
    </row>
    <row r="259" ht="15.75" customHeight="1">
      <c r="A259" s="234" t="s">
        <v>1509</v>
      </c>
      <c r="B259" s="234" t="s">
        <v>1510</v>
      </c>
      <c r="C259" s="234" t="s">
        <v>1511</v>
      </c>
      <c r="D259" s="234" t="s">
        <v>1614</v>
      </c>
      <c r="E259" s="235" t="s">
        <v>1620</v>
      </c>
      <c r="F259" s="235" t="s">
        <v>1621</v>
      </c>
      <c r="G259" s="236" t="s">
        <v>1622</v>
      </c>
      <c r="H259" s="236" t="s">
        <v>1623</v>
      </c>
      <c r="I259" s="237" t="s">
        <v>1624</v>
      </c>
      <c r="J259" s="237" t="s">
        <v>1625</v>
      </c>
      <c r="K259" s="238" t="s">
        <v>1626</v>
      </c>
      <c r="L259" s="238" t="s">
        <v>1627</v>
      </c>
      <c r="M259" s="234" t="s">
        <v>1619</v>
      </c>
    </row>
    <row r="260" ht="15.75" customHeight="1">
      <c r="A260" s="248">
        <v>1.0</v>
      </c>
      <c r="B260" s="276" t="s">
        <v>1837</v>
      </c>
      <c r="C260" s="280" t="s">
        <v>69</v>
      </c>
      <c r="D260" s="277">
        <v>1270.0</v>
      </c>
      <c r="E260" s="241" t="str">
        <f>'Daftar Harga'!D202</f>
        <v/>
      </c>
      <c r="F260" s="242" t="str">
        <f t="shared" ref="F260:F271" si="58">IF(E260&lt;&gt;"",D260*E260,"")</f>
        <v/>
      </c>
      <c r="G260" s="199">
        <v>2000.0</v>
      </c>
      <c r="H260" s="243">
        <f t="shared" ref="H260:H271" si="59">IF(G260&lt;&gt;"",D260*G260,"")</f>
        <v>2540000</v>
      </c>
      <c r="I260" s="200">
        <v>2400.0</v>
      </c>
      <c r="J260" s="253">
        <f t="shared" ref="J260:J271" si="60">IF(I260&lt;&gt;"",D260*I260,"")</f>
        <v>3048000</v>
      </c>
      <c r="K260" s="250">
        <f t="shared" ref="K260:K272" si="61">IF(J260&lt;&gt;"",IF(H260&lt;&gt;"",J260-H260,IF(F260&lt;&gt;"",J260-F260,"")),"")</f>
        <v>508000</v>
      </c>
      <c r="L260" s="251">
        <f t="shared" ref="L260:L272" si="62">IF(K260&lt;&gt;"",IF(H260&lt;&gt;"",IF(H260&lt;&gt;0,K260/H260,""),IF(F260&lt;&gt;"",IF(F260&lt;&gt;0,K260/F260,""),"")),"")</f>
        <v>0.2</v>
      </c>
      <c r="M260" s="252"/>
    </row>
    <row r="261" ht="15.75" customHeight="1">
      <c r="A261" s="239">
        <v>2.0</v>
      </c>
      <c r="B261" s="275" t="s">
        <v>1838</v>
      </c>
      <c r="C261" s="280" t="s">
        <v>109</v>
      </c>
      <c r="D261" s="254">
        <v>75.0</v>
      </c>
      <c r="E261" s="241" t="str">
        <f>'Daftar Harga'!D204</f>
        <v/>
      </c>
      <c r="F261" s="242" t="str">
        <f t="shared" si="58"/>
        <v/>
      </c>
      <c r="G261" s="199">
        <v>43000.0</v>
      </c>
      <c r="H261" s="243">
        <f t="shared" si="59"/>
        <v>3225000</v>
      </c>
      <c r="I261" s="200">
        <v>48000.0</v>
      </c>
      <c r="J261" s="253">
        <f t="shared" si="60"/>
        <v>3600000</v>
      </c>
      <c r="K261" s="245">
        <f t="shared" si="61"/>
        <v>375000</v>
      </c>
      <c r="L261" s="246">
        <f t="shared" si="62"/>
        <v>0.1162790698</v>
      </c>
      <c r="M261" s="247"/>
    </row>
    <row r="262" ht="15.75" customHeight="1">
      <c r="A262" s="248">
        <v>3.0</v>
      </c>
      <c r="B262" s="276" t="s">
        <v>1641</v>
      </c>
      <c r="C262" s="248" t="s">
        <v>109</v>
      </c>
      <c r="D262" s="277">
        <v>1.0</v>
      </c>
      <c r="E262" s="241" t="str">
        <f>'Daftar Harga'!D209</f>
        <v/>
      </c>
      <c r="F262" s="242" t="str">
        <f t="shared" si="58"/>
        <v/>
      </c>
      <c r="G262" s="199">
        <v>45000.0</v>
      </c>
      <c r="H262" s="243">
        <f t="shared" si="59"/>
        <v>45000</v>
      </c>
      <c r="I262" s="200">
        <v>45000.0</v>
      </c>
      <c r="J262" s="244">
        <f t="shared" si="60"/>
        <v>45000</v>
      </c>
      <c r="K262" s="250">
        <f t="shared" si="61"/>
        <v>0</v>
      </c>
      <c r="L262" s="251">
        <f t="shared" si="62"/>
        <v>0</v>
      </c>
      <c r="M262" s="252"/>
    </row>
    <row r="263" ht="15.75" customHeight="1">
      <c r="A263" s="239">
        <v>4.0</v>
      </c>
      <c r="B263" s="275" t="s">
        <v>1657</v>
      </c>
      <c r="C263" s="280" t="s">
        <v>1557</v>
      </c>
      <c r="D263" s="254">
        <v>2.0</v>
      </c>
      <c r="E263" s="241" t="str">
        <f>'Daftar Harga'!D211</f>
        <v/>
      </c>
      <c r="F263" s="242" t="str">
        <f t="shared" si="58"/>
        <v/>
      </c>
      <c r="G263" s="199">
        <v>47000.0</v>
      </c>
      <c r="H263" s="243">
        <f t="shared" si="59"/>
        <v>94000</v>
      </c>
      <c r="I263" s="200">
        <v>55000.0</v>
      </c>
      <c r="J263" s="253">
        <f t="shared" si="60"/>
        <v>110000</v>
      </c>
      <c r="K263" s="245">
        <f t="shared" si="61"/>
        <v>16000</v>
      </c>
      <c r="L263" s="246">
        <f t="shared" si="62"/>
        <v>0.170212766</v>
      </c>
      <c r="M263" s="247"/>
    </row>
    <row r="264" ht="15.75" customHeight="1">
      <c r="A264" s="248">
        <v>5.0</v>
      </c>
      <c r="B264" s="276" t="s">
        <v>1548</v>
      </c>
      <c r="C264" s="248" t="s">
        <v>109</v>
      </c>
      <c r="D264" s="277">
        <v>0.5</v>
      </c>
      <c r="E264" s="241" t="str">
        <f>'Daftar Harga'!D212</f>
        <v/>
      </c>
      <c r="F264" s="242" t="str">
        <f t="shared" si="58"/>
        <v/>
      </c>
      <c r="G264" s="199">
        <v>20000.0</v>
      </c>
      <c r="H264" s="243">
        <f t="shared" si="59"/>
        <v>10000</v>
      </c>
      <c r="I264" s="200">
        <v>26000.0</v>
      </c>
      <c r="J264" s="253">
        <f t="shared" si="60"/>
        <v>13000</v>
      </c>
      <c r="K264" s="250">
        <f t="shared" si="61"/>
        <v>3000</v>
      </c>
      <c r="L264" s="251">
        <f t="shared" si="62"/>
        <v>0.3</v>
      </c>
      <c r="M264" s="252"/>
    </row>
    <row r="265" ht="15.75" customHeight="1">
      <c r="A265" s="239">
        <v>6.0</v>
      </c>
      <c r="B265" s="275" t="s">
        <v>1839</v>
      </c>
      <c r="C265" s="248" t="s">
        <v>109</v>
      </c>
      <c r="D265" s="254">
        <v>30.0</v>
      </c>
      <c r="E265" s="241" t="str">
        <f>'Daftar Harga'!D226</f>
        <v/>
      </c>
      <c r="F265" s="242" t="str">
        <f t="shared" si="58"/>
        <v/>
      </c>
      <c r="G265" s="199">
        <v>14000.0</v>
      </c>
      <c r="H265" s="243">
        <f t="shared" si="59"/>
        <v>420000</v>
      </c>
      <c r="I265" s="200">
        <v>16000.0</v>
      </c>
      <c r="J265" s="253">
        <f t="shared" si="60"/>
        <v>480000</v>
      </c>
      <c r="K265" s="245">
        <f t="shared" si="61"/>
        <v>60000</v>
      </c>
      <c r="L265" s="246">
        <f t="shared" si="62"/>
        <v>0.1428571429</v>
      </c>
      <c r="M265" s="247"/>
    </row>
    <row r="266" ht="15.75" customHeight="1">
      <c r="A266" s="248">
        <v>7.0</v>
      </c>
      <c r="B266" s="276" t="s">
        <v>1605</v>
      </c>
      <c r="C266" s="248" t="s">
        <v>109</v>
      </c>
      <c r="D266" s="277">
        <v>7.0</v>
      </c>
      <c r="E266" s="241" t="str">
        <f>'Daftar Harga'!D229</f>
        <v/>
      </c>
      <c r="F266" s="242" t="str">
        <f t="shared" si="58"/>
        <v/>
      </c>
      <c r="G266" s="199">
        <v>11250.0</v>
      </c>
      <c r="H266" s="243">
        <f t="shared" si="59"/>
        <v>78750</v>
      </c>
      <c r="I266" s="200">
        <v>12000.0</v>
      </c>
      <c r="J266" s="253">
        <f t="shared" si="60"/>
        <v>84000</v>
      </c>
      <c r="K266" s="250">
        <f t="shared" si="61"/>
        <v>5250</v>
      </c>
      <c r="L266" s="251">
        <f t="shared" si="62"/>
        <v>0.06666666667</v>
      </c>
      <c r="M266" s="252"/>
    </row>
    <row r="267" ht="15.75" customHeight="1">
      <c r="A267" s="239">
        <v>8.0</v>
      </c>
      <c r="B267" s="275" t="s">
        <v>1811</v>
      </c>
      <c r="C267" s="248" t="s">
        <v>109</v>
      </c>
      <c r="D267" s="254">
        <v>3.0</v>
      </c>
      <c r="E267" s="241" t="str">
        <f>'Daftar Harga'!D234</f>
        <v/>
      </c>
      <c r="F267" s="242" t="str">
        <f t="shared" si="58"/>
        <v/>
      </c>
      <c r="G267" s="199">
        <v>42000.0</v>
      </c>
      <c r="H267" s="243">
        <f t="shared" si="59"/>
        <v>126000</v>
      </c>
      <c r="I267" s="200">
        <v>46000.0</v>
      </c>
      <c r="J267" s="253">
        <f t="shared" si="60"/>
        <v>138000</v>
      </c>
      <c r="K267" s="245">
        <f t="shared" si="61"/>
        <v>12000</v>
      </c>
      <c r="L267" s="246">
        <f t="shared" si="62"/>
        <v>0.09523809524</v>
      </c>
      <c r="M267" s="247"/>
    </row>
    <row r="268" ht="15.75" customHeight="1">
      <c r="A268" s="248">
        <v>9.0</v>
      </c>
      <c r="B268" s="276" t="s">
        <v>1578</v>
      </c>
      <c r="C268" s="280" t="s">
        <v>1689</v>
      </c>
      <c r="D268" s="277">
        <v>48.0</v>
      </c>
      <c r="E268" s="241" t="str">
        <f>'Daftar Harga'!D239</f>
        <v/>
      </c>
      <c r="F268" s="242" t="str">
        <f t="shared" si="58"/>
        <v/>
      </c>
      <c r="G268" s="199">
        <v>21500.0</v>
      </c>
      <c r="H268" s="243">
        <f t="shared" si="59"/>
        <v>1032000</v>
      </c>
      <c r="I268" s="200">
        <v>24000.0</v>
      </c>
      <c r="J268" s="253">
        <f t="shared" si="60"/>
        <v>1152000</v>
      </c>
      <c r="K268" s="250">
        <f t="shared" si="61"/>
        <v>120000</v>
      </c>
      <c r="L268" s="251">
        <f t="shared" si="62"/>
        <v>0.1162790698</v>
      </c>
      <c r="M268" s="252"/>
    </row>
    <row r="269" ht="15.75" customHeight="1">
      <c r="A269" s="239">
        <v>10.0</v>
      </c>
      <c r="B269" s="275" t="s">
        <v>1354</v>
      </c>
      <c r="C269" s="280" t="s">
        <v>109</v>
      </c>
      <c r="D269" s="254">
        <v>45.0</v>
      </c>
      <c r="E269" s="267" t="str">
        <f>'Daftar Harga'!D240</f>
        <v/>
      </c>
      <c r="F269" s="268" t="str">
        <f t="shared" si="58"/>
        <v/>
      </c>
      <c r="G269" s="199">
        <v>36000.0</v>
      </c>
      <c r="H269" s="243">
        <f t="shared" si="59"/>
        <v>1620000</v>
      </c>
      <c r="I269" s="200">
        <v>37000.0</v>
      </c>
      <c r="J269" s="253">
        <f t="shared" si="60"/>
        <v>1665000</v>
      </c>
      <c r="K269" s="250">
        <f t="shared" si="61"/>
        <v>45000</v>
      </c>
      <c r="L269" s="246">
        <f t="shared" si="62"/>
        <v>0.02777777778</v>
      </c>
      <c r="M269" s="247"/>
    </row>
    <row r="270" ht="15.75" customHeight="1">
      <c r="A270" s="248">
        <v>11.0</v>
      </c>
      <c r="B270" s="276" t="s">
        <v>1840</v>
      </c>
      <c r="C270" s="280" t="s">
        <v>109</v>
      </c>
      <c r="D270" s="277">
        <v>35.0</v>
      </c>
      <c r="E270" s="241" t="str">
        <f>'Daftar Harga'!D249</f>
        <v/>
      </c>
      <c r="F270" s="242" t="str">
        <f t="shared" si="58"/>
        <v/>
      </c>
      <c r="G270" s="199">
        <v>28000.0</v>
      </c>
      <c r="H270" s="243">
        <f t="shared" si="59"/>
        <v>980000</v>
      </c>
      <c r="I270" s="200">
        <v>34000.0</v>
      </c>
      <c r="J270" s="253">
        <f t="shared" si="60"/>
        <v>1190000</v>
      </c>
      <c r="K270" s="250">
        <f t="shared" si="61"/>
        <v>210000</v>
      </c>
      <c r="L270" s="251">
        <f t="shared" si="62"/>
        <v>0.2142857143</v>
      </c>
      <c r="M270" s="252"/>
    </row>
    <row r="271" ht="15.75" customHeight="1">
      <c r="A271" s="239">
        <v>12.0</v>
      </c>
      <c r="B271" s="275" t="s">
        <v>1112</v>
      </c>
      <c r="C271" s="248" t="s">
        <v>109</v>
      </c>
      <c r="D271" s="254">
        <v>152.0</v>
      </c>
      <c r="E271" s="241" t="str">
        <f>'Daftar Harga'!D257</f>
        <v/>
      </c>
      <c r="F271" s="242" t="str">
        <f t="shared" si="58"/>
        <v/>
      </c>
      <c r="G271" s="199">
        <v>18000.0</v>
      </c>
      <c r="H271" s="243">
        <f t="shared" si="59"/>
        <v>2736000</v>
      </c>
      <c r="I271" s="200">
        <v>19500.0</v>
      </c>
      <c r="J271" s="253">
        <f t="shared" si="60"/>
        <v>2964000</v>
      </c>
      <c r="K271" s="250">
        <f t="shared" si="61"/>
        <v>228000</v>
      </c>
      <c r="L271" s="246">
        <f t="shared" si="62"/>
        <v>0.08333333333</v>
      </c>
      <c r="M271" s="247"/>
    </row>
    <row r="272" ht="15.75" customHeight="1">
      <c r="A272" s="272" t="s">
        <v>1701</v>
      </c>
      <c r="B272" s="206"/>
      <c r="C272" s="206"/>
      <c r="D272" s="174"/>
      <c r="E272" s="257"/>
      <c r="F272" s="258">
        <f>SUMIF(F260:F271,"&lt;&gt;",F260:F271)</f>
        <v>0</v>
      </c>
      <c r="G272" s="317"/>
      <c r="H272" s="260">
        <f>SUMIF(H260:H271,"&lt;&gt;",H260:H271)</f>
        <v>12906750</v>
      </c>
      <c r="I272" s="322"/>
      <c r="J272" s="260">
        <f>SUMIF(J260:J271,"&lt;&gt;",J260:J271)</f>
        <v>14489000</v>
      </c>
      <c r="K272" s="261">
        <f t="shared" si="61"/>
        <v>1582250</v>
      </c>
      <c r="L272" s="262">
        <f t="shared" si="62"/>
        <v>0.1225908924</v>
      </c>
      <c r="M272" s="257"/>
    </row>
    <row r="273" ht="15.75" customHeight="1"/>
    <row r="274" ht="15.75" customHeight="1">
      <c r="A274" s="323"/>
      <c r="B274" s="324"/>
      <c r="C274" s="273" t="s">
        <v>1841</v>
      </c>
      <c r="D274" s="155"/>
      <c r="E274" s="155"/>
      <c r="F274" s="155"/>
      <c r="G274" s="155"/>
      <c r="H274" s="155"/>
      <c r="I274" s="155"/>
      <c r="J274" s="155"/>
      <c r="K274" s="155"/>
      <c r="L274" s="155"/>
      <c r="M274" s="323"/>
    </row>
    <row r="275" ht="15.75" customHeight="1">
      <c r="A275" s="229" t="s">
        <v>1509</v>
      </c>
      <c r="B275" s="229" t="s">
        <v>1510</v>
      </c>
      <c r="C275" s="229" t="s">
        <v>1511</v>
      </c>
      <c r="D275" s="229" t="s">
        <v>1614</v>
      </c>
      <c r="E275" s="230" t="s">
        <v>1615</v>
      </c>
      <c r="F275" s="174"/>
      <c r="G275" s="231" t="s">
        <v>1616</v>
      </c>
      <c r="H275" s="174"/>
      <c r="I275" s="232" t="s">
        <v>1617</v>
      </c>
      <c r="J275" s="174"/>
      <c r="K275" s="233" t="s">
        <v>1618</v>
      </c>
      <c r="L275" s="174"/>
      <c r="M275" s="229" t="s">
        <v>1619</v>
      </c>
    </row>
    <row r="276" ht="15.75" customHeight="1">
      <c r="A276" s="234" t="s">
        <v>1509</v>
      </c>
      <c r="B276" s="234" t="s">
        <v>1510</v>
      </c>
      <c r="C276" s="234" t="s">
        <v>1511</v>
      </c>
      <c r="D276" s="234" t="s">
        <v>1614</v>
      </c>
      <c r="E276" s="235" t="s">
        <v>1620</v>
      </c>
      <c r="F276" s="235" t="s">
        <v>1621</v>
      </c>
      <c r="G276" s="236" t="s">
        <v>1622</v>
      </c>
      <c r="H276" s="236" t="s">
        <v>1623</v>
      </c>
      <c r="I276" s="237" t="s">
        <v>1624</v>
      </c>
      <c r="J276" s="237" t="s">
        <v>1625</v>
      </c>
      <c r="K276" s="238" t="s">
        <v>1626</v>
      </c>
      <c r="L276" s="238" t="s">
        <v>1627</v>
      </c>
      <c r="M276" s="234" t="s">
        <v>1619</v>
      </c>
    </row>
    <row r="277" ht="15.75" customHeight="1">
      <c r="A277" s="239">
        <v>1.0</v>
      </c>
      <c r="B277" s="240" t="s">
        <v>1826</v>
      </c>
      <c r="C277" s="278" t="s">
        <v>69</v>
      </c>
      <c r="D277" s="254">
        <v>1250.0</v>
      </c>
      <c r="E277" s="267"/>
      <c r="F277" s="268" t="str">
        <f t="shared" ref="F277:F278" si="63">IF(E277&lt;&gt;"",D277*E277,"")</f>
        <v/>
      </c>
      <c r="G277" s="199">
        <v>3230.0</v>
      </c>
      <c r="H277" s="243">
        <f t="shared" ref="H277:H278" si="64">IF(G277&lt;&gt;"",D277*G277,"")</f>
        <v>4037500</v>
      </c>
      <c r="I277" s="188">
        <v>3600.0</v>
      </c>
      <c r="J277" s="244">
        <f t="shared" ref="J277:J278" si="65">IF(I277&lt;&gt;"",D277*I277,"")</f>
        <v>4500000</v>
      </c>
      <c r="K277" s="245">
        <f t="shared" ref="K277:K279" si="66">IF(J277&lt;&gt;"",IF(H277&lt;&gt;"",J277-H277,IF(F277&lt;&gt;"",J277-F277,"")),"")</f>
        <v>462500</v>
      </c>
      <c r="L277" s="246">
        <f t="shared" ref="L277:L279" si="67">IF(K277&lt;&gt;"",IF(H277&lt;&gt;"",IF(H277&lt;&gt;0,K277/H277,""),IF(F277&lt;&gt;"",IF(F277&lt;&gt;0,K277/F277,""),"")),"")</f>
        <v>0.1145510836</v>
      </c>
      <c r="M277" s="247"/>
    </row>
    <row r="278" ht="15.75" customHeight="1">
      <c r="A278" s="248">
        <v>2.0</v>
      </c>
      <c r="B278" s="276" t="s">
        <v>1152</v>
      </c>
      <c r="C278" s="280" t="s">
        <v>69</v>
      </c>
      <c r="D278" s="277">
        <v>3213.0</v>
      </c>
      <c r="E278" s="267"/>
      <c r="F278" s="268" t="str">
        <f t="shared" si="63"/>
        <v/>
      </c>
      <c r="G278" s="199">
        <v>2000.0</v>
      </c>
      <c r="H278" s="243">
        <f t="shared" si="64"/>
        <v>6426000</v>
      </c>
      <c r="I278" s="200">
        <v>2000.0</v>
      </c>
      <c r="J278" s="244">
        <f t="shared" si="65"/>
        <v>6426000</v>
      </c>
      <c r="K278" s="250">
        <f t="shared" si="66"/>
        <v>0</v>
      </c>
      <c r="L278" s="251">
        <f t="shared" si="67"/>
        <v>0</v>
      </c>
      <c r="M278" s="252"/>
    </row>
    <row r="279" ht="15.75" customHeight="1">
      <c r="A279" s="272" t="s">
        <v>1704</v>
      </c>
      <c r="B279" s="206"/>
      <c r="C279" s="206"/>
      <c r="D279" s="174"/>
      <c r="E279" s="257"/>
      <c r="F279" s="258">
        <f>SUMIF(F277:F278,"&lt;&gt;",F277:F278)</f>
        <v>0</v>
      </c>
      <c r="G279" s="317"/>
      <c r="H279" s="260">
        <f>SUMIF(H277:H278,"&lt;&gt;",H277:H278)</f>
        <v>10463500</v>
      </c>
      <c r="I279" s="326"/>
      <c r="J279" s="260">
        <f>SUMIF(J277:J278,"&lt;&gt;",J277:J278)</f>
        <v>10926000</v>
      </c>
      <c r="K279" s="261">
        <f t="shared" si="66"/>
        <v>462500</v>
      </c>
      <c r="L279" s="262">
        <f t="shared" si="67"/>
        <v>0.04420127109</v>
      </c>
      <c r="M279" s="257"/>
    </row>
    <row r="280" ht="15.75" customHeight="1"/>
    <row r="281" ht="15.75" customHeight="1">
      <c r="A281" s="273" t="s">
        <v>1705</v>
      </c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6"/>
    </row>
    <row r="282" ht="15.75" customHeight="1">
      <c r="A282" s="229" t="s">
        <v>1509</v>
      </c>
      <c r="B282" s="229" t="s">
        <v>1510</v>
      </c>
      <c r="C282" s="229" t="s">
        <v>1511</v>
      </c>
      <c r="D282" s="229" t="s">
        <v>1614</v>
      </c>
      <c r="E282" s="230" t="s">
        <v>1615</v>
      </c>
      <c r="F282" s="174"/>
      <c r="G282" s="231" t="s">
        <v>1616</v>
      </c>
      <c r="H282" s="174"/>
      <c r="I282" s="232" t="s">
        <v>1617</v>
      </c>
      <c r="J282" s="174"/>
      <c r="K282" s="233" t="s">
        <v>1618</v>
      </c>
      <c r="L282" s="174"/>
      <c r="M282" s="229" t="s">
        <v>1619</v>
      </c>
    </row>
    <row r="283" ht="15.75" customHeight="1">
      <c r="A283" s="234" t="s">
        <v>1509</v>
      </c>
      <c r="B283" s="234" t="s">
        <v>1510</v>
      </c>
      <c r="C283" s="234" t="s">
        <v>1511</v>
      </c>
      <c r="D283" s="234" t="s">
        <v>1614</v>
      </c>
      <c r="E283" s="235" t="s">
        <v>1620</v>
      </c>
      <c r="F283" s="235" t="s">
        <v>1621</v>
      </c>
      <c r="G283" s="236" t="s">
        <v>1622</v>
      </c>
      <c r="H283" s="236" t="s">
        <v>1623</v>
      </c>
      <c r="I283" s="237" t="s">
        <v>1624</v>
      </c>
      <c r="J283" s="237" t="s">
        <v>1625</v>
      </c>
      <c r="K283" s="238" t="s">
        <v>1626</v>
      </c>
      <c r="L283" s="238" t="s">
        <v>1627</v>
      </c>
      <c r="M283" s="234" t="s">
        <v>1619</v>
      </c>
    </row>
    <row r="284" ht="15.75" customHeight="1">
      <c r="A284" s="248">
        <v>1.0</v>
      </c>
      <c r="B284" s="276" t="s">
        <v>1527</v>
      </c>
      <c r="C284" s="280" t="s">
        <v>109</v>
      </c>
      <c r="D284" s="277">
        <v>75.0</v>
      </c>
      <c r="E284" s="241" t="str">
        <f>'Daftar Harga'!D226</f>
        <v/>
      </c>
      <c r="F284" s="242" t="str">
        <f t="shared" ref="F284:F289" si="68">IF(E284&lt;&gt;"",D284*E284,"")</f>
        <v/>
      </c>
      <c r="G284" s="199">
        <v>14500.0</v>
      </c>
      <c r="H284" s="243">
        <f t="shared" ref="H284:H300" si="69">IF(G284&lt;&gt;"",D284*G284,"")</f>
        <v>1087500</v>
      </c>
      <c r="I284" s="200">
        <v>15700.0</v>
      </c>
      <c r="J284" s="253">
        <f t="shared" ref="J284:J300" si="70">IF(I284&lt;&gt;"",D284*I284,"")</f>
        <v>1177500</v>
      </c>
      <c r="K284" s="250">
        <f t="shared" ref="K284:K301" si="71">IF(J284&lt;&gt;"",IF(H284&lt;&gt;"",J284-H284,IF(F284&lt;&gt;"",J284-F284,"")),"")</f>
        <v>90000</v>
      </c>
      <c r="L284" s="251">
        <f t="shared" ref="L284:L301" si="72">IF(K284&lt;&gt;"",IF(H284&lt;&gt;"",IF(H284&lt;&gt;0,K284/H284,""),IF(F284&lt;&gt;"",IF(F284&lt;&gt;0,K284/F284,""),"")),"")</f>
        <v>0.08275862069</v>
      </c>
      <c r="M284" s="252"/>
    </row>
    <row r="285" ht="15.75" customHeight="1">
      <c r="A285" s="239">
        <v>2.0</v>
      </c>
      <c r="B285" s="275" t="s">
        <v>1814</v>
      </c>
      <c r="C285" s="280" t="s">
        <v>109</v>
      </c>
      <c r="D285" s="254">
        <v>0.1</v>
      </c>
      <c r="E285" s="241" t="str">
        <f>'Daftar Harga'!D228</f>
        <v/>
      </c>
      <c r="F285" s="242" t="str">
        <f t="shared" si="68"/>
        <v/>
      </c>
      <c r="G285" s="199">
        <v>50000.0</v>
      </c>
      <c r="H285" s="243">
        <f t="shared" si="69"/>
        <v>5000</v>
      </c>
      <c r="I285" s="200">
        <v>50000.0</v>
      </c>
      <c r="J285" s="253">
        <f t="shared" si="70"/>
        <v>5000</v>
      </c>
      <c r="K285" s="245">
        <f t="shared" si="71"/>
        <v>0</v>
      </c>
      <c r="L285" s="246">
        <f t="shared" si="72"/>
        <v>0</v>
      </c>
      <c r="M285" s="247"/>
    </row>
    <row r="286" ht="15.75" customHeight="1">
      <c r="A286" s="248">
        <v>3.0</v>
      </c>
      <c r="B286" s="276" t="s">
        <v>1842</v>
      </c>
      <c r="C286" s="280" t="s">
        <v>109</v>
      </c>
      <c r="D286" s="277">
        <v>130.0</v>
      </c>
      <c r="E286" s="241" t="str">
        <f>'Daftar Harga'!D233</f>
        <v/>
      </c>
      <c r="F286" s="242" t="str">
        <f t="shared" si="68"/>
        <v/>
      </c>
      <c r="G286" s="199">
        <v>31000.0</v>
      </c>
      <c r="H286" s="243">
        <f t="shared" si="69"/>
        <v>4030000</v>
      </c>
      <c r="I286" s="200">
        <v>32000.0</v>
      </c>
      <c r="J286" s="253">
        <f t="shared" si="70"/>
        <v>4160000</v>
      </c>
      <c r="K286" s="250">
        <f t="shared" si="71"/>
        <v>130000</v>
      </c>
      <c r="L286" s="251">
        <f t="shared" si="72"/>
        <v>0.03225806452</v>
      </c>
      <c r="M286" s="252"/>
    </row>
    <row r="287" ht="15.75" customHeight="1">
      <c r="A287" s="248">
        <v>4.0</v>
      </c>
      <c r="B287" s="275" t="s">
        <v>1641</v>
      </c>
      <c r="C287" s="280" t="s">
        <v>109</v>
      </c>
      <c r="D287" s="254">
        <v>4.0</v>
      </c>
      <c r="E287" s="241" t="str">
        <f>'Daftar Harga'!D235</f>
        <v/>
      </c>
      <c r="F287" s="242" t="str">
        <f t="shared" si="68"/>
        <v/>
      </c>
      <c r="G287" s="199">
        <v>40000.0</v>
      </c>
      <c r="H287" s="243">
        <f t="shared" si="69"/>
        <v>160000</v>
      </c>
      <c r="I287" s="200">
        <v>44000.0</v>
      </c>
      <c r="J287" s="253">
        <f t="shared" si="70"/>
        <v>176000</v>
      </c>
      <c r="K287" s="245">
        <f t="shared" si="71"/>
        <v>16000</v>
      </c>
      <c r="L287" s="246">
        <f t="shared" si="72"/>
        <v>0.1</v>
      </c>
      <c r="M287" s="247"/>
    </row>
    <row r="288" ht="15.75" customHeight="1">
      <c r="A288" s="239">
        <v>5.0</v>
      </c>
      <c r="B288" s="276" t="s">
        <v>1569</v>
      </c>
      <c r="C288" s="280" t="s">
        <v>109</v>
      </c>
      <c r="D288" s="277">
        <v>1.0</v>
      </c>
      <c r="E288" s="241" t="str">
        <f>'Daftar Harga'!D236</f>
        <v/>
      </c>
      <c r="F288" s="242" t="str">
        <f t="shared" si="68"/>
        <v/>
      </c>
      <c r="G288" s="199">
        <v>8000.0</v>
      </c>
      <c r="H288" s="243">
        <f t="shared" si="69"/>
        <v>8000</v>
      </c>
      <c r="I288" s="200">
        <v>12000.0</v>
      </c>
      <c r="J288" s="253">
        <f t="shared" si="70"/>
        <v>12000</v>
      </c>
      <c r="K288" s="250">
        <f t="shared" si="71"/>
        <v>4000</v>
      </c>
      <c r="L288" s="251">
        <f t="shared" si="72"/>
        <v>0.5</v>
      </c>
      <c r="M288" s="252"/>
    </row>
    <row r="289" ht="15.75" customHeight="1">
      <c r="A289" s="248">
        <v>6.0</v>
      </c>
      <c r="B289" s="275" t="s">
        <v>1548</v>
      </c>
      <c r="C289" s="280" t="s">
        <v>109</v>
      </c>
      <c r="D289" s="254">
        <v>0.5</v>
      </c>
      <c r="E289" s="241" t="str">
        <f>'Daftar Harga'!D250</f>
        <v/>
      </c>
      <c r="F289" s="242" t="str">
        <f t="shared" si="68"/>
        <v/>
      </c>
      <c r="G289" s="199">
        <v>20000.0</v>
      </c>
      <c r="H289" s="243">
        <f t="shared" si="69"/>
        <v>10000</v>
      </c>
      <c r="I289" s="200">
        <v>25000.0</v>
      </c>
      <c r="J289" s="253">
        <f t="shared" si="70"/>
        <v>12500</v>
      </c>
      <c r="K289" s="245">
        <f t="shared" si="71"/>
        <v>2500</v>
      </c>
      <c r="L289" s="246">
        <f t="shared" si="72"/>
        <v>0.25</v>
      </c>
      <c r="M289" s="247"/>
    </row>
    <row r="290" ht="15.75" customHeight="1">
      <c r="A290" s="248">
        <v>7.0</v>
      </c>
      <c r="B290" s="276" t="s">
        <v>1605</v>
      </c>
      <c r="C290" s="280" t="s">
        <v>109</v>
      </c>
      <c r="D290" s="277">
        <v>50.0</v>
      </c>
      <c r="E290" s="241"/>
      <c r="F290" s="242"/>
      <c r="G290" s="199">
        <v>11500.0</v>
      </c>
      <c r="H290" s="243">
        <f t="shared" si="69"/>
        <v>575000</v>
      </c>
      <c r="I290" s="200">
        <v>12000.0</v>
      </c>
      <c r="J290" s="253">
        <f t="shared" si="70"/>
        <v>600000</v>
      </c>
      <c r="K290" s="245">
        <f t="shared" si="71"/>
        <v>25000</v>
      </c>
      <c r="L290" s="246">
        <f t="shared" si="72"/>
        <v>0.04347826087</v>
      </c>
      <c r="M290" s="252"/>
    </row>
    <row r="291" ht="15.75" customHeight="1">
      <c r="A291" s="239">
        <v>8.0</v>
      </c>
      <c r="B291" s="276" t="s">
        <v>1829</v>
      </c>
      <c r="C291" s="280" t="s">
        <v>109</v>
      </c>
      <c r="D291" s="277">
        <v>3.0</v>
      </c>
      <c r="E291" s="241"/>
      <c r="F291" s="242"/>
      <c r="G291" s="199">
        <v>62500.0</v>
      </c>
      <c r="H291" s="243">
        <f t="shared" si="69"/>
        <v>187500</v>
      </c>
      <c r="I291" s="200">
        <v>75000.0</v>
      </c>
      <c r="J291" s="253">
        <f t="shared" si="70"/>
        <v>225000</v>
      </c>
      <c r="K291" s="245">
        <f t="shared" si="71"/>
        <v>37500</v>
      </c>
      <c r="L291" s="246">
        <f t="shared" si="72"/>
        <v>0.2</v>
      </c>
      <c r="M291" s="252"/>
    </row>
    <row r="292" ht="15.75" customHeight="1">
      <c r="A292" s="248">
        <v>9.0</v>
      </c>
      <c r="B292" s="276" t="s">
        <v>1609</v>
      </c>
      <c r="C292" s="280" t="s">
        <v>109</v>
      </c>
      <c r="D292" s="277">
        <v>20.0</v>
      </c>
      <c r="E292" s="241"/>
      <c r="F292" s="242"/>
      <c r="G292" s="199">
        <v>15500.0</v>
      </c>
      <c r="H292" s="243">
        <f t="shared" si="69"/>
        <v>310000</v>
      </c>
      <c r="I292" s="200">
        <v>17000.0</v>
      </c>
      <c r="J292" s="253">
        <f t="shared" si="70"/>
        <v>340000</v>
      </c>
      <c r="K292" s="245">
        <f t="shared" si="71"/>
        <v>30000</v>
      </c>
      <c r="L292" s="246">
        <f t="shared" si="72"/>
        <v>0.09677419355</v>
      </c>
      <c r="M292" s="252"/>
    </row>
    <row r="293" ht="15.75" customHeight="1">
      <c r="A293" s="248">
        <v>10.0</v>
      </c>
      <c r="B293" s="276" t="s">
        <v>1843</v>
      </c>
      <c r="C293" s="280" t="s">
        <v>109</v>
      </c>
      <c r="D293" s="277">
        <v>35.0</v>
      </c>
      <c r="E293" s="241"/>
      <c r="F293" s="242"/>
      <c r="G293" s="199">
        <v>25000.0</v>
      </c>
      <c r="H293" s="243">
        <f t="shared" si="69"/>
        <v>875000</v>
      </c>
      <c r="I293" s="200">
        <v>28000.0</v>
      </c>
      <c r="J293" s="253">
        <f t="shared" si="70"/>
        <v>980000</v>
      </c>
      <c r="K293" s="245">
        <f t="shared" si="71"/>
        <v>105000</v>
      </c>
      <c r="L293" s="246">
        <f t="shared" si="72"/>
        <v>0.12</v>
      </c>
      <c r="M293" s="252"/>
    </row>
    <row r="294" ht="15.75" customHeight="1">
      <c r="A294" s="239">
        <v>11.0</v>
      </c>
      <c r="B294" s="276" t="s">
        <v>1655</v>
      </c>
      <c r="C294" s="280" t="s">
        <v>109</v>
      </c>
      <c r="D294" s="277">
        <v>1.0</v>
      </c>
      <c r="E294" s="241"/>
      <c r="F294" s="242"/>
      <c r="G294" s="199">
        <v>18500.0</v>
      </c>
      <c r="H294" s="243">
        <f t="shared" si="69"/>
        <v>18500</v>
      </c>
      <c r="I294" s="200">
        <v>20000.0</v>
      </c>
      <c r="J294" s="253">
        <f t="shared" si="70"/>
        <v>20000</v>
      </c>
      <c r="K294" s="245">
        <f t="shared" si="71"/>
        <v>1500</v>
      </c>
      <c r="L294" s="246">
        <f t="shared" si="72"/>
        <v>0.08108108108</v>
      </c>
      <c r="M294" s="252"/>
    </row>
    <row r="295" ht="15.75" customHeight="1">
      <c r="A295" s="248">
        <v>12.0</v>
      </c>
      <c r="B295" s="276" t="s">
        <v>1344</v>
      </c>
      <c r="C295" s="280" t="s">
        <v>109</v>
      </c>
      <c r="D295" s="277">
        <v>1300.0</v>
      </c>
      <c r="E295" s="241" t="str">
        <f>'Daftar Harga'!D253</f>
        <v/>
      </c>
      <c r="F295" s="242" t="str">
        <f t="shared" ref="F295:F300" si="73">IF(E295&lt;&gt;"",D295*E295,"")</f>
        <v/>
      </c>
      <c r="G295" s="199">
        <v>480.0</v>
      </c>
      <c r="H295" s="243">
        <f t="shared" si="69"/>
        <v>624000</v>
      </c>
      <c r="I295" s="200">
        <v>650.0</v>
      </c>
      <c r="J295" s="253">
        <f t="shared" si="70"/>
        <v>845000</v>
      </c>
      <c r="K295" s="245">
        <f t="shared" si="71"/>
        <v>221000</v>
      </c>
      <c r="L295" s="246">
        <f t="shared" si="72"/>
        <v>0.3541666667</v>
      </c>
      <c r="M295" s="252"/>
    </row>
    <row r="296" ht="15.75" customHeight="1">
      <c r="A296" s="248">
        <v>13.0</v>
      </c>
      <c r="B296" s="275" t="s">
        <v>1522</v>
      </c>
      <c r="C296" s="280" t="s">
        <v>109</v>
      </c>
      <c r="D296" s="254">
        <v>2.0</v>
      </c>
      <c r="E296" s="241" t="str">
        <f>'Daftar Harga'!D258</f>
        <v/>
      </c>
      <c r="F296" s="242" t="str">
        <f t="shared" si="73"/>
        <v/>
      </c>
      <c r="G296" s="199">
        <v>28000.0</v>
      </c>
      <c r="H296" s="243">
        <f t="shared" si="69"/>
        <v>56000</v>
      </c>
      <c r="I296" s="200">
        <v>32000.0</v>
      </c>
      <c r="J296" s="253">
        <f t="shared" si="70"/>
        <v>64000</v>
      </c>
      <c r="K296" s="245">
        <f t="shared" si="71"/>
        <v>8000</v>
      </c>
      <c r="L296" s="246">
        <f t="shared" si="72"/>
        <v>0.1428571429</v>
      </c>
      <c r="M296" s="247"/>
    </row>
    <row r="297" ht="15.75" customHeight="1">
      <c r="A297" s="239">
        <v>14.0</v>
      </c>
      <c r="B297" s="276" t="s">
        <v>1556</v>
      </c>
      <c r="C297" s="280" t="s">
        <v>1557</v>
      </c>
      <c r="D297" s="277">
        <v>2.0</v>
      </c>
      <c r="E297" s="241" t="str">
        <f>'Daftar Harga'!D263</f>
        <v/>
      </c>
      <c r="F297" s="242" t="str">
        <f t="shared" si="73"/>
        <v/>
      </c>
      <c r="G297" s="199">
        <v>47000.0</v>
      </c>
      <c r="H297" s="243">
        <f t="shared" si="69"/>
        <v>94000</v>
      </c>
      <c r="I297" s="200">
        <v>50000.0</v>
      </c>
      <c r="J297" s="253">
        <f t="shared" si="70"/>
        <v>100000</v>
      </c>
      <c r="K297" s="250">
        <f t="shared" si="71"/>
        <v>6000</v>
      </c>
      <c r="L297" s="251">
        <f t="shared" si="72"/>
        <v>0.06382978723</v>
      </c>
      <c r="M297" s="252"/>
    </row>
    <row r="298" ht="15.75" customHeight="1">
      <c r="A298" s="248">
        <v>15.0</v>
      </c>
      <c r="B298" s="275" t="s">
        <v>1112</v>
      </c>
      <c r="C298" s="280" t="s">
        <v>109</v>
      </c>
      <c r="D298" s="254">
        <v>150.0</v>
      </c>
      <c r="E298" s="267" t="str">
        <f>'Daftar Harga'!D264</f>
        <v/>
      </c>
      <c r="F298" s="268" t="str">
        <f t="shared" si="73"/>
        <v/>
      </c>
      <c r="G298" s="199">
        <v>18000.0</v>
      </c>
      <c r="H298" s="243">
        <f t="shared" si="69"/>
        <v>2700000</v>
      </c>
      <c r="I298" s="200">
        <v>19000.0</v>
      </c>
      <c r="J298" s="253">
        <f t="shared" si="70"/>
        <v>2850000</v>
      </c>
      <c r="K298" s="250">
        <f t="shared" si="71"/>
        <v>150000</v>
      </c>
      <c r="L298" s="246">
        <f t="shared" si="72"/>
        <v>0.05555555556</v>
      </c>
      <c r="M298" s="247"/>
    </row>
    <row r="299" ht="15.75" customHeight="1">
      <c r="A299" s="248">
        <v>16.0</v>
      </c>
      <c r="B299" s="276" t="s">
        <v>1818</v>
      </c>
      <c r="C299" s="280" t="s">
        <v>109</v>
      </c>
      <c r="D299" s="277">
        <v>5.0</v>
      </c>
      <c r="E299" s="241" t="str">
        <f>'Daftar Harga'!D273</f>
        <v/>
      </c>
      <c r="F299" s="242" t="str">
        <f t="shared" si="73"/>
        <v/>
      </c>
      <c r="G299" s="199">
        <v>26000.0</v>
      </c>
      <c r="H299" s="243">
        <f t="shared" si="69"/>
        <v>130000</v>
      </c>
      <c r="I299" s="200">
        <v>27000.0</v>
      </c>
      <c r="J299" s="253">
        <f t="shared" si="70"/>
        <v>135000</v>
      </c>
      <c r="K299" s="250">
        <f t="shared" si="71"/>
        <v>5000</v>
      </c>
      <c r="L299" s="251">
        <f t="shared" si="72"/>
        <v>0.03846153846</v>
      </c>
      <c r="M299" s="252"/>
    </row>
    <row r="300" ht="15.75" customHeight="1">
      <c r="A300" s="239">
        <v>17.0</v>
      </c>
      <c r="B300" s="275" t="s">
        <v>1674</v>
      </c>
      <c r="C300" s="280" t="s">
        <v>109</v>
      </c>
      <c r="D300" s="254">
        <v>1.0</v>
      </c>
      <c r="E300" s="241" t="str">
        <f>'Daftar Harga'!D281</f>
        <v/>
      </c>
      <c r="F300" s="242" t="str">
        <f t="shared" si="73"/>
        <v/>
      </c>
      <c r="G300" s="199">
        <v>37000.0</v>
      </c>
      <c r="H300" s="263">
        <f t="shared" si="69"/>
        <v>37000</v>
      </c>
      <c r="I300" s="281">
        <v>38000.0</v>
      </c>
      <c r="J300" s="255">
        <f t="shared" si="70"/>
        <v>38000</v>
      </c>
      <c r="K300" s="250">
        <f t="shared" si="71"/>
        <v>1000</v>
      </c>
      <c r="L300" s="246">
        <f t="shared" si="72"/>
        <v>0.02702702703</v>
      </c>
      <c r="M300" s="247"/>
    </row>
    <row r="301" ht="15.75" customHeight="1">
      <c r="A301" s="272" t="s">
        <v>1708</v>
      </c>
      <c r="B301" s="206"/>
      <c r="C301" s="206"/>
      <c r="D301" s="174"/>
      <c r="E301" s="257"/>
      <c r="F301" s="258">
        <f>SUMIF(F284:F300,"&lt;&gt;",F284:F300)</f>
        <v>0</v>
      </c>
      <c r="G301" s="317"/>
      <c r="H301" s="282">
        <f>SUMIF(H284:H300,"&lt;&gt;",H284:H300)</f>
        <v>10907500</v>
      </c>
      <c r="I301" s="327"/>
      <c r="J301" s="282">
        <f>SUMIF(J284:J300,"&lt;&gt;",J284:J300)</f>
        <v>11740000</v>
      </c>
      <c r="K301" s="261">
        <f t="shared" si="71"/>
        <v>832500</v>
      </c>
      <c r="L301" s="262">
        <f t="shared" si="72"/>
        <v>0.07632363053</v>
      </c>
      <c r="M301" s="257"/>
    </row>
    <row r="302" ht="15.75" customHeight="1"/>
    <row r="303" ht="15.75" customHeight="1">
      <c r="A303" s="273" t="s">
        <v>1709</v>
      </c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6"/>
    </row>
    <row r="304" ht="15.75" customHeight="1">
      <c r="A304" s="229" t="s">
        <v>1509</v>
      </c>
      <c r="B304" s="229" t="s">
        <v>1510</v>
      </c>
      <c r="C304" s="229" t="s">
        <v>1511</v>
      </c>
      <c r="D304" s="229" t="s">
        <v>1614</v>
      </c>
      <c r="E304" s="230" t="s">
        <v>1615</v>
      </c>
      <c r="F304" s="174"/>
      <c r="G304" s="231" t="s">
        <v>1616</v>
      </c>
      <c r="H304" s="174"/>
      <c r="I304" s="232" t="s">
        <v>1617</v>
      </c>
      <c r="J304" s="174"/>
      <c r="K304" s="233" t="s">
        <v>1618</v>
      </c>
      <c r="L304" s="174"/>
      <c r="M304" s="229" t="s">
        <v>1619</v>
      </c>
    </row>
    <row r="305" ht="15.75" customHeight="1">
      <c r="A305" s="234" t="s">
        <v>1509</v>
      </c>
      <c r="B305" s="234" t="s">
        <v>1510</v>
      </c>
      <c r="C305" s="234" t="s">
        <v>1511</v>
      </c>
      <c r="D305" s="234" t="s">
        <v>1614</v>
      </c>
      <c r="E305" s="235" t="s">
        <v>1620</v>
      </c>
      <c r="F305" s="235" t="s">
        <v>1621</v>
      </c>
      <c r="G305" s="236" t="s">
        <v>1622</v>
      </c>
      <c r="H305" s="236" t="s">
        <v>1623</v>
      </c>
      <c r="I305" s="237" t="s">
        <v>1624</v>
      </c>
      <c r="J305" s="237" t="s">
        <v>1625</v>
      </c>
      <c r="K305" s="238" t="s">
        <v>1626</v>
      </c>
      <c r="L305" s="238" t="s">
        <v>1627</v>
      </c>
      <c r="M305" s="234" t="s">
        <v>1619</v>
      </c>
    </row>
    <row r="306" ht="15.75" customHeight="1">
      <c r="A306" s="248">
        <v>1.0</v>
      </c>
      <c r="B306" s="276" t="s">
        <v>1527</v>
      </c>
      <c r="C306" s="280" t="s">
        <v>109</v>
      </c>
      <c r="D306" s="277">
        <v>70.0</v>
      </c>
      <c r="E306" s="241" t="str">
        <f>'Daftar Harga'!D248</f>
        <v/>
      </c>
      <c r="F306" s="242" t="str">
        <f t="shared" ref="F306:F311" si="74">IF(E306&lt;&gt;"",D306*E306,"")</f>
        <v/>
      </c>
      <c r="G306" s="199">
        <v>14500.0</v>
      </c>
      <c r="H306" s="243">
        <f t="shared" ref="H306:H326" si="75">IF(G306&lt;&gt;"",D306*G306,"")</f>
        <v>1015000</v>
      </c>
      <c r="I306" s="200">
        <v>15700.0</v>
      </c>
      <c r="J306" s="253">
        <f t="shared" ref="J306:J326" si="76">IF(I306&lt;&gt;"",D306*I306,"")</f>
        <v>1099000</v>
      </c>
      <c r="K306" s="250">
        <f t="shared" ref="K306:K327" si="77">IF(J306&lt;&gt;"",IF(H306&lt;&gt;"",J306-H306,IF(F306&lt;&gt;"",J306-F306,"")),"")</f>
        <v>84000</v>
      </c>
      <c r="L306" s="251">
        <f t="shared" ref="L306:L327" si="78">IF(K306&lt;&gt;"",IF(H306&lt;&gt;"",IF(H306&lt;&gt;0,K306/H306,""),IF(F306&lt;&gt;"",IF(F306&lt;&gt;0,K306/F306,""),"")),"")</f>
        <v>0.08275862069</v>
      </c>
      <c r="M306" s="252"/>
    </row>
    <row r="307" ht="15.75" customHeight="1">
      <c r="A307" s="239">
        <v>2.0</v>
      </c>
      <c r="B307" s="275" t="s">
        <v>1814</v>
      </c>
      <c r="C307" s="280" t="s">
        <v>109</v>
      </c>
      <c r="D307" s="254">
        <v>0.25</v>
      </c>
      <c r="E307" s="241" t="str">
        <f>'Daftar Harga'!D250</f>
        <v/>
      </c>
      <c r="F307" s="242" t="str">
        <f t="shared" si="74"/>
        <v/>
      </c>
      <c r="G307" s="199">
        <v>40000.0</v>
      </c>
      <c r="H307" s="243">
        <f t="shared" si="75"/>
        <v>10000</v>
      </c>
      <c r="I307" s="200">
        <v>50000.0</v>
      </c>
      <c r="J307" s="253">
        <f t="shared" si="76"/>
        <v>12500</v>
      </c>
      <c r="K307" s="245">
        <f t="shared" si="77"/>
        <v>2500</v>
      </c>
      <c r="L307" s="246">
        <f t="shared" si="78"/>
        <v>0.25</v>
      </c>
      <c r="M307" s="247"/>
    </row>
    <row r="308" ht="15.75" customHeight="1">
      <c r="A308" s="248">
        <v>3.0</v>
      </c>
      <c r="B308" s="276" t="s">
        <v>1600</v>
      </c>
      <c r="C308" s="280" t="s">
        <v>109</v>
      </c>
      <c r="D308" s="277">
        <v>90.0</v>
      </c>
      <c r="E308" s="241" t="str">
        <f>'Daftar Harga'!D255</f>
        <v/>
      </c>
      <c r="F308" s="242" t="str">
        <f t="shared" si="74"/>
        <v/>
      </c>
      <c r="G308" s="199">
        <v>24500.0</v>
      </c>
      <c r="H308" s="243">
        <f t="shared" si="75"/>
        <v>2205000</v>
      </c>
      <c r="I308" s="200">
        <v>28000.0</v>
      </c>
      <c r="J308" s="253">
        <f t="shared" si="76"/>
        <v>2520000</v>
      </c>
      <c r="K308" s="245">
        <f t="shared" si="77"/>
        <v>315000</v>
      </c>
      <c r="L308" s="246">
        <f t="shared" si="78"/>
        <v>0.1428571429</v>
      </c>
      <c r="M308" s="252"/>
    </row>
    <row r="309" ht="15.75" customHeight="1">
      <c r="A309" s="248">
        <v>4.0</v>
      </c>
      <c r="B309" s="275" t="s">
        <v>1844</v>
      </c>
      <c r="C309" s="280" t="s">
        <v>109</v>
      </c>
      <c r="D309" s="254">
        <v>2.0</v>
      </c>
      <c r="E309" s="241" t="str">
        <f>'Daftar Harga'!D257</f>
        <v/>
      </c>
      <c r="F309" s="242" t="str">
        <f t="shared" si="74"/>
        <v/>
      </c>
      <c r="G309" s="199">
        <v>32000.0</v>
      </c>
      <c r="H309" s="243">
        <f t="shared" si="75"/>
        <v>64000</v>
      </c>
      <c r="I309" s="200">
        <v>50000.0</v>
      </c>
      <c r="J309" s="253">
        <f t="shared" si="76"/>
        <v>100000</v>
      </c>
      <c r="K309" s="245">
        <f t="shared" si="77"/>
        <v>36000</v>
      </c>
      <c r="L309" s="246">
        <f t="shared" si="78"/>
        <v>0.5625</v>
      </c>
      <c r="M309" s="247"/>
    </row>
    <row r="310" ht="15.75" customHeight="1">
      <c r="A310" s="239">
        <v>5.0</v>
      </c>
      <c r="B310" s="276" t="s">
        <v>1640</v>
      </c>
      <c r="C310" s="280" t="s">
        <v>109</v>
      </c>
      <c r="D310" s="277">
        <v>5.0</v>
      </c>
      <c r="E310" s="241" t="str">
        <f>'Daftar Harga'!D258</f>
        <v/>
      </c>
      <c r="F310" s="242" t="str">
        <f t="shared" si="74"/>
        <v/>
      </c>
      <c r="G310" s="199">
        <v>45000.0</v>
      </c>
      <c r="H310" s="243">
        <f t="shared" si="75"/>
        <v>225000</v>
      </c>
      <c r="I310" s="200">
        <v>54000.0</v>
      </c>
      <c r="J310" s="253">
        <f t="shared" si="76"/>
        <v>270000</v>
      </c>
      <c r="K310" s="245">
        <f t="shared" si="77"/>
        <v>45000</v>
      </c>
      <c r="L310" s="246">
        <f t="shared" si="78"/>
        <v>0.2</v>
      </c>
      <c r="M310" s="252"/>
    </row>
    <row r="311" ht="15.75" customHeight="1">
      <c r="A311" s="248">
        <v>6.0</v>
      </c>
      <c r="B311" s="275" t="s">
        <v>1641</v>
      </c>
      <c r="C311" s="280" t="s">
        <v>109</v>
      </c>
      <c r="D311" s="254">
        <v>4.0</v>
      </c>
      <c r="E311" s="241" t="str">
        <f>'Daftar Harga'!D272</f>
        <v/>
      </c>
      <c r="F311" s="242" t="str">
        <f t="shared" si="74"/>
        <v/>
      </c>
      <c r="G311" s="199">
        <v>40000.0</v>
      </c>
      <c r="H311" s="243">
        <f t="shared" si="75"/>
        <v>160000</v>
      </c>
      <c r="I311" s="200">
        <v>45000.0</v>
      </c>
      <c r="J311" s="253">
        <f t="shared" si="76"/>
        <v>180000</v>
      </c>
      <c r="K311" s="245">
        <f t="shared" si="77"/>
        <v>20000</v>
      </c>
      <c r="L311" s="246">
        <f t="shared" si="78"/>
        <v>0.125</v>
      </c>
      <c r="M311" s="247"/>
    </row>
    <row r="312" ht="15.75" customHeight="1">
      <c r="A312" s="248">
        <v>7.0</v>
      </c>
      <c r="B312" s="276" t="s">
        <v>1813</v>
      </c>
      <c r="C312" s="280" t="s">
        <v>109</v>
      </c>
      <c r="D312" s="277">
        <v>1.0</v>
      </c>
      <c r="E312" s="241"/>
      <c r="F312" s="242"/>
      <c r="G312" s="199">
        <v>70000.0</v>
      </c>
      <c r="H312" s="243">
        <f t="shared" si="75"/>
        <v>70000</v>
      </c>
      <c r="I312" s="200">
        <v>90000.0</v>
      </c>
      <c r="J312" s="253">
        <f t="shared" si="76"/>
        <v>90000</v>
      </c>
      <c r="K312" s="245">
        <f t="shared" si="77"/>
        <v>20000</v>
      </c>
      <c r="L312" s="246">
        <f t="shared" si="78"/>
        <v>0.2857142857</v>
      </c>
      <c r="M312" s="252"/>
    </row>
    <row r="313" ht="15.75" customHeight="1">
      <c r="A313" s="239">
        <v>8.0</v>
      </c>
      <c r="B313" s="276" t="s">
        <v>1563</v>
      </c>
      <c r="C313" s="280" t="s">
        <v>109</v>
      </c>
      <c r="D313" s="277">
        <v>2.0</v>
      </c>
      <c r="E313" s="241"/>
      <c r="F313" s="242"/>
      <c r="G313" s="199">
        <v>46000.0</v>
      </c>
      <c r="H313" s="243">
        <f t="shared" si="75"/>
        <v>92000</v>
      </c>
      <c r="I313" s="200">
        <v>55000.0</v>
      </c>
      <c r="J313" s="253">
        <f t="shared" si="76"/>
        <v>110000</v>
      </c>
      <c r="K313" s="245">
        <f t="shared" si="77"/>
        <v>18000</v>
      </c>
      <c r="L313" s="246">
        <f t="shared" si="78"/>
        <v>0.1956521739</v>
      </c>
      <c r="M313" s="252"/>
    </row>
    <row r="314" ht="15.75" customHeight="1">
      <c r="A314" s="248">
        <v>9.0</v>
      </c>
      <c r="B314" s="276" t="s">
        <v>1679</v>
      </c>
      <c r="C314" s="280" t="s">
        <v>109</v>
      </c>
      <c r="D314" s="277">
        <v>0.25</v>
      </c>
      <c r="E314" s="241"/>
      <c r="F314" s="242"/>
      <c r="G314" s="199">
        <v>40000.0</v>
      </c>
      <c r="H314" s="243">
        <f t="shared" si="75"/>
        <v>10000</v>
      </c>
      <c r="I314" s="200">
        <v>30000.0</v>
      </c>
      <c r="J314" s="253">
        <f t="shared" si="76"/>
        <v>7500</v>
      </c>
      <c r="K314" s="245">
        <f t="shared" si="77"/>
        <v>-2500</v>
      </c>
      <c r="L314" s="246">
        <f t="shared" si="78"/>
        <v>-0.25</v>
      </c>
      <c r="M314" s="252"/>
    </row>
    <row r="315" ht="15.75" customHeight="1">
      <c r="A315" s="248">
        <v>10.0</v>
      </c>
      <c r="B315" s="276" t="s">
        <v>1595</v>
      </c>
      <c r="C315" s="280" t="s">
        <v>109</v>
      </c>
      <c r="D315" s="277">
        <v>0.25</v>
      </c>
      <c r="E315" s="241"/>
      <c r="F315" s="242"/>
      <c r="G315" s="199">
        <v>12500.0</v>
      </c>
      <c r="H315" s="243">
        <f t="shared" si="75"/>
        <v>3125</v>
      </c>
      <c r="I315" s="200">
        <v>15000.0</v>
      </c>
      <c r="J315" s="253">
        <f t="shared" si="76"/>
        <v>3750</v>
      </c>
      <c r="K315" s="245">
        <f t="shared" si="77"/>
        <v>625</v>
      </c>
      <c r="L315" s="246">
        <f t="shared" si="78"/>
        <v>0.2</v>
      </c>
      <c r="M315" s="252"/>
    </row>
    <row r="316" ht="15.75" customHeight="1">
      <c r="A316" s="239">
        <v>11.0</v>
      </c>
      <c r="B316" s="276" t="s">
        <v>1643</v>
      </c>
      <c r="C316" s="280" t="s">
        <v>109</v>
      </c>
      <c r="D316" s="277">
        <v>2.0</v>
      </c>
      <c r="E316" s="241"/>
      <c r="F316" s="242"/>
      <c r="G316" s="199">
        <v>190000.0</v>
      </c>
      <c r="H316" s="243">
        <f t="shared" si="75"/>
        <v>380000</v>
      </c>
      <c r="I316" s="200">
        <v>210000.0</v>
      </c>
      <c r="J316" s="253">
        <f t="shared" si="76"/>
        <v>420000</v>
      </c>
      <c r="K316" s="245">
        <f t="shared" si="77"/>
        <v>40000</v>
      </c>
      <c r="L316" s="246">
        <f t="shared" si="78"/>
        <v>0.1052631579</v>
      </c>
      <c r="M316" s="252"/>
    </row>
    <row r="317" ht="15.75" customHeight="1">
      <c r="A317" s="248">
        <v>12.0</v>
      </c>
      <c r="B317" s="276" t="s">
        <v>1845</v>
      </c>
      <c r="C317" s="280" t="s">
        <v>109</v>
      </c>
      <c r="D317" s="277">
        <v>210.0</v>
      </c>
      <c r="E317" s="241" t="str">
        <f>'Daftar Harga'!D275</f>
        <v/>
      </c>
      <c r="F317" s="242" t="str">
        <f t="shared" ref="F317:F320" si="79">IF(E317&lt;&gt;"",D317*E317,"")</f>
        <v/>
      </c>
      <c r="G317" s="199">
        <v>3500.0</v>
      </c>
      <c r="H317" s="243">
        <f t="shared" si="75"/>
        <v>735000</v>
      </c>
      <c r="I317" s="200">
        <v>4500.0</v>
      </c>
      <c r="J317" s="253">
        <f t="shared" si="76"/>
        <v>945000</v>
      </c>
      <c r="K317" s="245">
        <f t="shared" si="77"/>
        <v>210000</v>
      </c>
      <c r="L317" s="246">
        <f t="shared" si="78"/>
        <v>0.2857142857</v>
      </c>
      <c r="M317" s="252"/>
    </row>
    <row r="318" ht="15.75" customHeight="1">
      <c r="A318" s="248">
        <v>13.0</v>
      </c>
      <c r="B318" s="275" t="s">
        <v>1605</v>
      </c>
      <c r="C318" s="280" t="s">
        <v>109</v>
      </c>
      <c r="D318" s="254">
        <v>15.0</v>
      </c>
      <c r="E318" s="241" t="str">
        <f>'Daftar Harga'!D280</f>
        <v/>
      </c>
      <c r="F318" s="242" t="str">
        <f t="shared" si="79"/>
        <v/>
      </c>
      <c r="G318" s="199">
        <v>11250.0</v>
      </c>
      <c r="H318" s="243">
        <f t="shared" si="75"/>
        <v>168750</v>
      </c>
      <c r="I318" s="200">
        <v>12000.0</v>
      </c>
      <c r="J318" s="253">
        <f t="shared" si="76"/>
        <v>180000</v>
      </c>
      <c r="K318" s="245">
        <f t="shared" si="77"/>
        <v>11250</v>
      </c>
      <c r="L318" s="246">
        <f t="shared" si="78"/>
        <v>0.06666666667</v>
      </c>
      <c r="M318" s="247"/>
    </row>
    <row r="319" ht="15.75" customHeight="1">
      <c r="A319" s="239">
        <v>14.0</v>
      </c>
      <c r="B319" s="276" t="s">
        <v>1665</v>
      </c>
      <c r="C319" s="280" t="s">
        <v>109</v>
      </c>
      <c r="D319" s="277">
        <v>5.0</v>
      </c>
      <c r="E319" s="241" t="str">
        <f>'Daftar Harga'!D285</f>
        <v/>
      </c>
      <c r="F319" s="242" t="str">
        <f t="shared" si="79"/>
        <v/>
      </c>
      <c r="G319" s="199">
        <v>26000.0</v>
      </c>
      <c r="H319" s="243">
        <f t="shared" si="75"/>
        <v>130000</v>
      </c>
      <c r="I319" s="200">
        <v>27000.0</v>
      </c>
      <c r="J319" s="253">
        <f t="shared" si="76"/>
        <v>135000</v>
      </c>
      <c r="K319" s="245">
        <f t="shared" si="77"/>
        <v>5000</v>
      </c>
      <c r="L319" s="246">
        <f t="shared" si="78"/>
        <v>0.03846153846</v>
      </c>
      <c r="M319" s="252"/>
    </row>
    <row r="320" ht="15.75" customHeight="1">
      <c r="A320" s="248">
        <v>15.0</v>
      </c>
      <c r="B320" s="275" t="s">
        <v>1803</v>
      </c>
      <c r="C320" s="280" t="s">
        <v>109</v>
      </c>
      <c r="D320" s="254">
        <v>0.5</v>
      </c>
      <c r="E320" s="267" t="str">
        <f>'Daftar Harga'!D286</f>
        <v/>
      </c>
      <c r="F320" s="268" t="str">
        <f t="shared" si="79"/>
        <v/>
      </c>
      <c r="G320" s="199">
        <v>46000.0</v>
      </c>
      <c r="H320" s="243">
        <f t="shared" si="75"/>
        <v>23000</v>
      </c>
      <c r="I320" s="200">
        <v>35000.0</v>
      </c>
      <c r="J320" s="253">
        <f t="shared" si="76"/>
        <v>17500</v>
      </c>
      <c r="K320" s="245">
        <f t="shared" si="77"/>
        <v>-5500</v>
      </c>
      <c r="L320" s="246">
        <f t="shared" si="78"/>
        <v>-0.2391304348</v>
      </c>
      <c r="M320" s="247"/>
    </row>
    <row r="321" ht="15.75" customHeight="1">
      <c r="A321" s="239">
        <v>16.0</v>
      </c>
      <c r="B321" s="276" t="s">
        <v>1601</v>
      </c>
      <c r="C321" s="280" t="s">
        <v>109</v>
      </c>
      <c r="D321" s="277">
        <v>35.0</v>
      </c>
      <c r="E321" s="241"/>
      <c r="F321" s="242"/>
      <c r="G321" s="199">
        <v>12000.0</v>
      </c>
      <c r="H321" s="243">
        <f t="shared" si="75"/>
        <v>420000</v>
      </c>
      <c r="I321" s="200">
        <v>13000.0</v>
      </c>
      <c r="J321" s="253">
        <f t="shared" si="76"/>
        <v>455000</v>
      </c>
      <c r="K321" s="245">
        <f t="shared" si="77"/>
        <v>35000</v>
      </c>
      <c r="L321" s="246">
        <f t="shared" si="78"/>
        <v>0.08333333333</v>
      </c>
      <c r="M321" s="252"/>
    </row>
    <row r="322" ht="15.75" customHeight="1">
      <c r="A322" s="248">
        <v>17.0</v>
      </c>
      <c r="B322" s="276" t="s">
        <v>1534</v>
      </c>
      <c r="C322" s="280" t="s">
        <v>109</v>
      </c>
      <c r="D322" s="277">
        <v>25.0</v>
      </c>
      <c r="E322" s="241"/>
      <c r="F322" s="242"/>
      <c r="G322" s="199">
        <v>10000.0</v>
      </c>
      <c r="H322" s="243">
        <f t="shared" si="75"/>
        <v>250000</v>
      </c>
      <c r="I322" s="200">
        <v>13000.0</v>
      </c>
      <c r="J322" s="253">
        <f t="shared" si="76"/>
        <v>325000</v>
      </c>
      <c r="K322" s="245">
        <f t="shared" si="77"/>
        <v>75000</v>
      </c>
      <c r="L322" s="246">
        <f t="shared" si="78"/>
        <v>0.3</v>
      </c>
      <c r="M322" s="252"/>
    </row>
    <row r="323" ht="15.75" customHeight="1">
      <c r="A323" s="239">
        <v>18.0</v>
      </c>
      <c r="B323" s="276" t="s">
        <v>1846</v>
      </c>
      <c r="C323" s="280" t="s">
        <v>109</v>
      </c>
      <c r="D323" s="277">
        <v>2.0</v>
      </c>
      <c r="E323" s="241"/>
      <c r="F323" s="242"/>
      <c r="G323" s="199">
        <v>52000.0</v>
      </c>
      <c r="H323" s="243">
        <f t="shared" si="75"/>
        <v>104000</v>
      </c>
      <c r="I323" s="200">
        <v>57000.0</v>
      </c>
      <c r="J323" s="253">
        <f t="shared" si="76"/>
        <v>114000</v>
      </c>
      <c r="K323" s="245">
        <f t="shared" si="77"/>
        <v>10000</v>
      </c>
      <c r="L323" s="246">
        <f t="shared" si="78"/>
        <v>0.09615384615</v>
      </c>
      <c r="M323" s="252"/>
    </row>
    <row r="324" ht="15.75" customHeight="1">
      <c r="A324" s="248">
        <v>19.0</v>
      </c>
      <c r="B324" s="276" t="s">
        <v>1608</v>
      </c>
      <c r="C324" s="280" t="s">
        <v>109</v>
      </c>
      <c r="D324" s="277">
        <v>2.0</v>
      </c>
      <c r="E324" s="241"/>
      <c r="F324" s="242"/>
      <c r="G324" s="199">
        <v>15000.0</v>
      </c>
      <c r="H324" s="243">
        <f t="shared" si="75"/>
        <v>30000</v>
      </c>
      <c r="I324" s="200">
        <v>17000.0</v>
      </c>
      <c r="J324" s="253">
        <f t="shared" si="76"/>
        <v>34000</v>
      </c>
      <c r="K324" s="245">
        <f t="shared" si="77"/>
        <v>4000</v>
      </c>
      <c r="L324" s="246">
        <f t="shared" si="78"/>
        <v>0.1333333333</v>
      </c>
      <c r="M324" s="252"/>
    </row>
    <row r="325" ht="15.75" customHeight="1">
      <c r="A325" s="239">
        <v>20.0</v>
      </c>
      <c r="B325" s="276" t="s">
        <v>1847</v>
      </c>
      <c r="C325" s="280" t="s">
        <v>109</v>
      </c>
      <c r="D325" s="277">
        <v>1.0</v>
      </c>
      <c r="E325" s="241" t="str">
        <f>'Daftar Harga'!D295</f>
        <v/>
      </c>
      <c r="F325" s="242" t="str">
        <f t="shared" ref="F325:F326" si="80">IF(E325&lt;&gt;"",D325*E325,"")</f>
        <v/>
      </c>
      <c r="G325" s="199">
        <v>69000.0</v>
      </c>
      <c r="H325" s="243">
        <f t="shared" si="75"/>
        <v>69000</v>
      </c>
      <c r="I325" s="200">
        <v>75000.0</v>
      </c>
      <c r="J325" s="253">
        <f t="shared" si="76"/>
        <v>75000</v>
      </c>
      <c r="K325" s="245">
        <f t="shared" si="77"/>
        <v>6000</v>
      </c>
      <c r="L325" s="246">
        <f t="shared" si="78"/>
        <v>0.08695652174</v>
      </c>
      <c r="M325" s="252"/>
    </row>
    <row r="326" ht="15.75" customHeight="1">
      <c r="A326" s="248">
        <v>21.0</v>
      </c>
      <c r="B326" s="275" t="s">
        <v>1112</v>
      </c>
      <c r="C326" s="280" t="s">
        <v>109</v>
      </c>
      <c r="D326" s="254">
        <v>150.0</v>
      </c>
      <c r="E326" s="241" t="str">
        <f>'Daftar Harga'!D303</f>
        <v/>
      </c>
      <c r="F326" s="242" t="str">
        <f t="shared" si="80"/>
        <v/>
      </c>
      <c r="G326" s="199">
        <v>18000.0</v>
      </c>
      <c r="H326" s="243">
        <f t="shared" si="75"/>
        <v>2700000</v>
      </c>
      <c r="I326" s="281">
        <v>19500.0</v>
      </c>
      <c r="J326" s="253">
        <f t="shared" si="76"/>
        <v>2925000</v>
      </c>
      <c r="K326" s="245">
        <f t="shared" si="77"/>
        <v>225000</v>
      </c>
      <c r="L326" s="246">
        <f t="shared" si="78"/>
        <v>0.08333333333</v>
      </c>
      <c r="M326" s="247"/>
    </row>
    <row r="327" ht="15.75" customHeight="1">
      <c r="A327" s="272" t="s">
        <v>1715</v>
      </c>
      <c r="B327" s="206"/>
      <c r="C327" s="206"/>
      <c r="D327" s="174"/>
      <c r="E327" s="257"/>
      <c r="F327" s="258">
        <f>SUMIF(F306:F326,"&lt;&gt;",F306:F326)</f>
        <v>0</v>
      </c>
      <c r="G327" s="317"/>
      <c r="H327" s="282">
        <f>SUMIF(H306:H326,"&lt;&gt;",H306:H326)</f>
        <v>8863875</v>
      </c>
      <c r="I327" s="327"/>
      <c r="J327" s="282">
        <f>SUMIF(J306:J326,"&lt;&gt;",J306:J326)</f>
        <v>10018250</v>
      </c>
      <c r="K327" s="261">
        <f t="shared" si="77"/>
        <v>1154375</v>
      </c>
      <c r="L327" s="262">
        <f t="shared" si="78"/>
        <v>0.1302336732</v>
      </c>
      <c r="M327" s="257"/>
    </row>
    <row r="328" ht="15.75" customHeight="1"/>
    <row r="329" ht="15.75" customHeight="1">
      <c r="A329" s="273" t="s">
        <v>1716</v>
      </c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6"/>
    </row>
    <row r="330" ht="15.75" customHeight="1">
      <c r="A330" s="229" t="s">
        <v>1509</v>
      </c>
      <c r="B330" s="229" t="s">
        <v>1510</v>
      </c>
      <c r="C330" s="229" t="s">
        <v>1511</v>
      </c>
      <c r="D330" s="229" t="s">
        <v>1614</v>
      </c>
      <c r="E330" s="230" t="s">
        <v>1615</v>
      </c>
      <c r="F330" s="174"/>
      <c r="G330" s="231" t="s">
        <v>1616</v>
      </c>
      <c r="H330" s="174"/>
      <c r="I330" s="232" t="s">
        <v>1617</v>
      </c>
      <c r="J330" s="174"/>
      <c r="K330" s="233" t="s">
        <v>1618</v>
      </c>
      <c r="L330" s="174"/>
      <c r="M330" s="229" t="s">
        <v>1619</v>
      </c>
    </row>
    <row r="331" ht="15.75" customHeight="1">
      <c r="A331" s="234" t="s">
        <v>1509</v>
      </c>
      <c r="B331" s="234" t="s">
        <v>1510</v>
      </c>
      <c r="C331" s="234" t="s">
        <v>1511</v>
      </c>
      <c r="D331" s="234" t="s">
        <v>1614</v>
      </c>
      <c r="E331" s="235" t="s">
        <v>1620</v>
      </c>
      <c r="F331" s="235" t="s">
        <v>1621</v>
      </c>
      <c r="G331" s="236" t="s">
        <v>1622</v>
      </c>
      <c r="H331" s="236" t="s">
        <v>1623</v>
      </c>
      <c r="I331" s="237" t="s">
        <v>1624</v>
      </c>
      <c r="J331" s="237" t="s">
        <v>1625</v>
      </c>
      <c r="K331" s="238" t="s">
        <v>1626</v>
      </c>
      <c r="L331" s="238" t="s">
        <v>1627</v>
      </c>
      <c r="M331" s="234" t="s">
        <v>1619</v>
      </c>
    </row>
    <row r="332" ht="15.75" customHeight="1">
      <c r="A332" s="248">
        <v>1.0</v>
      </c>
      <c r="B332" s="276" t="s">
        <v>1527</v>
      </c>
      <c r="C332" s="280" t="s">
        <v>109</v>
      </c>
      <c r="D332" s="277">
        <v>70.0</v>
      </c>
      <c r="E332" s="241" t="str">
        <f>'Daftar Harga'!D274</f>
        <v/>
      </c>
      <c r="F332" s="242" t="str">
        <f t="shared" ref="F332:F337" si="81">IF(E332&lt;&gt;"",D332*E332,"")</f>
        <v/>
      </c>
      <c r="G332" s="199">
        <v>14500.0</v>
      </c>
      <c r="H332" s="243">
        <f t="shared" ref="H332:H344" si="82">IF(G332&lt;&gt;"",D332*G332,"")</f>
        <v>1015000</v>
      </c>
      <c r="I332" s="200">
        <v>15700.0</v>
      </c>
      <c r="J332" s="253">
        <f t="shared" ref="J332:J344" si="83">IF(I332&lt;&gt;"",D332*I332,"")</f>
        <v>1099000</v>
      </c>
      <c r="K332" s="250">
        <f t="shared" ref="K332:K345" si="84">IF(J332&lt;&gt;"",IF(H332&lt;&gt;"",J332-H332,IF(F332&lt;&gt;"",J332-F332,"")),"")</f>
        <v>84000</v>
      </c>
      <c r="L332" s="251">
        <f t="shared" ref="L332:L345" si="85">IF(K332&lt;&gt;"",IF(H332&lt;&gt;"",IF(H332&lt;&gt;0,K332/H332,""),IF(F332&lt;&gt;"",IF(F332&lt;&gt;0,K332/F332,""),"")),"")</f>
        <v>0.08275862069</v>
      </c>
      <c r="M332" s="252"/>
    </row>
    <row r="333" ht="15.75" customHeight="1">
      <c r="A333" s="239">
        <v>2.0</v>
      </c>
      <c r="B333" s="275" t="s">
        <v>1848</v>
      </c>
      <c r="C333" s="280" t="s">
        <v>69</v>
      </c>
      <c r="D333" s="254">
        <v>5600.0</v>
      </c>
      <c r="E333" s="241" t="str">
        <f>'Daftar Harga'!D276</f>
        <v/>
      </c>
      <c r="F333" s="242" t="str">
        <f t="shared" si="81"/>
        <v/>
      </c>
      <c r="G333" s="199">
        <v>700.0</v>
      </c>
      <c r="H333" s="243">
        <f t="shared" si="82"/>
        <v>3920000</v>
      </c>
      <c r="I333" s="200">
        <v>750.0</v>
      </c>
      <c r="J333" s="253">
        <f t="shared" si="83"/>
        <v>4200000</v>
      </c>
      <c r="K333" s="245">
        <f t="shared" si="84"/>
        <v>280000</v>
      </c>
      <c r="L333" s="246">
        <f t="shared" si="85"/>
        <v>0.07142857143</v>
      </c>
      <c r="M333" s="247"/>
    </row>
    <row r="334" ht="15.75" customHeight="1">
      <c r="A334" s="248">
        <v>3.0</v>
      </c>
      <c r="B334" s="276" t="s">
        <v>1644</v>
      </c>
      <c r="C334" s="280" t="s">
        <v>109</v>
      </c>
      <c r="D334" s="277">
        <v>50.0</v>
      </c>
      <c r="E334" s="241" t="str">
        <f>'Daftar Harga'!D281</f>
        <v/>
      </c>
      <c r="F334" s="242" t="str">
        <f t="shared" si="81"/>
        <v/>
      </c>
      <c r="G334" s="199">
        <v>6000.0</v>
      </c>
      <c r="H334" s="243">
        <f t="shared" si="82"/>
        <v>300000</v>
      </c>
      <c r="I334" s="200">
        <v>12000.0</v>
      </c>
      <c r="J334" s="253">
        <f t="shared" si="83"/>
        <v>600000</v>
      </c>
      <c r="K334" s="245">
        <f t="shared" si="84"/>
        <v>300000</v>
      </c>
      <c r="L334" s="246">
        <f t="shared" si="85"/>
        <v>1</v>
      </c>
      <c r="M334" s="252"/>
    </row>
    <row r="335" ht="15.75" customHeight="1">
      <c r="A335" s="248">
        <v>4.0</v>
      </c>
      <c r="B335" s="275" t="s">
        <v>1641</v>
      </c>
      <c r="C335" s="280" t="s">
        <v>109</v>
      </c>
      <c r="D335" s="254">
        <v>3.0</v>
      </c>
      <c r="E335" s="241" t="str">
        <f>'Daftar Harga'!D283</f>
        <v/>
      </c>
      <c r="F335" s="242" t="str">
        <f t="shared" si="81"/>
        <v/>
      </c>
      <c r="G335" s="199">
        <v>40000.0</v>
      </c>
      <c r="H335" s="243">
        <f t="shared" si="82"/>
        <v>120000</v>
      </c>
      <c r="I335" s="200">
        <v>45000.0</v>
      </c>
      <c r="J335" s="253">
        <f t="shared" si="83"/>
        <v>135000</v>
      </c>
      <c r="K335" s="245">
        <f t="shared" si="84"/>
        <v>15000</v>
      </c>
      <c r="L335" s="246">
        <f t="shared" si="85"/>
        <v>0.125</v>
      </c>
      <c r="M335" s="247"/>
    </row>
    <row r="336" ht="15.75" customHeight="1">
      <c r="A336" s="239">
        <v>5.0</v>
      </c>
      <c r="B336" s="276" t="s">
        <v>1849</v>
      </c>
      <c r="C336" s="280" t="s">
        <v>109</v>
      </c>
      <c r="D336" s="277">
        <v>1.0</v>
      </c>
      <c r="E336" s="241" t="str">
        <f>'Daftar Harga'!D284</f>
        <v/>
      </c>
      <c r="F336" s="242" t="str">
        <f t="shared" si="81"/>
        <v/>
      </c>
      <c r="G336" s="199">
        <v>45000.0</v>
      </c>
      <c r="H336" s="243">
        <f t="shared" si="82"/>
        <v>45000</v>
      </c>
      <c r="I336" s="200">
        <v>65000.0</v>
      </c>
      <c r="J336" s="253">
        <f t="shared" si="83"/>
        <v>65000</v>
      </c>
      <c r="K336" s="245">
        <f t="shared" si="84"/>
        <v>20000</v>
      </c>
      <c r="L336" s="246">
        <f t="shared" si="85"/>
        <v>0.4444444444</v>
      </c>
      <c r="M336" s="252"/>
    </row>
    <row r="337" ht="15.75" customHeight="1">
      <c r="A337" s="248">
        <v>6.0</v>
      </c>
      <c r="B337" s="275" t="s">
        <v>1817</v>
      </c>
      <c r="C337" s="280" t="s">
        <v>109</v>
      </c>
      <c r="D337" s="254">
        <v>1.0</v>
      </c>
      <c r="E337" s="241" t="str">
        <f>'Daftar Harga'!D298</f>
        <v/>
      </c>
      <c r="F337" s="242" t="str">
        <f t="shared" si="81"/>
        <v/>
      </c>
      <c r="G337" s="199">
        <v>25000.0</v>
      </c>
      <c r="H337" s="243">
        <f t="shared" si="82"/>
        <v>25000</v>
      </c>
      <c r="I337" s="200">
        <v>35000.0</v>
      </c>
      <c r="J337" s="253">
        <f t="shared" si="83"/>
        <v>35000</v>
      </c>
      <c r="K337" s="245">
        <f t="shared" si="84"/>
        <v>10000</v>
      </c>
      <c r="L337" s="246">
        <f t="shared" si="85"/>
        <v>0.4</v>
      </c>
      <c r="M337" s="247"/>
    </row>
    <row r="338" ht="15.75" customHeight="1">
      <c r="A338" s="248">
        <v>7.0</v>
      </c>
      <c r="B338" s="276" t="s">
        <v>1850</v>
      </c>
      <c r="C338" s="280" t="s">
        <v>69</v>
      </c>
      <c r="D338" s="277">
        <v>10.0</v>
      </c>
      <c r="E338" s="241"/>
      <c r="F338" s="242"/>
      <c r="G338" s="199">
        <v>2500.0</v>
      </c>
      <c r="H338" s="243">
        <f t="shared" si="82"/>
        <v>25000</v>
      </c>
      <c r="I338" s="200">
        <v>3000.0</v>
      </c>
      <c r="J338" s="253">
        <f t="shared" si="83"/>
        <v>30000</v>
      </c>
      <c r="K338" s="245">
        <f t="shared" si="84"/>
        <v>5000</v>
      </c>
      <c r="L338" s="246">
        <f t="shared" si="85"/>
        <v>0.2</v>
      </c>
      <c r="M338" s="252"/>
    </row>
    <row r="339" ht="15.75" customHeight="1">
      <c r="A339" s="239">
        <v>8.0</v>
      </c>
      <c r="B339" s="276" t="s">
        <v>1811</v>
      </c>
      <c r="C339" s="280" t="s">
        <v>109</v>
      </c>
      <c r="D339" s="277">
        <v>2.0</v>
      </c>
      <c r="E339" s="241"/>
      <c r="F339" s="242"/>
      <c r="G339" s="199">
        <v>42000.0</v>
      </c>
      <c r="H339" s="243">
        <f t="shared" si="82"/>
        <v>84000</v>
      </c>
      <c r="I339" s="200">
        <v>46000.0</v>
      </c>
      <c r="J339" s="253">
        <f t="shared" si="83"/>
        <v>92000</v>
      </c>
      <c r="K339" s="245">
        <f t="shared" si="84"/>
        <v>8000</v>
      </c>
      <c r="L339" s="246">
        <f t="shared" si="85"/>
        <v>0.09523809524</v>
      </c>
      <c r="M339" s="252"/>
    </row>
    <row r="340" ht="15.75" customHeight="1">
      <c r="A340" s="248">
        <v>9.0</v>
      </c>
      <c r="B340" s="276" t="s">
        <v>1851</v>
      </c>
      <c r="C340" s="280" t="s">
        <v>109</v>
      </c>
      <c r="D340" s="277">
        <v>1.0</v>
      </c>
      <c r="E340" s="241"/>
      <c r="F340" s="242"/>
      <c r="G340" s="199">
        <v>110000.0</v>
      </c>
      <c r="H340" s="243">
        <f t="shared" si="82"/>
        <v>110000</v>
      </c>
      <c r="I340" s="200">
        <v>130000.0</v>
      </c>
      <c r="J340" s="253">
        <f t="shared" si="83"/>
        <v>130000</v>
      </c>
      <c r="K340" s="245">
        <f t="shared" si="84"/>
        <v>20000</v>
      </c>
      <c r="L340" s="246">
        <f t="shared" si="85"/>
        <v>0.1818181818</v>
      </c>
      <c r="M340" s="252"/>
    </row>
    <row r="341" ht="15.75" customHeight="1">
      <c r="A341" s="248">
        <v>10.0</v>
      </c>
      <c r="B341" s="276" t="s">
        <v>1852</v>
      </c>
      <c r="C341" s="280" t="s">
        <v>109</v>
      </c>
      <c r="D341" s="277">
        <v>325.0</v>
      </c>
      <c r="E341" s="241"/>
      <c r="F341" s="242"/>
      <c r="G341" s="199">
        <v>3000.0</v>
      </c>
      <c r="H341" s="243">
        <f t="shared" si="82"/>
        <v>975000</v>
      </c>
      <c r="I341" s="200">
        <v>3500.0</v>
      </c>
      <c r="J341" s="253">
        <f t="shared" si="83"/>
        <v>1137500</v>
      </c>
      <c r="K341" s="245">
        <f t="shared" si="84"/>
        <v>162500</v>
      </c>
      <c r="L341" s="246">
        <f t="shared" si="85"/>
        <v>0.1666666667</v>
      </c>
      <c r="M341" s="252"/>
    </row>
    <row r="342" ht="15.75" customHeight="1">
      <c r="A342" s="239">
        <v>11.0</v>
      </c>
      <c r="B342" s="276" t="s">
        <v>1853</v>
      </c>
      <c r="C342" s="280" t="s">
        <v>1854</v>
      </c>
      <c r="D342" s="277">
        <v>4.0</v>
      </c>
      <c r="E342" s="241"/>
      <c r="F342" s="242"/>
      <c r="G342" s="199">
        <v>75000.0</v>
      </c>
      <c r="H342" s="243">
        <f t="shared" si="82"/>
        <v>300000</v>
      </c>
      <c r="I342" s="200">
        <v>85000.0</v>
      </c>
      <c r="J342" s="253">
        <f t="shared" si="83"/>
        <v>340000</v>
      </c>
      <c r="K342" s="245">
        <f t="shared" si="84"/>
        <v>40000</v>
      </c>
      <c r="L342" s="246">
        <f t="shared" si="85"/>
        <v>0.1333333333</v>
      </c>
      <c r="M342" s="252"/>
    </row>
    <row r="343" ht="15.75" customHeight="1">
      <c r="A343" s="248">
        <v>12.0</v>
      </c>
      <c r="B343" s="276" t="s">
        <v>1855</v>
      </c>
      <c r="C343" s="280" t="s">
        <v>109</v>
      </c>
      <c r="D343" s="277">
        <v>7.0</v>
      </c>
      <c r="E343" s="241" t="str">
        <f>'Daftar Harga'!D301</f>
        <v/>
      </c>
      <c r="F343" s="242" t="str">
        <f t="shared" ref="F343:F344" si="86">IF(E343&lt;&gt;"",D343*E343,"")</f>
        <v/>
      </c>
      <c r="G343" s="199">
        <v>4000.0</v>
      </c>
      <c r="H343" s="243">
        <f t="shared" si="82"/>
        <v>28000</v>
      </c>
      <c r="I343" s="200">
        <v>10000.0</v>
      </c>
      <c r="J343" s="253">
        <f t="shared" si="83"/>
        <v>70000</v>
      </c>
      <c r="K343" s="245">
        <f t="shared" si="84"/>
        <v>42000</v>
      </c>
      <c r="L343" s="246">
        <f t="shared" si="85"/>
        <v>1.5</v>
      </c>
      <c r="M343" s="252"/>
    </row>
    <row r="344" ht="15.75" customHeight="1">
      <c r="A344" s="248">
        <v>13.0</v>
      </c>
      <c r="B344" s="275" t="s">
        <v>1634</v>
      </c>
      <c r="C344" s="280" t="s">
        <v>109</v>
      </c>
      <c r="D344" s="254">
        <v>1157.0</v>
      </c>
      <c r="E344" s="241" t="str">
        <f>'Daftar Harga'!D306</f>
        <v/>
      </c>
      <c r="F344" s="242" t="str">
        <f t="shared" si="86"/>
        <v/>
      </c>
      <c r="G344" s="199">
        <v>1800.0</v>
      </c>
      <c r="H344" s="243">
        <f t="shared" si="82"/>
        <v>2082600</v>
      </c>
      <c r="I344" s="200">
        <v>2000.0</v>
      </c>
      <c r="J344" s="253">
        <f t="shared" si="83"/>
        <v>2314000</v>
      </c>
      <c r="K344" s="245">
        <f t="shared" si="84"/>
        <v>231400</v>
      </c>
      <c r="L344" s="246">
        <f t="shared" si="85"/>
        <v>0.1111111111</v>
      </c>
      <c r="M344" s="247"/>
    </row>
    <row r="345" ht="15.75" customHeight="1">
      <c r="A345" s="272" t="s">
        <v>1721</v>
      </c>
      <c r="B345" s="206"/>
      <c r="C345" s="206"/>
      <c r="D345" s="174"/>
      <c r="E345" s="257"/>
      <c r="F345" s="258">
        <f>SUMIF(F332:F344,"&lt;&gt;",F332:F344)</f>
        <v>0</v>
      </c>
      <c r="G345" s="317"/>
      <c r="H345" s="282">
        <f>SUMIF(H332:H344,"&lt;&gt;",H332:H344)</f>
        <v>9029600</v>
      </c>
      <c r="I345" s="327"/>
      <c r="J345" s="282">
        <f>SUMIF(J332:J344,"&lt;&gt;",J332:J344)</f>
        <v>10247500</v>
      </c>
      <c r="K345" s="261">
        <f t="shared" si="84"/>
        <v>1217900</v>
      </c>
      <c r="L345" s="262">
        <f t="shared" si="85"/>
        <v>0.1348786214</v>
      </c>
      <c r="M345" s="257"/>
    </row>
    <row r="346" ht="15.75" customHeight="1"/>
    <row r="347" ht="15.75" customHeight="1">
      <c r="A347" s="273" t="s">
        <v>1856</v>
      </c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6"/>
    </row>
    <row r="348" ht="15.75" customHeight="1">
      <c r="A348" s="229" t="s">
        <v>1509</v>
      </c>
      <c r="B348" s="229" t="s">
        <v>1510</v>
      </c>
      <c r="C348" s="229" t="s">
        <v>1511</v>
      </c>
      <c r="D348" s="229" t="s">
        <v>1614</v>
      </c>
      <c r="E348" s="230" t="s">
        <v>1615</v>
      </c>
      <c r="F348" s="174"/>
      <c r="G348" s="231" t="s">
        <v>1616</v>
      </c>
      <c r="H348" s="174"/>
      <c r="I348" s="232" t="s">
        <v>1617</v>
      </c>
      <c r="J348" s="174"/>
      <c r="K348" s="233" t="s">
        <v>1618</v>
      </c>
      <c r="L348" s="174"/>
      <c r="M348" s="229" t="s">
        <v>1619</v>
      </c>
    </row>
    <row r="349" ht="15.75" customHeight="1">
      <c r="A349" s="234" t="s">
        <v>1509</v>
      </c>
      <c r="B349" s="234" t="s">
        <v>1510</v>
      </c>
      <c r="C349" s="234" t="s">
        <v>1511</v>
      </c>
      <c r="D349" s="234" t="s">
        <v>1614</v>
      </c>
      <c r="E349" s="235" t="s">
        <v>1620</v>
      </c>
      <c r="F349" s="235" t="s">
        <v>1621</v>
      </c>
      <c r="G349" s="236" t="s">
        <v>1622</v>
      </c>
      <c r="H349" s="236" t="s">
        <v>1623</v>
      </c>
      <c r="I349" s="237" t="s">
        <v>1624</v>
      </c>
      <c r="J349" s="237" t="s">
        <v>1625</v>
      </c>
      <c r="K349" s="238" t="s">
        <v>1626</v>
      </c>
      <c r="L349" s="238" t="s">
        <v>1627</v>
      </c>
      <c r="M349" s="234" t="s">
        <v>1619</v>
      </c>
    </row>
    <row r="350" ht="15.75" customHeight="1">
      <c r="A350" s="248">
        <v>1.0</v>
      </c>
      <c r="B350" s="276" t="s">
        <v>1582</v>
      </c>
      <c r="C350" s="280" t="s">
        <v>69</v>
      </c>
      <c r="D350" s="277">
        <v>138.0</v>
      </c>
      <c r="E350" s="241" t="str">
        <f>'Daftar Harga'!D292</f>
        <v/>
      </c>
      <c r="F350" s="242" t="str">
        <f t="shared" ref="F350:F353" si="87">IF(E350&lt;&gt;"",D350*E350,"")</f>
        <v/>
      </c>
      <c r="G350" s="199">
        <v>10000.0</v>
      </c>
      <c r="H350" s="243">
        <f t="shared" ref="H350:H372" si="88">IF(G350&lt;&gt;"",D350*G350,"")</f>
        <v>1380000</v>
      </c>
      <c r="I350" s="200">
        <v>12000.0</v>
      </c>
      <c r="J350" s="253">
        <f t="shared" ref="J350:J372" si="89">IF(I350&lt;&gt;"",D350*I350,"")</f>
        <v>1656000</v>
      </c>
      <c r="K350" s="250">
        <f t="shared" ref="K350:K373" si="90">IF(J350&lt;&gt;"",IF(H350&lt;&gt;"",J350-H350,IF(F350&lt;&gt;"",J350-F350,"")),"")</f>
        <v>276000</v>
      </c>
      <c r="L350" s="251">
        <f t="shared" ref="L350:L373" si="91">IF(K350&lt;&gt;"",IF(H350&lt;&gt;"",IF(H350&lt;&gt;0,K350/H350,""),IF(F350&lt;&gt;"",IF(F350&lt;&gt;0,K350/F350,""),"")),"")</f>
        <v>0.2</v>
      </c>
      <c r="M350" s="252"/>
    </row>
    <row r="351" ht="15.75" customHeight="1">
      <c r="A351" s="239">
        <v>2.0</v>
      </c>
      <c r="B351" s="275" t="s">
        <v>1117</v>
      </c>
      <c r="C351" s="280" t="s">
        <v>109</v>
      </c>
      <c r="D351" s="254">
        <v>55.0</v>
      </c>
      <c r="E351" s="241" t="str">
        <f>'Daftar Harga'!D294</f>
        <v/>
      </c>
      <c r="F351" s="242" t="str">
        <f t="shared" si="87"/>
        <v/>
      </c>
      <c r="G351" s="199">
        <v>43000.0</v>
      </c>
      <c r="H351" s="243">
        <f t="shared" si="88"/>
        <v>2365000</v>
      </c>
      <c r="I351" s="200">
        <v>48000.0</v>
      </c>
      <c r="J351" s="253">
        <f t="shared" si="89"/>
        <v>2640000</v>
      </c>
      <c r="K351" s="245">
        <f t="shared" si="90"/>
        <v>275000</v>
      </c>
      <c r="L351" s="246">
        <f t="shared" si="91"/>
        <v>0.1162790698</v>
      </c>
      <c r="M351" s="247"/>
    </row>
    <row r="352" ht="15.75" customHeight="1">
      <c r="A352" s="248">
        <v>3.0</v>
      </c>
      <c r="B352" s="276" t="s">
        <v>1641</v>
      </c>
      <c r="C352" s="280" t="s">
        <v>109</v>
      </c>
      <c r="D352" s="277">
        <v>2.0</v>
      </c>
      <c r="E352" s="241" t="str">
        <f>'Daftar Harga'!D299</f>
        <v/>
      </c>
      <c r="F352" s="242" t="str">
        <f t="shared" si="87"/>
        <v/>
      </c>
      <c r="G352" s="199">
        <v>40000.0</v>
      </c>
      <c r="H352" s="243">
        <f t="shared" si="88"/>
        <v>80000</v>
      </c>
      <c r="I352" s="200">
        <v>45000.0</v>
      </c>
      <c r="J352" s="253">
        <f t="shared" si="89"/>
        <v>90000</v>
      </c>
      <c r="K352" s="245">
        <f t="shared" si="90"/>
        <v>10000</v>
      </c>
      <c r="L352" s="246">
        <f t="shared" si="91"/>
        <v>0.125</v>
      </c>
      <c r="M352" s="252"/>
    </row>
    <row r="353" ht="15.75" customHeight="1">
      <c r="A353" s="248">
        <v>4.0</v>
      </c>
      <c r="B353" s="275" t="s">
        <v>1522</v>
      </c>
      <c r="C353" s="280" t="s">
        <v>109</v>
      </c>
      <c r="D353" s="254">
        <v>2.0</v>
      </c>
      <c r="E353" s="241" t="str">
        <f>'Daftar Harga'!D301</f>
        <v/>
      </c>
      <c r="F353" s="242" t="str">
        <f t="shared" si="87"/>
        <v/>
      </c>
      <c r="G353" s="199">
        <v>28000.0</v>
      </c>
      <c r="H353" s="243">
        <f t="shared" si="88"/>
        <v>56000</v>
      </c>
      <c r="I353" s="200">
        <v>35000.0</v>
      </c>
      <c r="J353" s="253">
        <f t="shared" si="89"/>
        <v>70000</v>
      </c>
      <c r="K353" s="245">
        <f t="shared" si="90"/>
        <v>14000</v>
      </c>
      <c r="L353" s="246">
        <f t="shared" si="91"/>
        <v>0.25</v>
      </c>
      <c r="M353" s="247"/>
    </row>
    <row r="354" ht="15.75" customHeight="1">
      <c r="A354" s="248">
        <v>5.0</v>
      </c>
      <c r="B354" s="276" t="s">
        <v>1846</v>
      </c>
      <c r="C354" s="280" t="s">
        <v>1557</v>
      </c>
      <c r="D354" s="277">
        <v>2.0</v>
      </c>
      <c r="E354" s="241"/>
      <c r="F354" s="242"/>
      <c r="G354" s="199">
        <v>52000.0</v>
      </c>
      <c r="H354" s="243">
        <f t="shared" si="88"/>
        <v>104000</v>
      </c>
      <c r="I354" s="200">
        <v>55000.0</v>
      </c>
      <c r="J354" s="253">
        <f t="shared" si="89"/>
        <v>110000</v>
      </c>
      <c r="K354" s="245">
        <f t="shared" si="90"/>
        <v>6000</v>
      </c>
      <c r="L354" s="246">
        <f t="shared" si="91"/>
        <v>0.05769230769</v>
      </c>
      <c r="M354" s="252"/>
    </row>
    <row r="355" ht="15.75" customHeight="1">
      <c r="A355" s="239">
        <v>6.0</v>
      </c>
      <c r="B355" s="276" t="s">
        <v>1811</v>
      </c>
      <c r="C355" s="280" t="s">
        <v>109</v>
      </c>
      <c r="D355" s="277">
        <v>2.0</v>
      </c>
      <c r="E355" s="241"/>
      <c r="F355" s="242"/>
      <c r="G355" s="199">
        <v>42000.0</v>
      </c>
      <c r="H355" s="243">
        <f t="shared" si="88"/>
        <v>84000</v>
      </c>
      <c r="I355" s="200">
        <v>46000.0</v>
      </c>
      <c r="J355" s="253">
        <f t="shared" si="89"/>
        <v>92000</v>
      </c>
      <c r="K355" s="245">
        <f t="shared" si="90"/>
        <v>8000</v>
      </c>
      <c r="L355" s="246">
        <f t="shared" si="91"/>
        <v>0.09523809524</v>
      </c>
      <c r="M355" s="252"/>
    </row>
    <row r="356" ht="15.75" customHeight="1">
      <c r="A356" s="248">
        <v>7.0</v>
      </c>
      <c r="B356" s="276" t="s">
        <v>1643</v>
      </c>
      <c r="C356" s="280" t="s">
        <v>1676</v>
      </c>
      <c r="D356" s="277">
        <v>1.0</v>
      </c>
      <c r="E356" s="241"/>
      <c r="F356" s="242"/>
      <c r="G356" s="199">
        <v>190000.0</v>
      </c>
      <c r="H356" s="243">
        <f t="shared" si="88"/>
        <v>190000</v>
      </c>
      <c r="I356" s="200">
        <v>200000.0</v>
      </c>
      <c r="J356" s="253">
        <f t="shared" si="89"/>
        <v>200000</v>
      </c>
      <c r="K356" s="245">
        <f t="shared" si="90"/>
        <v>10000</v>
      </c>
      <c r="L356" s="246">
        <f t="shared" si="91"/>
        <v>0.05263157895</v>
      </c>
      <c r="M356" s="252"/>
    </row>
    <row r="357" ht="15.75" customHeight="1">
      <c r="A357" s="248">
        <v>8.0</v>
      </c>
      <c r="B357" s="276" t="s">
        <v>1857</v>
      </c>
      <c r="C357" s="280" t="s">
        <v>261</v>
      </c>
      <c r="D357" s="277">
        <v>2.0</v>
      </c>
      <c r="E357" s="241"/>
      <c r="F357" s="242"/>
      <c r="G357" s="199">
        <v>145000.0</v>
      </c>
      <c r="H357" s="243">
        <f t="shared" si="88"/>
        <v>290000</v>
      </c>
      <c r="I357" s="200">
        <v>155000.0</v>
      </c>
      <c r="J357" s="253">
        <f t="shared" si="89"/>
        <v>310000</v>
      </c>
      <c r="K357" s="245">
        <f t="shared" si="90"/>
        <v>20000</v>
      </c>
      <c r="L357" s="246">
        <f t="shared" si="91"/>
        <v>0.06896551724</v>
      </c>
      <c r="M357" s="252"/>
    </row>
    <row r="358" ht="15.75" customHeight="1">
      <c r="A358" s="248">
        <v>9.0</v>
      </c>
      <c r="B358" s="276" t="s">
        <v>1858</v>
      </c>
      <c r="C358" s="280" t="s">
        <v>1557</v>
      </c>
      <c r="D358" s="277">
        <v>1.0</v>
      </c>
      <c r="E358" s="241"/>
      <c r="F358" s="242"/>
      <c r="G358" s="199">
        <v>40000.0</v>
      </c>
      <c r="H358" s="243">
        <f t="shared" si="88"/>
        <v>40000</v>
      </c>
      <c r="I358" s="200">
        <v>50000.0</v>
      </c>
      <c r="J358" s="253">
        <f t="shared" si="89"/>
        <v>50000</v>
      </c>
      <c r="K358" s="245">
        <f t="shared" si="90"/>
        <v>10000</v>
      </c>
      <c r="L358" s="246">
        <f t="shared" si="91"/>
        <v>0.25</v>
      </c>
      <c r="M358" s="252"/>
    </row>
    <row r="359" ht="15.75" customHeight="1">
      <c r="A359" s="239">
        <v>10.0</v>
      </c>
      <c r="B359" s="276" t="s">
        <v>1655</v>
      </c>
      <c r="C359" s="280" t="s">
        <v>109</v>
      </c>
      <c r="D359" s="277">
        <v>1.0</v>
      </c>
      <c r="E359" s="241"/>
      <c r="F359" s="242"/>
      <c r="G359" s="199">
        <v>18500.0</v>
      </c>
      <c r="H359" s="243">
        <f t="shared" si="88"/>
        <v>18500</v>
      </c>
      <c r="I359" s="200">
        <v>20000.0</v>
      </c>
      <c r="J359" s="253">
        <f t="shared" si="89"/>
        <v>20000</v>
      </c>
      <c r="K359" s="245">
        <f t="shared" si="90"/>
        <v>1500</v>
      </c>
      <c r="L359" s="246">
        <f t="shared" si="91"/>
        <v>0.08108108108</v>
      </c>
      <c r="M359" s="252"/>
    </row>
    <row r="360" ht="15.75" customHeight="1">
      <c r="A360" s="248">
        <v>11.0</v>
      </c>
      <c r="B360" s="276" t="s">
        <v>1601</v>
      </c>
      <c r="C360" s="280" t="s">
        <v>67</v>
      </c>
      <c r="D360" s="277">
        <v>44.0</v>
      </c>
      <c r="E360" s="241"/>
      <c r="F360" s="242"/>
      <c r="G360" s="199">
        <v>12000.0</v>
      </c>
      <c r="H360" s="243">
        <f t="shared" si="88"/>
        <v>528000</v>
      </c>
      <c r="I360" s="200">
        <v>14000.0</v>
      </c>
      <c r="J360" s="253">
        <f t="shared" si="89"/>
        <v>616000</v>
      </c>
      <c r="K360" s="245">
        <f t="shared" si="90"/>
        <v>88000</v>
      </c>
      <c r="L360" s="246">
        <f t="shared" si="91"/>
        <v>0.1666666667</v>
      </c>
      <c r="M360" s="252"/>
    </row>
    <row r="361" ht="15.75" customHeight="1">
      <c r="A361" s="248">
        <v>12.0</v>
      </c>
      <c r="B361" s="276" t="s">
        <v>1859</v>
      </c>
      <c r="C361" s="280" t="s">
        <v>109</v>
      </c>
      <c r="D361" s="277">
        <v>2.0</v>
      </c>
      <c r="E361" s="241"/>
      <c r="F361" s="242"/>
      <c r="G361" s="199">
        <v>18000.0</v>
      </c>
      <c r="H361" s="243">
        <f t="shared" si="88"/>
        <v>36000</v>
      </c>
      <c r="I361" s="200">
        <v>20000.0</v>
      </c>
      <c r="J361" s="253">
        <f t="shared" si="89"/>
        <v>40000</v>
      </c>
      <c r="K361" s="245">
        <f t="shared" si="90"/>
        <v>4000</v>
      </c>
      <c r="L361" s="246">
        <f t="shared" si="91"/>
        <v>0.1111111111</v>
      </c>
      <c r="M361" s="252"/>
    </row>
    <row r="362" ht="15.75" customHeight="1">
      <c r="A362" s="248">
        <v>13.0</v>
      </c>
      <c r="B362" s="276" t="s">
        <v>1605</v>
      </c>
      <c r="C362" s="280" t="s">
        <v>109</v>
      </c>
      <c r="D362" s="277">
        <v>7.0</v>
      </c>
      <c r="E362" s="241"/>
      <c r="F362" s="242"/>
      <c r="G362" s="199">
        <v>11500.0</v>
      </c>
      <c r="H362" s="243">
        <f t="shared" si="88"/>
        <v>80500</v>
      </c>
      <c r="I362" s="200">
        <v>12000.0</v>
      </c>
      <c r="J362" s="253">
        <f t="shared" si="89"/>
        <v>84000</v>
      </c>
      <c r="K362" s="245">
        <f t="shared" si="90"/>
        <v>3500</v>
      </c>
      <c r="L362" s="246">
        <f t="shared" si="91"/>
        <v>0.04347826087</v>
      </c>
      <c r="M362" s="252"/>
    </row>
    <row r="363" ht="15.75" customHeight="1">
      <c r="A363" s="239">
        <v>14.0</v>
      </c>
      <c r="B363" s="276" t="s">
        <v>1813</v>
      </c>
      <c r="C363" s="280" t="s">
        <v>109</v>
      </c>
      <c r="D363" s="277">
        <v>1.0</v>
      </c>
      <c r="E363" s="241"/>
      <c r="F363" s="242"/>
      <c r="G363" s="199">
        <v>70000.0</v>
      </c>
      <c r="H363" s="243">
        <f t="shared" si="88"/>
        <v>70000</v>
      </c>
      <c r="I363" s="200">
        <v>90000.0</v>
      </c>
      <c r="J363" s="253">
        <f t="shared" si="89"/>
        <v>90000</v>
      </c>
      <c r="K363" s="245">
        <f t="shared" si="90"/>
        <v>20000</v>
      </c>
      <c r="L363" s="246">
        <f t="shared" si="91"/>
        <v>0.2857142857</v>
      </c>
      <c r="M363" s="252"/>
    </row>
    <row r="364" ht="15.75" customHeight="1">
      <c r="A364" s="248">
        <v>15.0</v>
      </c>
      <c r="B364" s="276" t="s">
        <v>1860</v>
      </c>
      <c r="C364" s="280" t="s">
        <v>109</v>
      </c>
      <c r="D364" s="277">
        <v>0.5</v>
      </c>
      <c r="E364" s="241"/>
      <c r="F364" s="242"/>
      <c r="G364" s="199">
        <v>70000.0</v>
      </c>
      <c r="H364" s="243">
        <f t="shared" si="88"/>
        <v>35000</v>
      </c>
      <c r="I364" s="200">
        <v>80000.0</v>
      </c>
      <c r="J364" s="253">
        <f t="shared" si="89"/>
        <v>40000</v>
      </c>
      <c r="K364" s="245">
        <f t="shared" si="90"/>
        <v>5000</v>
      </c>
      <c r="L364" s="246">
        <f t="shared" si="91"/>
        <v>0.1428571429</v>
      </c>
      <c r="M364" s="252"/>
    </row>
    <row r="365" ht="15.75" customHeight="1">
      <c r="A365" s="248">
        <v>16.0</v>
      </c>
      <c r="B365" s="276" t="s">
        <v>1803</v>
      </c>
      <c r="C365" s="280" t="s">
        <v>1861</v>
      </c>
      <c r="D365" s="277">
        <v>1.0</v>
      </c>
      <c r="E365" s="241"/>
      <c r="F365" s="242"/>
      <c r="G365" s="199">
        <v>5000.0</v>
      </c>
      <c r="H365" s="243">
        <f t="shared" si="88"/>
        <v>5000</v>
      </c>
      <c r="I365" s="200">
        <v>10000.0</v>
      </c>
      <c r="J365" s="253">
        <f t="shared" si="89"/>
        <v>10000</v>
      </c>
      <c r="K365" s="245">
        <f t="shared" si="90"/>
        <v>5000</v>
      </c>
      <c r="L365" s="246">
        <f t="shared" si="91"/>
        <v>1</v>
      </c>
      <c r="M365" s="252"/>
    </row>
    <row r="366" ht="15.75" customHeight="1">
      <c r="A366" s="248">
        <v>17.0</v>
      </c>
      <c r="B366" s="276" t="s">
        <v>1862</v>
      </c>
      <c r="C366" s="280" t="s">
        <v>109</v>
      </c>
      <c r="D366" s="277">
        <v>7.0</v>
      </c>
      <c r="E366" s="241"/>
      <c r="F366" s="242"/>
      <c r="G366" s="199">
        <v>40000.0</v>
      </c>
      <c r="H366" s="243">
        <f t="shared" si="88"/>
        <v>280000</v>
      </c>
      <c r="I366" s="200">
        <v>50000.0</v>
      </c>
      <c r="J366" s="253">
        <f t="shared" si="89"/>
        <v>350000</v>
      </c>
      <c r="K366" s="245">
        <f t="shared" si="90"/>
        <v>70000</v>
      </c>
      <c r="L366" s="246">
        <f t="shared" si="91"/>
        <v>0.25</v>
      </c>
      <c r="M366" s="252"/>
    </row>
    <row r="367" ht="15.75" customHeight="1">
      <c r="A367" s="239">
        <v>18.0</v>
      </c>
      <c r="B367" s="276" t="s">
        <v>1609</v>
      </c>
      <c r="C367" s="280" t="s">
        <v>109</v>
      </c>
      <c r="D367" s="277">
        <v>20.0</v>
      </c>
      <c r="E367" s="241"/>
      <c r="F367" s="242"/>
      <c r="G367" s="199">
        <v>16000.0</v>
      </c>
      <c r="H367" s="243">
        <f t="shared" si="88"/>
        <v>320000</v>
      </c>
      <c r="I367" s="200">
        <v>18000.0</v>
      </c>
      <c r="J367" s="253">
        <f t="shared" si="89"/>
        <v>360000</v>
      </c>
      <c r="K367" s="245">
        <f t="shared" si="90"/>
        <v>40000</v>
      </c>
      <c r="L367" s="246">
        <f t="shared" si="91"/>
        <v>0.125</v>
      </c>
      <c r="M367" s="252"/>
    </row>
    <row r="368" ht="15.75" customHeight="1">
      <c r="A368" s="248">
        <v>19.0</v>
      </c>
      <c r="B368" s="276" t="s">
        <v>1863</v>
      </c>
      <c r="C368" s="280" t="s">
        <v>109</v>
      </c>
      <c r="D368" s="277">
        <v>25.0</v>
      </c>
      <c r="E368" s="241"/>
      <c r="F368" s="242"/>
      <c r="G368" s="199">
        <v>7200.0</v>
      </c>
      <c r="H368" s="243">
        <f t="shared" si="88"/>
        <v>180000</v>
      </c>
      <c r="I368" s="200">
        <v>12000.0</v>
      </c>
      <c r="J368" s="253">
        <f t="shared" si="89"/>
        <v>300000</v>
      </c>
      <c r="K368" s="245">
        <f t="shared" si="90"/>
        <v>120000</v>
      </c>
      <c r="L368" s="246">
        <f t="shared" si="91"/>
        <v>0.6666666667</v>
      </c>
      <c r="M368" s="252"/>
    </row>
    <row r="369" ht="15.75" customHeight="1">
      <c r="A369" s="248">
        <v>20.0</v>
      </c>
      <c r="B369" s="276" t="s">
        <v>1576</v>
      </c>
      <c r="C369" s="280" t="s">
        <v>109</v>
      </c>
      <c r="D369" s="277">
        <v>3.0</v>
      </c>
      <c r="E369" s="241"/>
      <c r="F369" s="242"/>
      <c r="G369" s="199">
        <v>23500.0</v>
      </c>
      <c r="H369" s="243">
        <f t="shared" si="88"/>
        <v>70500</v>
      </c>
      <c r="I369" s="200">
        <v>24500.0</v>
      </c>
      <c r="J369" s="253">
        <f t="shared" si="89"/>
        <v>73500</v>
      </c>
      <c r="K369" s="245">
        <f t="shared" si="90"/>
        <v>3000</v>
      </c>
      <c r="L369" s="246">
        <f t="shared" si="91"/>
        <v>0.04255319149</v>
      </c>
      <c r="M369" s="252"/>
    </row>
    <row r="370" ht="15.75" customHeight="1">
      <c r="A370" s="248">
        <v>21.0</v>
      </c>
      <c r="B370" s="276" t="s">
        <v>1834</v>
      </c>
      <c r="C370" s="280" t="s">
        <v>109</v>
      </c>
      <c r="D370" s="277">
        <v>1.0</v>
      </c>
      <c r="E370" s="241" t="str">
        <f>'Daftar Harga'!D302</f>
        <v/>
      </c>
      <c r="F370" s="242" t="str">
        <f t="shared" ref="F370:F371" si="92">IF(E370&lt;&gt;"",D370*E370,"")</f>
        <v/>
      </c>
      <c r="G370" s="199">
        <v>14500.0</v>
      </c>
      <c r="H370" s="243">
        <f t="shared" si="88"/>
        <v>14500</v>
      </c>
      <c r="I370" s="200">
        <v>35000.0</v>
      </c>
      <c r="J370" s="253">
        <f t="shared" si="89"/>
        <v>35000</v>
      </c>
      <c r="K370" s="245">
        <f t="shared" si="90"/>
        <v>20500</v>
      </c>
      <c r="L370" s="246">
        <f t="shared" si="91"/>
        <v>1.413793103</v>
      </c>
      <c r="M370" s="252"/>
    </row>
    <row r="371" ht="15.75" customHeight="1">
      <c r="A371" s="239">
        <v>22.0</v>
      </c>
      <c r="B371" s="275" t="s">
        <v>1808</v>
      </c>
      <c r="C371" s="280" t="s">
        <v>109</v>
      </c>
      <c r="D371" s="254">
        <v>1.0</v>
      </c>
      <c r="E371" s="241" t="str">
        <f>'Daftar Harga'!D316</f>
        <v/>
      </c>
      <c r="F371" s="242" t="str">
        <f t="shared" si="92"/>
        <v/>
      </c>
      <c r="G371" s="199">
        <v>18500.0</v>
      </c>
      <c r="H371" s="243">
        <f t="shared" si="88"/>
        <v>18500</v>
      </c>
      <c r="I371" s="200">
        <v>24000.0</v>
      </c>
      <c r="J371" s="253">
        <f t="shared" si="89"/>
        <v>24000</v>
      </c>
      <c r="K371" s="245">
        <f t="shared" si="90"/>
        <v>5500</v>
      </c>
      <c r="L371" s="246">
        <f t="shared" si="91"/>
        <v>0.2972972973</v>
      </c>
      <c r="M371" s="247"/>
    </row>
    <row r="372" ht="15.75" customHeight="1">
      <c r="A372" s="248">
        <v>23.0</v>
      </c>
      <c r="B372" s="276" t="s">
        <v>1112</v>
      </c>
      <c r="C372" s="280" t="s">
        <v>109</v>
      </c>
      <c r="D372" s="277">
        <v>150.0</v>
      </c>
      <c r="E372" s="241"/>
      <c r="F372" s="242"/>
      <c r="G372" s="199">
        <v>18000.0</v>
      </c>
      <c r="H372" s="243">
        <f t="shared" si="88"/>
        <v>2700000</v>
      </c>
      <c r="I372" s="200">
        <v>20000.0</v>
      </c>
      <c r="J372" s="253">
        <f t="shared" si="89"/>
        <v>3000000</v>
      </c>
      <c r="K372" s="245">
        <f t="shared" si="90"/>
        <v>300000</v>
      </c>
      <c r="L372" s="246">
        <f t="shared" si="91"/>
        <v>0.1111111111</v>
      </c>
      <c r="M372" s="252"/>
    </row>
    <row r="373" ht="15.75" customHeight="1">
      <c r="A373" s="272" t="s">
        <v>1729</v>
      </c>
      <c r="B373" s="206"/>
      <c r="C373" s="206"/>
      <c r="D373" s="174"/>
      <c r="E373" s="257"/>
      <c r="F373" s="258">
        <f>SUMIF(F350:F372,"&lt;&gt;",F350:F372)</f>
        <v>0</v>
      </c>
      <c r="G373" s="317"/>
      <c r="H373" s="282">
        <f>SUMIF(H350:H372,"&lt;&gt;",H350:H372)</f>
        <v>8945500</v>
      </c>
      <c r="I373" s="327"/>
      <c r="J373" s="282">
        <f>SUMIF(J350:J372,"&lt;&gt;",J350:J372)</f>
        <v>10260500</v>
      </c>
      <c r="K373" s="261">
        <f t="shared" si="90"/>
        <v>1315000</v>
      </c>
      <c r="L373" s="262">
        <f t="shared" si="91"/>
        <v>0.1470012856</v>
      </c>
      <c r="M373" s="257"/>
    </row>
    <row r="374" ht="15.75" customHeight="1"/>
    <row r="375" ht="15.75" customHeight="1">
      <c r="A375" s="323"/>
      <c r="B375" s="324"/>
      <c r="C375" s="273" t="s">
        <v>1864</v>
      </c>
      <c r="D375" s="155"/>
      <c r="E375" s="155"/>
      <c r="F375" s="155"/>
      <c r="G375" s="155"/>
      <c r="H375" s="155"/>
      <c r="I375" s="155"/>
      <c r="J375" s="155"/>
      <c r="K375" s="155"/>
      <c r="L375" s="155"/>
      <c r="M375" s="323"/>
    </row>
    <row r="376" ht="15.75" customHeight="1">
      <c r="A376" s="229" t="s">
        <v>1509</v>
      </c>
      <c r="B376" s="229" t="s">
        <v>1510</v>
      </c>
      <c r="C376" s="229" t="s">
        <v>1511</v>
      </c>
      <c r="D376" s="229" t="s">
        <v>1614</v>
      </c>
      <c r="E376" s="230" t="s">
        <v>1615</v>
      </c>
      <c r="F376" s="174"/>
      <c r="G376" s="231" t="s">
        <v>1616</v>
      </c>
      <c r="H376" s="174"/>
      <c r="I376" s="232" t="s">
        <v>1617</v>
      </c>
      <c r="J376" s="174"/>
      <c r="K376" s="233" t="s">
        <v>1618</v>
      </c>
      <c r="L376" s="174"/>
      <c r="M376" s="229" t="s">
        <v>1619</v>
      </c>
    </row>
    <row r="377" ht="15.75" customHeight="1">
      <c r="A377" s="234" t="s">
        <v>1509</v>
      </c>
      <c r="B377" s="234" t="s">
        <v>1510</v>
      </c>
      <c r="C377" s="234" t="s">
        <v>1511</v>
      </c>
      <c r="D377" s="234" t="s">
        <v>1614</v>
      </c>
      <c r="E377" s="235" t="s">
        <v>1620</v>
      </c>
      <c r="F377" s="235" t="s">
        <v>1621</v>
      </c>
      <c r="G377" s="236" t="s">
        <v>1622</v>
      </c>
      <c r="H377" s="236" t="s">
        <v>1623</v>
      </c>
      <c r="I377" s="237" t="s">
        <v>1624</v>
      </c>
      <c r="J377" s="237" t="s">
        <v>1625</v>
      </c>
      <c r="K377" s="238" t="s">
        <v>1626</v>
      </c>
      <c r="L377" s="238" t="s">
        <v>1627</v>
      </c>
      <c r="M377" s="234" t="s">
        <v>1619</v>
      </c>
    </row>
    <row r="378" ht="15.75" customHeight="1">
      <c r="A378" s="239">
        <v>1.0</v>
      </c>
      <c r="B378" s="240" t="s">
        <v>1826</v>
      </c>
      <c r="C378" s="278" t="s">
        <v>69</v>
      </c>
      <c r="D378" s="254">
        <v>1250.0</v>
      </c>
      <c r="E378" s="267"/>
      <c r="F378" s="268" t="str">
        <f t="shared" ref="F378:F379" si="93">IF(E378&lt;&gt;"",D378*E378,"")</f>
        <v/>
      </c>
      <c r="G378" s="199">
        <v>3230.0</v>
      </c>
      <c r="H378" s="243">
        <f t="shared" ref="H378:H379" si="94">IF(G378&lt;&gt;"",D378*G378,"")</f>
        <v>4037500</v>
      </c>
      <c r="I378" s="188">
        <v>3600.0</v>
      </c>
      <c r="J378" s="244">
        <f t="shared" ref="J378:J379" si="95">IF(I378&lt;&gt;"",D378*I378,"")</f>
        <v>4500000</v>
      </c>
      <c r="K378" s="245">
        <f t="shared" ref="K378:K380" si="96">IF(J378&lt;&gt;"",IF(H378&lt;&gt;"",J378-H378,IF(F378&lt;&gt;"",J378-F378,"")),"")</f>
        <v>462500</v>
      </c>
      <c r="L378" s="246">
        <f t="shared" ref="L378:L380" si="97">IF(K378&lt;&gt;"",IF(H378&lt;&gt;"",IF(H378&lt;&gt;0,K378/H378,""),IF(F378&lt;&gt;"",IF(F378&lt;&gt;0,K378/F378,""),"")),"")</f>
        <v>0.1145510836</v>
      </c>
      <c r="M378" s="247"/>
    </row>
    <row r="379" ht="15.75" customHeight="1">
      <c r="A379" s="248">
        <v>2.0</v>
      </c>
      <c r="B379" s="276" t="s">
        <v>1517</v>
      </c>
      <c r="C379" s="280" t="s">
        <v>261</v>
      </c>
      <c r="D379" s="277">
        <v>9.0</v>
      </c>
      <c r="E379" s="267"/>
      <c r="F379" s="268" t="str">
        <f t="shared" si="93"/>
        <v/>
      </c>
      <c r="G379" s="199">
        <v>590000.0</v>
      </c>
      <c r="H379" s="243">
        <f t="shared" si="94"/>
        <v>5310000</v>
      </c>
      <c r="I379" s="200">
        <v>600000.0</v>
      </c>
      <c r="J379" s="244">
        <f t="shared" si="95"/>
        <v>5400000</v>
      </c>
      <c r="K379" s="250">
        <f t="shared" si="96"/>
        <v>90000</v>
      </c>
      <c r="L379" s="251">
        <f t="shared" si="97"/>
        <v>0.01694915254</v>
      </c>
      <c r="M379" s="252"/>
    </row>
    <row r="380" ht="15.75" customHeight="1">
      <c r="A380" s="272" t="s">
        <v>1732</v>
      </c>
      <c r="B380" s="206"/>
      <c r="C380" s="206"/>
      <c r="D380" s="174"/>
      <c r="E380" s="257"/>
      <c r="F380" s="258">
        <f>SUMIF(F378:F379,"&lt;&gt;",F378:F379)</f>
        <v>0</v>
      </c>
      <c r="G380" s="317"/>
      <c r="H380" s="260">
        <f>SUMIF(H378:H379,"&lt;&gt;",H378:H379)</f>
        <v>9347500</v>
      </c>
      <c r="I380" s="326"/>
      <c r="J380" s="260">
        <f>SUMIF(J378:J379,"&lt;&gt;",J378:J379)</f>
        <v>9900000</v>
      </c>
      <c r="K380" s="261">
        <f t="shared" si="96"/>
        <v>552500</v>
      </c>
      <c r="L380" s="262">
        <f t="shared" si="97"/>
        <v>0.05910671302</v>
      </c>
      <c r="M380" s="257"/>
    </row>
    <row r="381" ht="15.75" customHeight="1"/>
    <row r="382" ht="15.75" customHeight="1"/>
    <row r="383" ht="36.75" customHeight="1">
      <c r="A383" s="328" t="s">
        <v>1865</v>
      </c>
      <c r="B383" s="285"/>
      <c r="C383" s="285"/>
      <c r="D383" s="286"/>
      <c r="E383" s="287"/>
      <c r="F383" s="288">
        <f>F26+F52+F73+F81+F87+F114+F146+F176+F193+F201+F227+F255+F272+F279+F301+F327+F345+F373+F380</f>
        <v>49341875</v>
      </c>
      <c r="G383" s="288"/>
      <c r="H383" s="288">
        <f>H26+H52+H73+H81+H87+H114+H146+H176+H193+H201+H227+H255+H272+H279+H301+H327+H345+H373+H380</f>
        <v>221070040.1</v>
      </c>
      <c r="I383" s="288"/>
      <c r="J383" s="288">
        <f>J26+J52+J73+J81+J87+J114+J146+J176+J193+J201+J227+J255+J272+J279+J301+J327+J345+J373+J380</f>
        <v>244794200</v>
      </c>
      <c r="K383" s="289">
        <f>IF(J383&lt;&gt;"",IF(H383&lt;&gt;0,J383-H383,J383-F383),"")</f>
        <v>23724159.9</v>
      </c>
      <c r="L383" s="290">
        <f>IF(K383&lt;&gt;"",IF(H383&lt;&gt;0,K383/H383,IF(F383&lt;&gt;0,K383/F383,"")),"")</f>
        <v>0.1073151291</v>
      </c>
      <c r="M383" s="287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</sheetData>
  <mergeCells count="118">
    <mergeCell ref="A1:M1"/>
    <mergeCell ref="A2:M2"/>
    <mergeCell ref="A3:M3"/>
    <mergeCell ref="A4:M4"/>
    <mergeCell ref="G5:H5"/>
    <mergeCell ref="I5:J5"/>
    <mergeCell ref="K5:L5"/>
    <mergeCell ref="E5:F5"/>
    <mergeCell ref="A26:D26"/>
    <mergeCell ref="A28:M28"/>
    <mergeCell ref="E29:F29"/>
    <mergeCell ref="G29:H29"/>
    <mergeCell ref="I29:J29"/>
    <mergeCell ref="K29:L29"/>
    <mergeCell ref="A52:D52"/>
    <mergeCell ref="A54:M54"/>
    <mergeCell ref="E55:F55"/>
    <mergeCell ref="G55:H55"/>
    <mergeCell ref="I55:J55"/>
    <mergeCell ref="K55:L55"/>
    <mergeCell ref="A73:D73"/>
    <mergeCell ref="A75:M75"/>
    <mergeCell ref="E76:F76"/>
    <mergeCell ref="G76:H76"/>
    <mergeCell ref="I76:J76"/>
    <mergeCell ref="K76:L76"/>
    <mergeCell ref="A81:D81"/>
    <mergeCell ref="A83:M83"/>
    <mergeCell ref="E84:F84"/>
    <mergeCell ref="G84:H84"/>
    <mergeCell ref="I84:J84"/>
    <mergeCell ref="K84:L84"/>
    <mergeCell ref="A87:D87"/>
    <mergeCell ref="A89:M89"/>
    <mergeCell ref="E90:F90"/>
    <mergeCell ref="K90:L90"/>
    <mergeCell ref="G90:H90"/>
    <mergeCell ref="I90:J90"/>
    <mergeCell ref="A116:M116"/>
    <mergeCell ref="E117:F117"/>
    <mergeCell ref="G117:H117"/>
    <mergeCell ref="I117:J117"/>
    <mergeCell ref="K117:L117"/>
    <mergeCell ref="A114:D114"/>
    <mergeCell ref="A146:D146"/>
    <mergeCell ref="A148:M148"/>
    <mergeCell ref="E149:F149"/>
    <mergeCell ref="G149:H149"/>
    <mergeCell ref="I149:J149"/>
    <mergeCell ref="K149:L149"/>
    <mergeCell ref="E330:F330"/>
    <mergeCell ref="G330:H330"/>
    <mergeCell ref="I330:J330"/>
    <mergeCell ref="K330:L330"/>
    <mergeCell ref="A345:D345"/>
    <mergeCell ref="A347:M347"/>
    <mergeCell ref="E348:F348"/>
    <mergeCell ref="K348:L348"/>
    <mergeCell ref="E376:F376"/>
    <mergeCell ref="A380:D380"/>
    <mergeCell ref="A383:D383"/>
    <mergeCell ref="G348:H348"/>
    <mergeCell ref="I348:J348"/>
    <mergeCell ref="A373:D373"/>
    <mergeCell ref="C375:L375"/>
    <mergeCell ref="G376:H376"/>
    <mergeCell ref="I376:J376"/>
    <mergeCell ref="K376:L376"/>
    <mergeCell ref="A176:D176"/>
    <mergeCell ref="A178:M178"/>
    <mergeCell ref="E179:F179"/>
    <mergeCell ref="G179:H179"/>
    <mergeCell ref="I179:J179"/>
    <mergeCell ref="K179:L179"/>
    <mergeCell ref="A193:D193"/>
    <mergeCell ref="C195:L195"/>
    <mergeCell ref="E196:F196"/>
    <mergeCell ref="G196:H196"/>
    <mergeCell ref="I196:J196"/>
    <mergeCell ref="K196:L196"/>
    <mergeCell ref="A201:D201"/>
    <mergeCell ref="A203:M203"/>
    <mergeCell ref="E204:F204"/>
    <mergeCell ref="G204:H204"/>
    <mergeCell ref="I204:J204"/>
    <mergeCell ref="K204:L204"/>
    <mergeCell ref="A227:D227"/>
    <mergeCell ref="A229:M229"/>
    <mergeCell ref="E230:F230"/>
    <mergeCell ref="K230:L230"/>
    <mergeCell ref="G230:H230"/>
    <mergeCell ref="I230:J230"/>
    <mergeCell ref="A257:M257"/>
    <mergeCell ref="E258:F258"/>
    <mergeCell ref="G258:H258"/>
    <mergeCell ref="I258:J258"/>
    <mergeCell ref="K258:L258"/>
    <mergeCell ref="A255:D255"/>
    <mergeCell ref="A272:D272"/>
    <mergeCell ref="C274:L274"/>
    <mergeCell ref="E275:F275"/>
    <mergeCell ref="G275:H275"/>
    <mergeCell ref="I275:J275"/>
    <mergeCell ref="K275:L275"/>
    <mergeCell ref="A279:D279"/>
    <mergeCell ref="A281:M281"/>
    <mergeCell ref="E282:F282"/>
    <mergeCell ref="G282:H282"/>
    <mergeCell ref="I282:J282"/>
    <mergeCell ref="K282:L282"/>
    <mergeCell ref="A301:D301"/>
    <mergeCell ref="A303:M303"/>
    <mergeCell ref="E304:F304"/>
    <mergeCell ref="G304:H304"/>
    <mergeCell ref="I304:J304"/>
    <mergeCell ref="K304:L304"/>
    <mergeCell ref="A327:D327"/>
    <mergeCell ref="A329:M32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7.86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1793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226" t="s">
        <v>1867</v>
      </c>
      <c r="C7" s="223" t="s">
        <v>1583</v>
      </c>
      <c r="D7" s="227">
        <v>20.0</v>
      </c>
      <c r="E7" s="184"/>
      <c r="F7" s="185" t="str">
        <f t="shared" ref="F7:F9" si="1">IF(E7&lt;&gt;"",D7*E7,"")</f>
        <v/>
      </c>
      <c r="G7" s="221">
        <v>9000.0</v>
      </c>
      <c r="H7" s="187">
        <f t="shared" ref="H7:H9" si="2">IF(G7&lt;&gt;"",D7*G7,"")</f>
        <v>180000</v>
      </c>
      <c r="I7" s="222">
        <v>13000.0</v>
      </c>
      <c r="J7" s="215">
        <f t="shared" ref="J7:J9" si="3">IF(I7&lt;&gt;"",D7*I7,"")</f>
        <v>260000</v>
      </c>
      <c r="K7" s="190">
        <f t="shared" ref="K7:K10" si="4">IF(J7&lt;&gt;"",IF(H7&lt;&gt;"",J7-H7,IF(F7&lt;&gt;"",J7-F7,"")),"")</f>
        <v>80000</v>
      </c>
      <c r="L7" s="191">
        <f t="shared" ref="L7:L10" si="5">IF(K7&lt;&gt;"",IF(H7&lt;&gt;"",IF(H7&lt;&gt;0,K7/H7,""),IF(F7&lt;&gt;"",IF(F7&lt;&gt;0,K7/F7,""),"")),"")</f>
        <v>0.4444444444</v>
      </c>
      <c r="M7" s="192"/>
    </row>
    <row r="8" ht="15.75" customHeight="1">
      <c r="A8" s="164">
        <v>2.0</v>
      </c>
      <c r="B8" s="197" t="s">
        <v>1868</v>
      </c>
      <c r="C8" s="220" t="s">
        <v>1557</v>
      </c>
      <c r="D8" s="198">
        <v>5.0</v>
      </c>
      <c r="E8" s="184"/>
      <c r="F8" s="185" t="str">
        <f t="shared" si="1"/>
        <v/>
      </c>
      <c r="G8" s="221">
        <v>20000.0</v>
      </c>
      <c r="H8" s="187">
        <f t="shared" si="2"/>
        <v>100000</v>
      </c>
      <c r="I8" s="222">
        <v>25000.0</v>
      </c>
      <c r="J8" s="215">
        <f t="shared" si="3"/>
        <v>125000</v>
      </c>
      <c r="K8" s="194">
        <f t="shared" si="4"/>
        <v>25000</v>
      </c>
      <c r="L8" s="195">
        <f t="shared" si="5"/>
        <v>0.25</v>
      </c>
      <c r="M8" s="196"/>
    </row>
    <row r="9" ht="15.75" customHeight="1">
      <c r="A9" s="159">
        <v>3.0</v>
      </c>
      <c r="B9" s="226" t="s">
        <v>1869</v>
      </c>
      <c r="C9" s="223" t="s">
        <v>1676</v>
      </c>
      <c r="D9" s="227">
        <v>2.0</v>
      </c>
      <c r="E9" s="184"/>
      <c r="F9" s="185" t="str">
        <f t="shared" si="1"/>
        <v/>
      </c>
      <c r="G9" s="221">
        <v>53000.0</v>
      </c>
      <c r="H9" s="187">
        <f t="shared" si="2"/>
        <v>106000</v>
      </c>
      <c r="I9" s="222">
        <v>75000.0</v>
      </c>
      <c r="J9" s="219">
        <f t="shared" si="3"/>
        <v>150000</v>
      </c>
      <c r="K9" s="190">
        <f t="shared" si="4"/>
        <v>44000</v>
      </c>
      <c r="L9" s="191">
        <f t="shared" si="5"/>
        <v>0.4150943396</v>
      </c>
      <c r="M9" s="192"/>
    </row>
    <row r="10" ht="19.5" customHeight="1">
      <c r="A10" s="205" t="s">
        <v>1628</v>
      </c>
      <c r="B10" s="206"/>
      <c r="C10" s="206"/>
      <c r="D10" s="174"/>
      <c r="E10" s="207"/>
      <c r="F10" s="208">
        <f>SUMIF(F7:F9,"&lt;&gt;",F7:F9)</f>
        <v>0</v>
      </c>
      <c r="G10" s="207"/>
      <c r="H10" s="208">
        <f>SUMIF(H7:H9,"&lt;&gt;",H7:H9)</f>
        <v>386000</v>
      </c>
      <c r="I10" s="209"/>
      <c r="J10" s="210">
        <f>SUMIF(J7:J9,"&lt;&gt;",J7:J9)</f>
        <v>535000</v>
      </c>
      <c r="K10" s="211">
        <f t="shared" si="4"/>
        <v>149000</v>
      </c>
      <c r="L10" s="212">
        <f t="shared" si="5"/>
        <v>0.3860103627</v>
      </c>
      <c r="M10" s="207"/>
    </row>
    <row r="12" ht="21.75" customHeight="1">
      <c r="A12" s="171" t="s">
        <v>1629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ht="19.5" customHeight="1">
      <c r="A13" s="172" t="s">
        <v>1509</v>
      </c>
      <c r="B13" s="172" t="s">
        <v>1510</v>
      </c>
      <c r="C13" s="172" t="s">
        <v>1511</v>
      </c>
      <c r="D13" s="172" t="s">
        <v>1614</v>
      </c>
      <c r="E13" s="173" t="s">
        <v>1615</v>
      </c>
      <c r="F13" s="174"/>
      <c r="G13" s="175" t="s">
        <v>1616</v>
      </c>
      <c r="H13" s="174"/>
      <c r="I13" s="176" t="s">
        <v>1617</v>
      </c>
      <c r="J13" s="174"/>
      <c r="K13" s="177" t="s">
        <v>1618</v>
      </c>
      <c r="L13" s="174"/>
      <c r="M13" s="172" t="s">
        <v>1619</v>
      </c>
    </row>
    <row r="14" ht="27.75" customHeight="1">
      <c r="A14" s="178" t="s">
        <v>1509</v>
      </c>
      <c r="B14" s="178" t="s">
        <v>1510</v>
      </c>
      <c r="C14" s="178" t="s">
        <v>1511</v>
      </c>
      <c r="D14" s="178" t="s">
        <v>1614</v>
      </c>
      <c r="E14" s="179" t="s">
        <v>1620</v>
      </c>
      <c r="F14" s="179" t="s">
        <v>1621</v>
      </c>
      <c r="G14" s="180" t="s">
        <v>1622</v>
      </c>
      <c r="H14" s="180" t="s">
        <v>1623</v>
      </c>
      <c r="I14" s="181" t="s">
        <v>1624</v>
      </c>
      <c r="J14" s="181" t="s">
        <v>1625</v>
      </c>
      <c r="K14" s="182" t="s">
        <v>1626</v>
      </c>
      <c r="L14" s="182" t="s">
        <v>1627</v>
      </c>
      <c r="M14" s="178" t="s">
        <v>1619</v>
      </c>
    </row>
    <row r="15" ht="15.75" customHeight="1">
      <c r="A15" s="159">
        <v>1.0</v>
      </c>
      <c r="B15" s="331" t="s">
        <v>1870</v>
      </c>
      <c r="C15" s="332" t="s">
        <v>1754</v>
      </c>
      <c r="D15" s="213">
        <v>60.0</v>
      </c>
      <c r="E15" s="184"/>
      <c r="F15" s="185" t="str">
        <f t="shared" ref="F15:F20" si="6">IF(E15&lt;&gt;"",D15*E15,"")</f>
        <v/>
      </c>
      <c r="G15" s="186">
        <v>19200.0</v>
      </c>
      <c r="H15" s="243">
        <f t="shared" ref="H15:H20" si="7">IF(G15&lt;&gt;"",D15*G15,"")</f>
        <v>1152000</v>
      </c>
      <c r="I15" s="188">
        <v>22500.0</v>
      </c>
      <c r="J15" s="244">
        <f t="shared" ref="J15:J20" si="8">IF(I15&lt;&gt;"",D15*I15,"")</f>
        <v>1350000</v>
      </c>
      <c r="K15" s="190">
        <f t="shared" ref="K15:K21" si="9">IF(J15&lt;&gt;"",IF(H15&lt;&gt;"",J15-H15,IF(F15&lt;&gt;"",J15-F15,"")),"")</f>
        <v>198000</v>
      </c>
      <c r="L15" s="191">
        <f t="shared" ref="L15:L21" si="10">IF(K15&lt;&gt;"",IF(H15&lt;&gt;"",IF(H15&lt;&gt;0,K15/H15,""),IF(F15&lt;&gt;"",IF(F15&lt;&gt;0,K15/F15,""),"")),"")</f>
        <v>0.171875</v>
      </c>
      <c r="M15" s="192"/>
    </row>
    <row r="16" ht="15.75" customHeight="1">
      <c r="A16" s="164">
        <v>2.0</v>
      </c>
      <c r="B16" s="333" t="s">
        <v>1871</v>
      </c>
      <c r="C16" s="334" t="s">
        <v>69</v>
      </c>
      <c r="D16" s="216">
        <v>16.0</v>
      </c>
      <c r="E16" s="184"/>
      <c r="F16" s="185" t="str">
        <f t="shared" si="6"/>
        <v/>
      </c>
      <c r="G16" s="186">
        <v>40000.0</v>
      </c>
      <c r="H16" s="243">
        <f t="shared" si="7"/>
        <v>640000</v>
      </c>
      <c r="I16" s="188">
        <v>50000.0</v>
      </c>
      <c r="J16" s="244">
        <f t="shared" si="8"/>
        <v>800000</v>
      </c>
      <c r="K16" s="194">
        <f t="shared" si="9"/>
        <v>160000</v>
      </c>
      <c r="L16" s="195">
        <f t="shared" si="10"/>
        <v>0.25</v>
      </c>
      <c r="M16" s="196"/>
    </row>
    <row r="17" ht="15.75" customHeight="1">
      <c r="A17" s="159">
        <v>3.0</v>
      </c>
      <c r="B17" s="331" t="s">
        <v>1872</v>
      </c>
      <c r="C17" s="332" t="s">
        <v>1583</v>
      </c>
      <c r="D17" s="213">
        <v>20.0</v>
      </c>
      <c r="E17" s="184"/>
      <c r="F17" s="185" t="str">
        <f t="shared" si="6"/>
        <v/>
      </c>
      <c r="G17" s="186">
        <v>13000.0</v>
      </c>
      <c r="H17" s="243">
        <f t="shared" si="7"/>
        <v>260000</v>
      </c>
      <c r="I17" s="188">
        <v>17500.0</v>
      </c>
      <c r="J17" s="244">
        <f t="shared" si="8"/>
        <v>350000</v>
      </c>
      <c r="K17" s="190">
        <f t="shared" si="9"/>
        <v>90000</v>
      </c>
      <c r="L17" s="191">
        <f t="shared" si="10"/>
        <v>0.3461538462</v>
      </c>
      <c r="M17" s="192"/>
    </row>
    <row r="18" ht="15.75" customHeight="1">
      <c r="A18" s="164">
        <v>4.0</v>
      </c>
      <c r="B18" s="333" t="s">
        <v>1873</v>
      </c>
      <c r="C18" s="334" t="s">
        <v>69</v>
      </c>
      <c r="D18" s="216">
        <v>10.0</v>
      </c>
      <c r="E18" s="184"/>
      <c r="F18" s="185" t="str">
        <f t="shared" si="6"/>
        <v/>
      </c>
      <c r="G18" s="186">
        <v>15500.0</v>
      </c>
      <c r="H18" s="243">
        <f t="shared" si="7"/>
        <v>155000</v>
      </c>
      <c r="I18" s="188">
        <v>20000.0</v>
      </c>
      <c r="J18" s="244">
        <f t="shared" si="8"/>
        <v>200000</v>
      </c>
      <c r="K18" s="194">
        <f t="shared" si="9"/>
        <v>45000</v>
      </c>
      <c r="L18" s="195">
        <f t="shared" si="10"/>
        <v>0.2903225806</v>
      </c>
      <c r="M18" s="196"/>
    </row>
    <row r="19" ht="15.75" customHeight="1">
      <c r="A19" s="159">
        <v>5.0</v>
      </c>
      <c r="B19" s="331" t="s">
        <v>1737</v>
      </c>
      <c r="C19" s="332" t="s">
        <v>1176</v>
      </c>
      <c r="D19" s="213">
        <v>1.0</v>
      </c>
      <c r="E19" s="184"/>
      <c r="F19" s="185" t="str">
        <f t="shared" si="6"/>
        <v/>
      </c>
      <c r="G19" s="186">
        <v>1125000.0</v>
      </c>
      <c r="H19" s="243">
        <f t="shared" si="7"/>
        <v>1125000</v>
      </c>
      <c r="I19" s="188">
        <v>1250000.0</v>
      </c>
      <c r="J19" s="244">
        <f t="shared" si="8"/>
        <v>1250000</v>
      </c>
      <c r="K19" s="190">
        <f t="shared" si="9"/>
        <v>125000</v>
      </c>
      <c r="L19" s="191">
        <f t="shared" si="10"/>
        <v>0.1111111111</v>
      </c>
      <c r="M19" s="192"/>
    </row>
    <row r="20" ht="15.75" customHeight="1">
      <c r="A20" s="164">
        <v>6.0</v>
      </c>
      <c r="B20" s="333" t="s">
        <v>1874</v>
      </c>
      <c r="C20" s="334" t="s">
        <v>69</v>
      </c>
      <c r="D20" s="216">
        <v>10.0</v>
      </c>
      <c r="E20" s="184"/>
      <c r="F20" s="185" t="str">
        <f t="shared" si="6"/>
        <v/>
      </c>
      <c r="G20" s="186">
        <v>9000.0</v>
      </c>
      <c r="H20" s="243">
        <f t="shared" si="7"/>
        <v>90000</v>
      </c>
      <c r="I20" s="188">
        <v>13000.0</v>
      </c>
      <c r="J20" s="264">
        <f t="shared" si="8"/>
        <v>130000</v>
      </c>
      <c r="K20" s="194">
        <f t="shared" si="9"/>
        <v>40000</v>
      </c>
      <c r="L20" s="195">
        <f t="shared" si="10"/>
        <v>0.4444444444</v>
      </c>
      <c r="M20" s="196"/>
    </row>
    <row r="21" ht="19.5" customHeight="1">
      <c r="A21" s="205" t="s">
        <v>1632</v>
      </c>
      <c r="B21" s="206"/>
      <c r="C21" s="206"/>
      <c r="D21" s="174"/>
      <c r="E21" s="207"/>
      <c r="F21" s="208">
        <f>SUMIF(F15:F20,"&lt;&gt;",F15:F20)</f>
        <v>0</v>
      </c>
      <c r="G21" s="207"/>
      <c r="H21" s="208">
        <f>SUMIF(H15:H20,"&lt;&gt;",H15:H20)</f>
        <v>3422000</v>
      </c>
      <c r="I21" s="209"/>
      <c r="J21" s="210">
        <f>SUMIF(J15:J20,"&lt;&gt;",J15:J20)</f>
        <v>4080000</v>
      </c>
      <c r="K21" s="211">
        <f t="shared" si="9"/>
        <v>658000</v>
      </c>
      <c r="L21" s="212">
        <f t="shared" si="10"/>
        <v>0.1922852133</v>
      </c>
      <c r="M21" s="207"/>
    </row>
    <row r="22" ht="15.75" customHeight="1"/>
    <row r="23" ht="21.75" customHeight="1">
      <c r="A23" s="171" t="s">
        <v>1633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ht="19.5" customHeight="1">
      <c r="A24" s="172" t="s">
        <v>1509</v>
      </c>
      <c r="B24" s="172" t="s">
        <v>1510</v>
      </c>
      <c r="C24" s="172" t="s">
        <v>1511</v>
      </c>
      <c r="D24" s="172" t="s">
        <v>1614</v>
      </c>
      <c r="E24" s="173" t="s">
        <v>1615</v>
      </c>
      <c r="F24" s="174"/>
      <c r="G24" s="175" t="s">
        <v>1616</v>
      </c>
      <c r="H24" s="174"/>
      <c r="I24" s="176" t="s">
        <v>1617</v>
      </c>
      <c r="J24" s="174"/>
      <c r="K24" s="177" t="s">
        <v>1618</v>
      </c>
      <c r="L24" s="174"/>
      <c r="M24" s="172" t="s">
        <v>1619</v>
      </c>
    </row>
    <row r="25" ht="27.75" customHeight="1">
      <c r="A25" s="178" t="s">
        <v>1509</v>
      </c>
      <c r="B25" s="178" t="s">
        <v>1510</v>
      </c>
      <c r="C25" s="178" t="s">
        <v>1511</v>
      </c>
      <c r="D25" s="178" t="s">
        <v>1614</v>
      </c>
      <c r="E25" s="179" t="s">
        <v>1620</v>
      </c>
      <c r="F25" s="179" t="s">
        <v>1621</v>
      </c>
      <c r="G25" s="180" t="s">
        <v>1622</v>
      </c>
      <c r="H25" s="180" t="s">
        <v>1623</v>
      </c>
      <c r="I25" s="181" t="s">
        <v>1624</v>
      </c>
      <c r="J25" s="181" t="s">
        <v>1625</v>
      </c>
      <c r="K25" s="182" t="s">
        <v>1626</v>
      </c>
      <c r="L25" s="182" t="s">
        <v>1627</v>
      </c>
      <c r="M25" s="178" t="s">
        <v>1619</v>
      </c>
    </row>
    <row r="26" ht="15.75" customHeight="1">
      <c r="A26" s="159">
        <v>1.0</v>
      </c>
      <c r="B26" s="226" t="s">
        <v>1875</v>
      </c>
      <c r="C26" s="223" t="s">
        <v>1799</v>
      </c>
      <c r="D26" s="227">
        <v>4.0</v>
      </c>
      <c r="E26" s="184"/>
      <c r="F26" s="185" t="str">
        <f t="shared" ref="F26:F27" si="11">IF(E26&lt;&gt;"",D26*E26,"")</f>
        <v/>
      </c>
      <c r="G26" s="221">
        <v>165000.0</v>
      </c>
      <c r="H26" s="187">
        <f t="shared" ref="H26:H27" si="12">IF(G26&lt;&gt;"",D26*G26,"")</f>
        <v>660000</v>
      </c>
      <c r="I26" s="222">
        <v>175000.0</v>
      </c>
      <c r="J26" s="215">
        <f t="shared" ref="J26:J27" si="13">IF(I26&lt;&gt;"",D26*I26,"")</f>
        <v>700000</v>
      </c>
      <c r="K26" s="190">
        <f t="shared" ref="K26:K28" si="14">IF(J26&lt;&gt;"",IF(H26&lt;&gt;"",J26-H26,IF(F26&lt;&gt;"",J26-F26,"")),"")</f>
        <v>40000</v>
      </c>
      <c r="L26" s="191">
        <f t="shared" ref="L26:L28" si="15">IF(K26&lt;&gt;"",IF(H26&lt;&gt;"",IF(H26&lt;&gt;0,K26/H26,""),IF(F26&lt;&gt;"",IF(F26&lt;&gt;0,K26/F26,""),"")),"")</f>
        <v>0.06060606061</v>
      </c>
      <c r="M26" s="192"/>
    </row>
    <row r="27" ht="15.75" customHeight="1">
      <c r="A27" s="164">
        <v>2.0</v>
      </c>
      <c r="B27" s="197" t="s">
        <v>1746</v>
      </c>
      <c r="C27" s="220" t="s">
        <v>261</v>
      </c>
      <c r="D27" s="198">
        <v>1.0</v>
      </c>
      <c r="E27" s="184"/>
      <c r="F27" s="185" t="str">
        <f t="shared" si="11"/>
        <v/>
      </c>
      <c r="G27" s="221">
        <v>1125000.0</v>
      </c>
      <c r="H27" s="187">
        <f t="shared" si="12"/>
        <v>1125000</v>
      </c>
      <c r="I27" s="222">
        <v>1250000.0</v>
      </c>
      <c r="J27" s="219">
        <f t="shared" si="13"/>
        <v>1250000</v>
      </c>
      <c r="K27" s="194">
        <f t="shared" si="14"/>
        <v>125000</v>
      </c>
      <c r="L27" s="195">
        <f t="shared" si="15"/>
        <v>0.1111111111</v>
      </c>
      <c r="M27" s="196"/>
    </row>
    <row r="28" ht="19.5" customHeight="1">
      <c r="A28" s="205" t="s">
        <v>1635</v>
      </c>
      <c r="B28" s="206"/>
      <c r="C28" s="206"/>
      <c r="D28" s="174"/>
      <c r="E28" s="207"/>
      <c r="F28" s="208">
        <f>SUMIF(F26:F27,"&lt;&gt;",F26:F27)</f>
        <v>0</v>
      </c>
      <c r="G28" s="207"/>
      <c r="H28" s="208">
        <f>SUMIF(H26:H27,"&lt;&gt;",H26:H27)</f>
        <v>1785000</v>
      </c>
      <c r="I28" s="209"/>
      <c r="J28" s="210">
        <f>SUMIF(J26:J27,"&lt;&gt;",J26:J27)</f>
        <v>1950000</v>
      </c>
      <c r="K28" s="211">
        <f t="shared" si="14"/>
        <v>165000</v>
      </c>
      <c r="L28" s="212">
        <f t="shared" si="15"/>
        <v>0.09243697479</v>
      </c>
      <c r="M28" s="207"/>
    </row>
    <row r="29" ht="15.75" customHeight="1"/>
    <row r="30" ht="15.75" customHeight="1">
      <c r="A30" s="225" t="s">
        <v>1876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ht="15.75" customHeight="1">
      <c r="A31" s="172" t="s">
        <v>1509</v>
      </c>
      <c r="B31" s="172" t="s">
        <v>1510</v>
      </c>
      <c r="C31" s="172" t="s">
        <v>1511</v>
      </c>
      <c r="D31" s="172" t="s">
        <v>1614</v>
      </c>
      <c r="E31" s="173" t="s">
        <v>1615</v>
      </c>
      <c r="F31" s="174"/>
      <c r="G31" s="175" t="s">
        <v>1616</v>
      </c>
      <c r="H31" s="174"/>
      <c r="I31" s="176" t="s">
        <v>1617</v>
      </c>
      <c r="J31" s="174"/>
      <c r="K31" s="177" t="s">
        <v>1618</v>
      </c>
      <c r="L31" s="174"/>
      <c r="M31" s="172" t="s">
        <v>1619</v>
      </c>
    </row>
    <row r="32" ht="15.75" customHeight="1">
      <c r="A32" s="178" t="s">
        <v>1509</v>
      </c>
      <c r="B32" s="178" t="s">
        <v>1510</v>
      </c>
      <c r="C32" s="178" t="s">
        <v>1511</v>
      </c>
      <c r="D32" s="178" t="s">
        <v>1614</v>
      </c>
      <c r="E32" s="179" t="s">
        <v>1620</v>
      </c>
      <c r="F32" s="179" t="s">
        <v>1621</v>
      </c>
      <c r="G32" s="180" t="s">
        <v>1622</v>
      </c>
      <c r="H32" s="180" t="s">
        <v>1623</v>
      </c>
      <c r="I32" s="181" t="s">
        <v>1624</v>
      </c>
      <c r="J32" s="181" t="s">
        <v>1625</v>
      </c>
      <c r="K32" s="182" t="s">
        <v>1626</v>
      </c>
      <c r="L32" s="182" t="s">
        <v>1627</v>
      </c>
      <c r="M32" s="178" t="s">
        <v>1619</v>
      </c>
    </row>
    <row r="33" ht="15.75" customHeight="1">
      <c r="A33" s="159">
        <v>1.0</v>
      </c>
      <c r="B33" s="226" t="s">
        <v>1737</v>
      </c>
      <c r="C33" s="223" t="s">
        <v>1176</v>
      </c>
      <c r="D33" s="227">
        <v>2.0</v>
      </c>
      <c r="E33" s="184"/>
      <c r="F33" s="185" t="str">
        <f>IF(E33&lt;&gt;"",D33*E33,"")</f>
        <v/>
      </c>
      <c r="G33" s="221">
        <v>1125000.0</v>
      </c>
      <c r="H33" s="187">
        <f>IF(G33&lt;&gt;"",D33*G33,"")</f>
        <v>2250000</v>
      </c>
      <c r="I33" s="222">
        <v>1250000.0</v>
      </c>
      <c r="J33" s="335">
        <f>D33*I33</f>
        <v>2500000</v>
      </c>
      <c r="K33" s="190">
        <f t="shared" ref="K33:K34" si="16">IF(J33&lt;&gt;"",IF(H33&lt;&gt;"",J33-H33,IF(F33&lt;&gt;"",J33-F33,"")),"")</f>
        <v>250000</v>
      </c>
      <c r="L33" s="191">
        <f t="shared" ref="L33:L34" si="17">IF(K33&lt;&gt;"",IF(H33&lt;&gt;"",IF(H33&lt;&gt;0,K33/H33,""),IF(F33&lt;&gt;"",IF(F33&lt;&gt;0,K33/F33,""),"")),"")</f>
        <v>0.1111111111</v>
      </c>
      <c r="M33" s="192"/>
    </row>
    <row r="34" ht="15.75" customHeight="1">
      <c r="A34" s="205" t="s">
        <v>1635</v>
      </c>
      <c r="B34" s="206"/>
      <c r="C34" s="206"/>
      <c r="D34" s="174"/>
      <c r="E34" s="207"/>
      <c r="F34" s="208">
        <f>SUMIF(F33,"&lt;&gt;",F33)</f>
        <v>0</v>
      </c>
      <c r="G34" s="207"/>
      <c r="H34" s="208">
        <f>SUMIF(H33,"&lt;&gt;",H33)</f>
        <v>2250000</v>
      </c>
      <c r="I34" s="209"/>
      <c r="J34" s="210">
        <f>SUMIF(J33,"&lt;&gt;",J33)</f>
        <v>2500000</v>
      </c>
      <c r="K34" s="211">
        <f t="shared" si="16"/>
        <v>250000</v>
      </c>
      <c r="L34" s="212">
        <f t="shared" si="17"/>
        <v>0.1111111111</v>
      </c>
      <c r="M34" s="207"/>
    </row>
    <row r="35" ht="15.75" customHeight="1"/>
    <row r="36" ht="15.75" customHeight="1">
      <c r="A36" s="323"/>
      <c r="B36" s="323"/>
      <c r="C36" s="269"/>
      <c r="D36" s="228" t="s">
        <v>1639</v>
      </c>
      <c r="E36" s="155"/>
      <c r="F36" s="155"/>
      <c r="G36" s="155"/>
      <c r="H36" s="155"/>
      <c r="I36" s="155"/>
      <c r="J36" s="155"/>
      <c r="K36" s="323"/>
      <c r="L36" s="323"/>
      <c r="M36" s="323"/>
    </row>
    <row r="37" ht="15.75" customHeight="1">
      <c r="A37" s="229" t="s">
        <v>1509</v>
      </c>
      <c r="B37" s="229" t="s">
        <v>1510</v>
      </c>
      <c r="C37" s="229" t="s">
        <v>1511</v>
      </c>
      <c r="D37" s="302" t="s">
        <v>1614</v>
      </c>
      <c r="E37" s="303" t="s">
        <v>1615</v>
      </c>
      <c r="F37" s="304"/>
      <c r="G37" s="305" t="s">
        <v>1616</v>
      </c>
      <c r="H37" s="304"/>
      <c r="I37" s="306" t="s">
        <v>1617</v>
      </c>
      <c r="J37" s="304"/>
      <c r="K37" s="307" t="s">
        <v>1618</v>
      </c>
      <c r="L37" s="304"/>
      <c r="M37" s="302" t="s">
        <v>1619</v>
      </c>
    </row>
    <row r="38" ht="15.75" customHeight="1">
      <c r="A38" s="234" t="s">
        <v>1509</v>
      </c>
      <c r="B38" s="234" t="s">
        <v>1510</v>
      </c>
      <c r="C38" s="234" t="s">
        <v>1511</v>
      </c>
      <c r="D38" s="234" t="s">
        <v>1614</v>
      </c>
      <c r="E38" s="235" t="s">
        <v>1620</v>
      </c>
      <c r="F38" s="235" t="s">
        <v>1621</v>
      </c>
      <c r="G38" s="236" t="s">
        <v>1622</v>
      </c>
      <c r="H38" s="236" t="s">
        <v>1623</v>
      </c>
      <c r="I38" s="237" t="s">
        <v>1624</v>
      </c>
      <c r="J38" s="237" t="s">
        <v>1625</v>
      </c>
      <c r="K38" s="238" t="s">
        <v>1626</v>
      </c>
      <c r="L38" s="238" t="s">
        <v>1627</v>
      </c>
      <c r="M38" s="234" t="s">
        <v>1619</v>
      </c>
    </row>
    <row r="39" ht="15.75" customHeight="1">
      <c r="A39" s="248">
        <v>1.0</v>
      </c>
      <c r="B39" s="240" t="s">
        <v>1877</v>
      </c>
      <c r="C39" s="239" t="s">
        <v>1676</v>
      </c>
      <c r="D39" s="213">
        <v>1.0</v>
      </c>
      <c r="E39" s="267"/>
      <c r="F39" s="268" t="str">
        <f t="shared" ref="F39:F43" si="18">IF(E39&lt;&gt;"",D39*E39,"")</f>
        <v/>
      </c>
      <c r="G39" s="186">
        <v>53000.0</v>
      </c>
      <c r="H39" s="243">
        <f t="shared" ref="H39:H43" si="19">IF(G39&lt;&gt;"",D39*G39,"")</f>
        <v>53000</v>
      </c>
      <c r="I39" s="188">
        <v>80000.0</v>
      </c>
      <c r="J39" s="244">
        <f t="shared" ref="J39:J43" si="20">IF(I39&lt;&gt;"",D39*I39,"")</f>
        <v>80000</v>
      </c>
      <c r="K39" s="245">
        <f t="shared" ref="K39:K43" si="21">IF(J39&lt;&gt;"",IF(H39&lt;&gt;"",J39-H39,IF(F39&lt;&gt;"",J39-F39,"")),"")</f>
        <v>27000</v>
      </c>
      <c r="L39" s="246">
        <f t="shared" ref="L39:L43" si="22">IF(K39&lt;&gt;"",IF(H39&lt;&gt;"",IF(H39&lt;&gt;0,K39/H39,""),IF(F39&lt;&gt;"",IF(F39&lt;&gt;0,K39/F39,""),"")),"")</f>
        <v>0.5094339623</v>
      </c>
      <c r="M39" s="247"/>
    </row>
    <row r="40" ht="15.75" customHeight="1">
      <c r="A40" s="239">
        <v>2.0</v>
      </c>
      <c r="B40" s="240" t="s">
        <v>1878</v>
      </c>
      <c r="C40" s="239" t="s">
        <v>69</v>
      </c>
      <c r="D40" s="213">
        <v>1350.0</v>
      </c>
      <c r="E40" s="267"/>
      <c r="F40" s="268" t="str">
        <f t="shared" si="18"/>
        <v/>
      </c>
      <c r="G40" s="186">
        <v>260.0</v>
      </c>
      <c r="H40" s="243">
        <f t="shared" si="19"/>
        <v>351000</v>
      </c>
      <c r="I40" s="188">
        <v>300.0</v>
      </c>
      <c r="J40" s="244">
        <f t="shared" si="20"/>
        <v>405000</v>
      </c>
      <c r="K40" s="245">
        <f t="shared" si="21"/>
        <v>54000</v>
      </c>
      <c r="L40" s="246">
        <f t="shared" si="22"/>
        <v>0.1538461538</v>
      </c>
      <c r="M40" s="247"/>
    </row>
    <row r="41" ht="15.75" customHeight="1">
      <c r="A41" s="248">
        <v>3.0</v>
      </c>
      <c r="B41" s="249" t="s">
        <v>1879</v>
      </c>
      <c r="C41" s="239" t="s">
        <v>1583</v>
      </c>
      <c r="D41" s="213">
        <v>20.0</v>
      </c>
      <c r="E41" s="267"/>
      <c r="F41" s="268" t="str">
        <f t="shared" si="18"/>
        <v/>
      </c>
      <c r="G41" s="186">
        <v>13000.0</v>
      </c>
      <c r="H41" s="243">
        <f t="shared" si="19"/>
        <v>260000</v>
      </c>
      <c r="I41" s="188">
        <v>17500.0</v>
      </c>
      <c r="J41" s="244">
        <f t="shared" si="20"/>
        <v>350000</v>
      </c>
      <c r="K41" s="245">
        <f t="shared" si="21"/>
        <v>90000</v>
      </c>
      <c r="L41" s="246">
        <f t="shared" si="22"/>
        <v>0.3461538462</v>
      </c>
      <c r="M41" s="252"/>
    </row>
    <row r="42" ht="15.75" customHeight="1">
      <c r="A42" s="239">
        <v>4.0</v>
      </c>
      <c r="B42" s="240" t="s">
        <v>1867</v>
      </c>
      <c r="C42" s="239" t="s">
        <v>1583</v>
      </c>
      <c r="D42" s="213">
        <v>10.0</v>
      </c>
      <c r="E42" s="267"/>
      <c r="F42" s="268" t="str">
        <f t="shared" si="18"/>
        <v/>
      </c>
      <c r="G42" s="186">
        <v>9000.0</v>
      </c>
      <c r="H42" s="243">
        <f t="shared" si="19"/>
        <v>90000</v>
      </c>
      <c r="I42" s="188">
        <v>13000.0</v>
      </c>
      <c r="J42" s="244">
        <f t="shared" si="20"/>
        <v>130000</v>
      </c>
      <c r="K42" s="245">
        <f t="shared" si="21"/>
        <v>40000</v>
      </c>
      <c r="L42" s="246">
        <f t="shared" si="22"/>
        <v>0.4444444444</v>
      </c>
      <c r="M42" s="247"/>
    </row>
    <row r="43" ht="15.75" customHeight="1">
      <c r="A43" s="248">
        <v>5.0</v>
      </c>
      <c r="B43" s="249" t="s">
        <v>1880</v>
      </c>
      <c r="C43" s="239" t="s">
        <v>69</v>
      </c>
      <c r="D43" s="213">
        <v>10.0</v>
      </c>
      <c r="E43" s="267"/>
      <c r="F43" s="268" t="str">
        <f t="shared" si="18"/>
        <v/>
      </c>
      <c r="G43" s="186">
        <v>2000.0</v>
      </c>
      <c r="H43" s="243">
        <f t="shared" si="19"/>
        <v>20000</v>
      </c>
      <c r="I43" s="188">
        <v>3000.0</v>
      </c>
      <c r="J43" s="244">
        <f t="shared" si="20"/>
        <v>30000</v>
      </c>
      <c r="K43" s="245">
        <f t="shared" si="21"/>
        <v>10000</v>
      </c>
      <c r="L43" s="246">
        <f t="shared" si="22"/>
        <v>0.5</v>
      </c>
      <c r="M43" s="252"/>
    </row>
    <row r="44" ht="15.75" customHeight="1">
      <c r="A44" s="256" t="s">
        <v>1881</v>
      </c>
      <c r="B44" s="206"/>
      <c r="C44" s="206"/>
      <c r="D44" s="174"/>
      <c r="E44" s="257"/>
      <c r="F44" s="258">
        <f>SUMIF(F39:F43,"&lt;&gt;",F39:F43)</f>
        <v>0</v>
      </c>
      <c r="G44" s="257"/>
      <c r="H44" s="258">
        <f>SUMIF(H39:H43,"&lt;&gt;",H39:H43)</f>
        <v>774000</v>
      </c>
      <c r="I44" s="257"/>
      <c r="J44" s="258">
        <f>SUMIF(J39:J43,"&lt;&gt;",J39:J43)</f>
        <v>995000</v>
      </c>
      <c r="K44" s="257"/>
      <c r="L44" s="257"/>
      <c r="M44" s="257"/>
    </row>
    <row r="45" ht="15.75" customHeight="1"/>
    <row r="46" ht="15.75" customHeight="1">
      <c r="A46" s="323"/>
      <c r="B46" s="323"/>
      <c r="C46" s="269"/>
      <c r="D46" s="228" t="s">
        <v>1647</v>
      </c>
      <c r="E46" s="155"/>
      <c r="F46" s="155"/>
      <c r="G46" s="155"/>
      <c r="H46" s="155"/>
      <c r="I46" s="155"/>
      <c r="J46" s="155"/>
      <c r="K46" s="323"/>
      <c r="L46" s="323"/>
      <c r="M46" s="323"/>
    </row>
    <row r="47" ht="15.75" customHeight="1">
      <c r="A47" s="229" t="s">
        <v>1509</v>
      </c>
      <c r="B47" s="229" t="s">
        <v>1510</v>
      </c>
      <c r="C47" s="229" t="s">
        <v>1511</v>
      </c>
      <c r="D47" s="302" t="s">
        <v>1614</v>
      </c>
      <c r="E47" s="303" t="s">
        <v>1615</v>
      </c>
      <c r="F47" s="304"/>
      <c r="G47" s="305" t="s">
        <v>1616</v>
      </c>
      <c r="H47" s="304"/>
      <c r="I47" s="306" t="s">
        <v>1617</v>
      </c>
      <c r="J47" s="304"/>
      <c r="K47" s="307" t="s">
        <v>1618</v>
      </c>
      <c r="L47" s="304"/>
      <c r="M47" s="302" t="s">
        <v>1619</v>
      </c>
    </row>
    <row r="48" ht="15.75" customHeight="1">
      <c r="A48" s="234" t="s">
        <v>1509</v>
      </c>
      <c r="B48" s="234" t="s">
        <v>1510</v>
      </c>
      <c r="C48" s="234" t="s">
        <v>1511</v>
      </c>
      <c r="D48" s="234" t="s">
        <v>1614</v>
      </c>
      <c r="E48" s="235" t="s">
        <v>1620</v>
      </c>
      <c r="F48" s="235" t="s">
        <v>1621</v>
      </c>
      <c r="G48" s="236" t="s">
        <v>1622</v>
      </c>
      <c r="H48" s="236" t="s">
        <v>1623</v>
      </c>
      <c r="I48" s="237" t="s">
        <v>1624</v>
      </c>
      <c r="J48" s="237" t="s">
        <v>1625</v>
      </c>
      <c r="K48" s="238" t="s">
        <v>1626</v>
      </c>
      <c r="L48" s="238" t="s">
        <v>1627</v>
      </c>
      <c r="M48" s="234" t="s">
        <v>1619</v>
      </c>
    </row>
    <row r="49" ht="15.75" customHeight="1">
      <c r="A49" s="248">
        <v>1.0</v>
      </c>
      <c r="B49" s="240" t="s">
        <v>1882</v>
      </c>
      <c r="C49" s="239" t="s">
        <v>1676</v>
      </c>
      <c r="D49" s="213">
        <v>6.0</v>
      </c>
      <c r="E49" s="267"/>
      <c r="F49" s="268" t="str">
        <f t="shared" ref="F49:F53" si="23">IF(E49&lt;&gt;"",D49*E49,"")</f>
        <v/>
      </c>
      <c r="G49" s="186">
        <v>65000.0</v>
      </c>
      <c r="H49" s="243">
        <f t="shared" ref="H49:H55" si="24">IF(G49&lt;&gt;"",D49*G49,"")</f>
        <v>390000</v>
      </c>
      <c r="I49" s="188">
        <v>90000.0</v>
      </c>
      <c r="J49" s="244">
        <f t="shared" ref="J49:J55" si="25">IF(I49&lt;&gt;"",D49*I49,"")</f>
        <v>540000</v>
      </c>
      <c r="K49" s="245">
        <f t="shared" ref="K49:K56" si="26">IF(J49&lt;&gt;"",IF(H49&lt;&gt;"",J49-H49,IF(F49&lt;&gt;"",J49-F49,"")),"")</f>
        <v>150000</v>
      </c>
      <c r="L49" s="246">
        <f t="shared" ref="L49:L56" si="27">IF(K49&lt;&gt;"",IF(H49&lt;&gt;"",IF(H49&lt;&gt;0,K49/H49,""),IF(F49&lt;&gt;"",IF(F49&lt;&gt;0,K49/F49,""),"")),"")</f>
        <v>0.3846153846</v>
      </c>
      <c r="M49" s="247"/>
    </row>
    <row r="50" ht="15.75" customHeight="1">
      <c r="A50" s="239">
        <v>2.0</v>
      </c>
      <c r="B50" s="240" t="s">
        <v>1883</v>
      </c>
      <c r="C50" s="239" t="s">
        <v>1557</v>
      </c>
      <c r="D50" s="213">
        <v>1.0</v>
      </c>
      <c r="E50" s="267"/>
      <c r="F50" s="268" t="str">
        <f t="shared" si="23"/>
        <v/>
      </c>
      <c r="G50" s="186">
        <v>15000.0</v>
      </c>
      <c r="H50" s="243">
        <f t="shared" si="24"/>
        <v>15000</v>
      </c>
      <c r="I50" s="188">
        <v>20000.0</v>
      </c>
      <c r="J50" s="244">
        <f t="shared" si="25"/>
        <v>20000</v>
      </c>
      <c r="K50" s="245">
        <f t="shared" si="26"/>
        <v>5000</v>
      </c>
      <c r="L50" s="246">
        <f t="shared" si="27"/>
        <v>0.3333333333</v>
      </c>
      <c r="M50" s="247"/>
    </row>
    <row r="51" ht="15.75" customHeight="1">
      <c r="A51" s="248">
        <v>3.0</v>
      </c>
      <c r="B51" s="249" t="s">
        <v>1884</v>
      </c>
      <c r="C51" s="239" t="s">
        <v>69</v>
      </c>
      <c r="D51" s="213">
        <v>2.0</v>
      </c>
      <c r="E51" s="267"/>
      <c r="F51" s="268" t="str">
        <f t="shared" si="23"/>
        <v/>
      </c>
      <c r="G51" s="186">
        <v>32500.0</v>
      </c>
      <c r="H51" s="243">
        <f t="shared" si="24"/>
        <v>65000</v>
      </c>
      <c r="I51" s="188">
        <v>40000.0</v>
      </c>
      <c r="J51" s="244">
        <f t="shared" si="25"/>
        <v>80000</v>
      </c>
      <c r="K51" s="245">
        <f t="shared" si="26"/>
        <v>15000</v>
      </c>
      <c r="L51" s="246">
        <f t="shared" si="27"/>
        <v>0.2307692308</v>
      </c>
      <c r="M51" s="252"/>
    </row>
    <row r="52" ht="15.75" customHeight="1">
      <c r="A52" s="239">
        <v>4.0</v>
      </c>
      <c r="B52" s="240" t="s">
        <v>1885</v>
      </c>
      <c r="C52" s="239" t="s">
        <v>69</v>
      </c>
      <c r="D52" s="213">
        <v>10.0</v>
      </c>
      <c r="E52" s="267"/>
      <c r="F52" s="268" t="str">
        <f t="shared" si="23"/>
        <v/>
      </c>
      <c r="G52" s="186">
        <v>9670.0</v>
      </c>
      <c r="H52" s="243">
        <f t="shared" si="24"/>
        <v>96700</v>
      </c>
      <c r="I52" s="188">
        <v>10000.0</v>
      </c>
      <c r="J52" s="244">
        <f t="shared" si="25"/>
        <v>100000</v>
      </c>
      <c r="K52" s="245">
        <f t="shared" si="26"/>
        <v>3300</v>
      </c>
      <c r="L52" s="246">
        <f t="shared" si="27"/>
        <v>0.03412616339</v>
      </c>
      <c r="M52" s="247"/>
    </row>
    <row r="53" ht="15.75" customHeight="1">
      <c r="A53" s="248">
        <v>5.0</v>
      </c>
      <c r="B53" s="249" t="s">
        <v>1886</v>
      </c>
      <c r="C53" s="239" t="s">
        <v>1583</v>
      </c>
      <c r="D53" s="213">
        <v>2.0</v>
      </c>
      <c r="E53" s="267"/>
      <c r="F53" s="268" t="str">
        <f t="shared" si="23"/>
        <v/>
      </c>
      <c r="G53" s="186">
        <v>3500.0</v>
      </c>
      <c r="H53" s="243">
        <f t="shared" si="24"/>
        <v>7000</v>
      </c>
      <c r="I53" s="188">
        <v>50000.0</v>
      </c>
      <c r="J53" s="244">
        <f t="shared" si="25"/>
        <v>100000</v>
      </c>
      <c r="K53" s="245">
        <f t="shared" si="26"/>
        <v>93000</v>
      </c>
      <c r="L53" s="246">
        <f t="shared" si="27"/>
        <v>13.28571429</v>
      </c>
      <c r="M53" s="252"/>
    </row>
    <row r="54" ht="15.75" customHeight="1">
      <c r="A54" s="336">
        <v>6.0</v>
      </c>
      <c r="B54" s="337" t="s">
        <v>1887</v>
      </c>
      <c r="C54" s="338" t="s">
        <v>1583</v>
      </c>
      <c r="D54" s="339">
        <v>15.0</v>
      </c>
      <c r="E54" s="267"/>
      <c r="F54" s="268"/>
      <c r="G54" s="186">
        <v>42000.0</v>
      </c>
      <c r="H54" s="243">
        <f t="shared" si="24"/>
        <v>630000</v>
      </c>
      <c r="I54" s="188">
        <v>50000.0</v>
      </c>
      <c r="J54" s="244">
        <f t="shared" si="25"/>
        <v>750000</v>
      </c>
      <c r="K54" s="245">
        <f t="shared" si="26"/>
        <v>120000</v>
      </c>
      <c r="L54" s="246">
        <f t="shared" si="27"/>
        <v>0.1904761905</v>
      </c>
      <c r="M54" s="252"/>
    </row>
    <row r="55" ht="15.75" customHeight="1">
      <c r="A55" s="336">
        <v>7.0</v>
      </c>
      <c r="B55" s="337" t="s">
        <v>1746</v>
      </c>
      <c r="C55" s="338" t="s">
        <v>1176</v>
      </c>
      <c r="D55" s="339">
        <v>1.0</v>
      </c>
      <c r="E55" s="267"/>
      <c r="F55" s="268"/>
      <c r="G55" s="186">
        <v>1125000.0</v>
      </c>
      <c r="H55" s="263">
        <f t="shared" si="24"/>
        <v>1125000</v>
      </c>
      <c r="I55" s="188">
        <v>1250000.0</v>
      </c>
      <c r="J55" s="264">
        <f t="shared" si="25"/>
        <v>1250000</v>
      </c>
      <c r="K55" s="245">
        <f t="shared" si="26"/>
        <v>125000</v>
      </c>
      <c r="L55" s="246">
        <f t="shared" si="27"/>
        <v>0.1111111111</v>
      </c>
      <c r="M55" s="252"/>
    </row>
    <row r="56" ht="15.75" customHeight="1">
      <c r="A56" s="272" t="s">
        <v>1888</v>
      </c>
      <c r="B56" s="206"/>
      <c r="C56" s="206"/>
      <c r="D56" s="174"/>
      <c r="E56" s="257"/>
      <c r="F56" s="258">
        <f>SUMIF(F49:F55,"&lt;&gt;",F49:F55)</f>
        <v>0</v>
      </c>
      <c r="G56" s="259"/>
      <c r="H56" s="260">
        <f>SUMIF(H49:H55,"&lt;&gt;",H49:H55)</f>
        <v>2328700</v>
      </c>
      <c r="I56" s="265"/>
      <c r="J56" s="260">
        <f>SUMIF(J49:J55,"&lt;&gt;",J49:J55)</f>
        <v>2840000</v>
      </c>
      <c r="K56" s="261">
        <f t="shared" si="26"/>
        <v>511300</v>
      </c>
      <c r="L56" s="262">
        <f t="shared" si="27"/>
        <v>0.2195645639</v>
      </c>
      <c r="M56" s="257"/>
    </row>
    <row r="57">
      <c r="A57" s="340"/>
      <c r="B57" s="340"/>
      <c r="C57" s="340"/>
      <c r="D57" s="340"/>
      <c r="E57" s="340"/>
      <c r="F57" s="341"/>
      <c r="G57" s="341"/>
      <c r="H57" s="341"/>
      <c r="I57" s="341"/>
      <c r="J57" s="341"/>
      <c r="K57" s="341"/>
      <c r="L57" s="342"/>
      <c r="M57" s="340"/>
    </row>
    <row r="58" ht="15.75" customHeight="1">
      <c r="A58" s="323"/>
      <c r="B58" s="323"/>
      <c r="C58" s="323"/>
      <c r="D58" s="228" t="s">
        <v>1654</v>
      </c>
      <c r="E58" s="155"/>
      <c r="F58" s="155"/>
      <c r="G58" s="155"/>
      <c r="H58" s="155"/>
      <c r="I58" s="155"/>
      <c r="J58" s="155"/>
      <c r="K58" s="323"/>
      <c r="L58" s="323"/>
      <c r="M58" s="323"/>
    </row>
    <row r="59" ht="15.75" customHeight="1">
      <c r="A59" s="229" t="s">
        <v>1509</v>
      </c>
      <c r="B59" s="229" t="s">
        <v>1510</v>
      </c>
      <c r="C59" s="229" t="s">
        <v>1511</v>
      </c>
      <c r="D59" s="302" t="s">
        <v>1614</v>
      </c>
      <c r="E59" s="303" t="s">
        <v>1615</v>
      </c>
      <c r="F59" s="304"/>
      <c r="G59" s="305" t="s">
        <v>1616</v>
      </c>
      <c r="H59" s="304"/>
      <c r="I59" s="306" t="s">
        <v>1617</v>
      </c>
      <c r="J59" s="304"/>
      <c r="K59" s="307" t="s">
        <v>1618</v>
      </c>
      <c r="L59" s="304"/>
      <c r="M59" s="302" t="s">
        <v>1619</v>
      </c>
    </row>
    <row r="60" ht="15.75" customHeight="1">
      <c r="A60" s="234" t="s">
        <v>1509</v>
      </c>
      <c r="B60" s="234" t="s">
        <v>1510</v>
      </c>
      <c r="C60" s="234" t="s">
        <v>1511</v>
      </c>
      <c r="D60" s="234" t="s">
        <v>1614</v>
      </c>
      <c r="E60" s="235" t="s">
        <v>1620</v>
      </c>
      <c r="F60" s="235" t="s">
        <v>1621</v>
      </c>
      <c r="G60" s="236" t="s">
        <v>1622</v>
      </c>
      <c r="H60" s="236" t="s">
        <v>1623</v>
      </c>
      <c r="I60" s="237" t="s">
        <v>1624</v>
      </c>
      <c r="J60" s="237" t="s">
        <v>1625</v>
      </c>
      <c r="K60" s="238" t="s">
        <v>1626</v>
      </c>
      <c r="L60" s="238" t="s">
        <v>1627</v>
      </c>
      <c r="M60" s="234" t="s">
        <v>1619</v>
      </c>
    </row>
    <row r="61" ht="15.75" customHeight="1">
      <c r="A61" s="248">
        <v>1.0</v>
      </c>
      <c r="B61" s="240" t="s">
        <v>1737</v>
      </c>
      <c r="C61" s="239" t="s">
        <v>1176</v>
      </c>
      <c r="D61" s="213">
        <v>1.0</v>
      </c>
      <c r="E61" s="267"/>
      <c r="F61" s="268" t="str">
        <f t="shared" ref="F61:F65" si="28">IF(E61&lt;&gt;"",D61*E61,"")</f>
        <v/>
      </c>
      <c r="G61" s="186">
        <v>1125000.0</v>
      </c>
      <c r="H61" s="243">
        <f t="shared" ref="H61:H65" si="29">IF(G61&lt;&gt;"",D61*G61,"")</f>
        <v>1125000</v>
      </c>
      <c r="I61" s="188">
        <v>1250000.0</v>
      </c>
      <c r="J61" s="244">
        <f t="shared" ref="J61:J65" si="30">IF(I61&lt;&gt;"",D61*I61,"")</f>
        <v>1250000</v>
      </c>
      <c r="K61" s="245">
        <f t="shared" ref="K61:K66" si="31">IF(J61&lt;&gt;"",IF(H61&lt;&gt;"",J61-H61,IF(F61&lt;&gt;"",J61-F61,"")),"")</f>
        <v>125000</v>
      </c>
      <c r="L61" s="246">
        <f t="shared" ref="L61:L66" si="32">IF(K61&lt;&gt;"",IF(H61&lt;&gt;"",IF(H61&lt;&gt;0,K61/H61,""),IF(F61&lt;&gt;"",IF(F61&lt;&gt;0,K61/F61,""),"")),"")</f>
        <v>0.1111111111</v>
      </c>
      <c r="M61" s="247"/>
    </row>
    <row r="62" ht="15.75" customHeight="1">
      <c r="A62" s="239">
        <v>2.0</v>
      </c>
      <c r="B62" s="240" t="s">
        <v>1889</v>
      </c>
      <c r="C62" s="239" t="s">
        <v>1176</v>
      </c>
      <c r="D62" s="213">
        <v>1.0</v>
      </c>
      <c r="E62" s="267"/>
      <c r="F62" s="268" t="str">
        <f t="shared" si="28"/>
        <v/>
      </c>
      <c r="G62" s="186">
        <v>255000.0</v>
      </c>
      <c r="H62" s="243">
        <f t="shared" si="29"/>
        <v>255000</v>
      </c>
      <c r="I62" s="188">
        <v>295000.0</v>
      </c>
      <c r="J62" s="244">
        <f t="shared" si="30"/>
        <v>295000</v>
      </c>
      <c r="K62" s="245">
        <f t="shared" si="31"/>
        <v>40000</v>
      </c>
      <c r="L62" s="246">
        <f t="shared" si="32"/>
        <v>0.1568627451</v>
      </c>
      <c r="M62" s="247"/>
    </row>
    <row r="63" ht="15.75" customHeight="1">
      <c r="A63" s="248">
        <v>3.0</v>
      </c>
      <c r="B63" s="249" t="s">
        <v>1890</v>
      </c>
      <c r="C63" s="239" t="s">
        <v>69</v>
      </c>
      <c r="D63" s="213">
        <v>2500.0</v>
      </c>
      <c r="E63" s="267"/>
      <c r="F63" s="268" t="str">
        <f t="shared" si="28"/>
        <v/>
      </c>
      <c r="G63" s="186">
        <v>540.0</v>
      </c>
      <c r="H63" s="243">
        <f t="shared" si="29"/>
        <v>1350000</v>
      </c>
      <c r="I63" s="188">
        <v>650.0</v>
      </c>
      <c r="J63" s="244">
        <f t="shared" si="30"/>
        <v>1625000</v>
      </c>
      <c r="K63" s="245">
        <f t="shared" si="31"/>
        <v>275000</v>
      </c>
      <c r="L63" s="246">
        <f t="shared" si="32"/>
        <v>0.2037037037</v>
      </c>
      <c r="M63" s="252"/>
    </row>
    <row r="64" ht="15.75" customHeight="1">
      <c r="A64" s="239">
        <v>4.0</v>
      </c>
      <c r="B64" s="240" t="s">
        <v>1872</v>
      </c>
      <c r="C64" s="239" t="s">
        <v>1583</v>
      </c>
      <c r="D64" s="213">
        <v>20.0</v>
      </c>
      <c r="E64" s="267"/>
      <c r="F64" s="268" t="str">
        <f t="shared" si="28"/>
        <v/>
      </c>
      <c r="G64" s="186">
        <v>13000.0</v>
      </c>
      <c r="H64" s="243">
        <f t="shared" si="29"/>
        <v>260000</v>
      </c>
      <c r="I64" s="188">
        <v>17500.0</v>
      </c>
      <c r="J64" s="244">
        <f t="shared" si="30"/>
        <v>350000</v>
      </c>
      <c r="K64" s="245">
        <f t="shared" si="31"/>
        <v>90000</v>
      </c>
      <c r="L64" s="246">
        <f t="shared" si="32"/>
        <v>0.3461538462</v>
      </c>
      <c r="M64" s="247"/>
    </row>
    <row r="65" ht="15.75" customHeight="1">
      <c r="A65" s="248">
        <v>5.0</v>
      </c>
      <c r="B65" s="249" t="s">
        <v>1891</v>
      </c>
      <c r="C65" s="239" t="s">
        <v>1583</v>
      </c>
      <c r="D65" s="213">
        <v>4.0</v>
      </c>
      <c r="E65" s="267"/>
      <c r="F65" s="268" t="str">
        <f t="shared" si="28"/>
        <v/>
      </c>
      <c r="G65" s="186">
        <v>42000.0</v>
      </c>
      <c r="H65" s="263">
        <f t="shared" si="29"/>
        <v>168000</v>
      </c>
      <c r="I65" s="188">
        <v>55000.0</v>
      </c>
      <c r="J65" s="264">
        <f t="shared" si="30"/>
        <v>220000</v>
      </c>
      <c r="K65" s="245">
        <f t="shared" si="31"/>
        <v>52000</v>
      </c>
      <c r="L65" s="246">
        <f t="shared" si="32"/>
        <v>0.3095238095</v>
      </c>
      <c r="M65" s="252"/>
    </row>
    <row r="66" ht="15.75" customHeight="1">
      <c r="A66" s="272" t="s">
        <v>1892</v>
      </c>
      <c r="B66" s="206"/>
      <c r="C66" s="206"/>
      <c r="D66" s="174"/>
      <c r="E66" s="257"/>
      <c r="F66" s="258">
        <f>SUMIF(F61:F65,"&lt;&gt;",F61:F65)</f>
        <v>0</v>
      </c>
      <c r="G66" s="259"/>
      <c r="H66" s="260">
        <f>SUMIF(H61:H65,"&lt;&gt;",H61:H65)</f>
        <v>3158000</v>
      </c>
      <c r="I66" s="265"/>
      <c r="J66" s="260">
        <f>SUMIF(J61:J65,"&lt;&gt;",J61:J65)</f>
        <v>3740000</v>
      </c>
      <c r="K66" s="261">
        <f t="shared" si="31"/>
        <v>582000</v>
      </c>
      <c r="L66" s="262">
        <f t="shared" si="32"/>
        <v>0.1842938569</v>
      </c>
      <c r="M66" s="257"/>
    </row>
    <row r="67" ht="15.75" customHeight="1">
      <c r="A67" s="266"/>
      <c r="B67" s="266"/>
      <c r="C67" s="343"/>
      <c r="D67" s="266"/>
      <c r="E67" s="266"/>
      <c r="F67" s="266"/>
      <c r="G67" s="266"/>
      <c r="H67" s="266"/>
      <c r="I67" s="266"/>
      <c r="J67" s="266"/>
      <c r="K67" s="266"/>
      <c r="L67" s="266"/>
      <c r="M67" s="266"/>
    </row>
    <row r="68" ht="15.75" customHeight="1">
      <c r="A68" s="323"/>
      <c r="B68" s="323"/>
      <c r="C68" s="323"/>
      <c r="D68" s="228" t="s">
        <v>1660</v>
      </c>
      <c r="E68" s="155"/>
      <c r="F68" s="155"/>
      <c r="G68" s="155"/>
      <c r="H68" s="155"/>
      <c r="I68" s="155"/>
      <c r="J68" s="155"/>
      <c r="K68" s="323"/>
      <c r="L68" s="323"/>
      <c r="M68" s="323"/>
    </row>
    <row r="69" ht="15.75" customHeight="1">
      <c r="A69" s="229" t="s">
        <v>1509</v>
      </c>
      <c r="B69" s="229" t="s">
        <v>1510</v>
      </c>
      <c r="C69" s="229" t="s">
        <v>1511</v>
      </c>
      <c r="D69" s="302" t="s">
        <v>1614</v>
      </c>
      <c r="E69" s="303" t="s">
        <v>1615</v>
      </c>
      <c r="F69" s="304"/>
      <c r="G69" s="305" t="s">
        <v>1616</v>
      </c>
      <c r="H69" s="304"/>
      <c r="I69" s="306" t="s">
        <v>1617</v>
      </c>
      <c r="J69" s="304"/>
      <c r="K69" s="307" t="s">
        <v>1618</v>
      </c>
      <c r="L69" s="304"/>
      <c r="M69" s="302" t="s">
        <v>1619</v>
      </c>
    </row>
    <row r="70" ht="15.75" customHeight="1">
      <c r="A70" s="234" t="s">
        <v>1509</v>
      </c>
      <c r="B70" s="234" t="s">
        <v>1510</v>
      </c>
      <c r="C70" s="234" t="s">
        <v>1511</v>
      </c>
      <c r="D70" s="234" t="s">
        <v>1614</v>
      </c>
      <c r="E70" s="235" t="s">
        <v>1620</v>
      </c>
      <c r="F70" s="235" t="s">
        <v>1621</v>
      </c>
      <c r="G70" s="236" t="s">
        <v>1622</v>
      </c>
      <c r="H70" s="236" t="s">
        <v>1623</v>
      </c>
      <c r="I70" s="237" t="s">
        <v>1624</v>
      </c>
      <c r="J70" s="237" t="s">
        <v>1625</v>
      </c>
      <c r="K70" s="238" t="s">
        <v>1626</v>
      </c>
      <c r="L70" s="238" t="s">
        <v>1627</v>
      </c>
      <c r="M70" s="234" t="s">
        <v>1619</v>
      </c>
    </row>
    <row r="71" ht="15.75" customHeight="1">
      <c r="A71" s="248">
        <v>1.0</v>
      </c>
      <c r="B71" s="240" t="s">
        <v>1737</v>
      </c>
      <c r="C71" s="239" t="s">
        <v>1176</v>
      </c>
      <c r="D71" s="213">
        <v>2.0</v>
      </c>
      <c r="E71" s="267"/>
      <c r="F71" s="268" t="str">
        <f t="shared" ref="F71:F72" si="33">IF(E71&lt;&gt;"",D71*E71,"")</f>
        <v/>
      </c>
      <c r="G71" s="186">
        <v>1125000.0</v>
      </c>
      <c r="H71" s="243">
        <f t="shared" ref="H71:H72" si="34">IF(G71&lt;&gt;"",D71*G71,"")</f>
        <v>2250000</v>
      </c>
      <c r="I71" s="188">
        <v>1250000.0</v>
      </c>
      <c r="J71" s="244">
        <f t="shared" ref="J71:J72" si="35">IF(I71&lt;&gt;"",D71*I71,"")</f>
        <v>2500000</v>
      </c>
      <c r="K71" s="245">
        <f t="shared" ref="K71:K73" si="36">IF(J71&lt;&gt;"",IF(H71&lt;&gt;"",J71-H71,IF(F71&lt;&gt;"",J71-F71,"")),"")</f>
        <v>250000</v>
      </c>
      <c r="L71" s="246">
        <f t="shared" ref="L71:L73" si="37">IF(K71&lt;&gt;"",IF(H71&lt;&gt;"",IF(H71&lt;&gt;0,K71/H71,""),IF(F71&lt;&gt;"",IF(F71&lt;&gt;0,K71/F71,""),"")),"")</f>
        <v>0.1111111111</v>
      </c>
      <c r="M71" s="247"/>
    </row>
    <row r="72" ht="15.75" customHeight="1">
      <c r="A72" s="239">
        <v>2.0</v>
      </c>
      <c r="B72" s="240" t="s">
        <v>1889</v>
      </c>
      <c r="C72" s="239" t="s">
        <v>1176</v>
      </c>
      <c r="D72" s="213">
        <v>1.0</v>
      </c>
      <c r="E72" s="267"/>
      <c r="F72" s="268" t="str">
        <f t="shared" si="33"/>
        <v/>
      </c>
      <c r="G72" s="186">
        <v>255000.0</v>
      </c>
      <c r="H72" s="263">
        <f t="shared" si="34"/>
        <v>255000</v>
      </c>
      <c r="I72" s="188">
        <v>295000.0</v>
      </c>
      <c r="J72" s="264">
        <f t="shared" si="35"/>
        <v>295000</v>
      </c>
      <c r="K72" s="245">
        <f t="shared" si="36"/>
        <v>40000</v>
      </c>
      <c r="L72" s="246">
        <f t="shared" si="37"/>
        <v>0.1568627451</v>
      </c>
      <c r="M72" s="247"/>
    </row>
    <row r="73" ht="15.75" customHeight="1">
      <c r="A73" s="272" t="s">
        <v>1893</v>
      </c>
      <c r="B73" s="206"/>
      <c r="C73" s="206"/>
      <c r="D73" s="174"/>
      <c r="E73" s="257"/>
      <c r="F73" s="258">
        <f>SUMIF(F71:F72,"&lt;&gt;",F71:F72)</f>
        <v>0</v>
      </c>
      <c r="G73" s="317"/>
      <c r="H73" s="260">
        <f>SUMIF(H71:H72,"&lt;&gt;",H71:H72)</f>
        <v>2505000</v>
      </c>
      <c r="I73" s="322"/>
      <c r="J73" s="260">
        <f>SUMIF(J71:J72,"&lt;&gt;",J71:J72)</f>
        <v>2795000</v>
      </c>
      <c r="K73" s="261">
        <f t="shared" si="36"/>
        <v>290000</v>
      </c>
      <c r="L73" s="262">
        <f t="shared" si="37"/>
        <v>0.1157684631</v>
      </c>
      <c r="M73" s="257"/>
    </row>
    <row r="74" ht="15.75" customHeight="1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</row>
    <row r="75" ht="15.75" customHeight="1">
      <c r="A75" s="269"/>
      <c r="C75" s="228" t="s">
        <v>1667</v>
      </c>
      <c r="D75" s="155"/>
      <c r="E75" s="155"/>
      <c r="F75" s="155"/>
      <c r="G75" s="155"/>
      <c r="H75" s="155"/>
      <c r="I75" s="155"/>
      <c r="J75" s="155"/>
      <c r="K75" s="155"/>
      <c r="L75" s="155"/>
      <c r="M75" s="269"/>
    </row>
    <row r="76" ht="15.75" customHeight="1">
      <c r="A76" s="229" t="s">
        <v>1509</v>
      </c>
      <c r="B76" s="229" t="s">
        <v>1510</v>
      </c>
      <c r="C76" s="229" t="s">
        <v>1511</v>
      </c>
      <c r="D76" s="229" t="s">
        <v>1614</v>
      </c>
      <c r="E76" s="230" t="s">
        <v>1615</v>
      </c>
      <c r="F76" s="174"/>
      <c r="G76" s="231" t="s">
        <v>1616</v>
      </c>
      <c r="H76" s="174"/>
      <c r="I76" s="232" t="s">
        <v>1617</v>
      </c>
      <c r="J76" s="174"/>
      <c r="K76" s="233" t="s">
        <v>1618</v>
      </c>
      <c r="L76" s="174"/>
      <c r="M76" s="229" t="s">
        <v>1619</v>
      </c>
    </row>
    <row r="77" ht="15.75" customHeight="1">
      <c r="A77" s="234" t="s">
        <v>1509</v>
      </c>
      <c r="B77" s="234" t="s">
        <v>1510</v>
      </c>
      <c r="C77" s="234" t="s">
        <v>1511</v>
      </c>
      <c r="D77" s="234" t="s">
        <v>1614</v>
      </c>
      <c r="E77" s="235" t="s">
        <v>1620</v>
      </c>
      <c r="F77" s="235" t="s">
        <v>1621</v>
      </c>
      <c r="G77" s="236" t="s">
        <v>1622</v>
      </c>
      <c r="H77" s="236" t="s">
        <v>1623</v>
      </c>
      <c r="I77" s="237" t="s">
        <v>1624</v>
      </c>
      <c r="J77" s="237" t="s">
        <v>1625</v>
      </c>
      <c r="K77" s="238" t="s">
        <v>1626</v>
      </c>
      <c r="L77" s="238" t="s">
        <v>1627</v>
      </c>
      <c r="M77" s="234" t="s">
        <v>1619</v>
      </c>
    </row>
    <row r="78" ht="15.75" customHeight="1">
      <c r="A78" s="248">
        <v>1.0</v>
      </c>
      <c r="B78" s="249" t="s">
        <v>1790</v>
      </c>
      <c r="C78" s="248" t="s">
        <v>1762</v>
      </c>
      <c r="D78" s="270">
        <v>1.0</v>
      </c>
      <c r="E78" s="267"/>
      <c r="F78" s="268" t="str">
        <f t="shared" ref="F78:F79" si="38">IF(E78&lt;&gt;"",D78*E78,"")</f>
        <v/>
      </c>
      <c r="G78" s="186">
        <v>3272000.0</v>
      </c>
      <c r="H78" s="243">
        <f t="shared" ref="H78:H79" si="39">IF(G78&lt;&gt;"",D78*G78,"")</f>
        <v>3272000</v>
      </c>
      <c r="I78" s="188">
        <v>3272000.0</v>
      </c>
      <c r="J78" s="244">
        <f t="shared" ref="J78:J79" si="40">IF(I78&lt;&gt;"",D78*I78,"")</f>
        <v>3272000</v>
      </c>
      <c r="K78" s="245">
        <f t="shared" ref="K78:K80" si="41">IF(J78&lt;&gt;"",IF(H78&lt;&gt;"",J78-H78,IF(F78&lt;&gt;"",J78-F78,"")),"")</f>
        <v>0</v>
      </c>
      <c r="L78" s="246">
        <f t="shared" ref="L78:L80" si="42">IF(K78&lt;&gt;"",IF(H78&lt;&gt;"",IF(H78&lt;&gt;0,K78/H78,""),IF(F78&lt;&gt;"",IF(F78&lt;&gt;0,K78/F78,""),"")),"")</f>
        <v>0</v>
      </c>
      <c r="M78" s="252"/>
    </row>
    <row r="79" ht="15.75" customHeight="1">
      <c r="A79" s="239">
        <v>2.0</v>
      </c>
      <c r="B79" s="249" t="s">
        <v>1761</v>
      </c>
      <c r="C79" s="239" t="s">
        <v>1762</v>
      </c>
      <c r="D79" s="271">
        <v>1.0</v>
      </c>
      <c r="E79" s="267"/>
      <c r="F79" s="268" t="str">
        <f t="shared" si="38"/>
        <v/>
      </c>
      <c r="G79" s="186">
        <v>3272000.0</v>
      </c>
      <c r="H79" s="263">
        <f t="shared" si="39"/>
        <v>3272000</v>
      </c>
      <c r="I79" s="188">
        <v>3272000.0</v>
      </c>
      <c r="J79" s="244">
        <f t="shared" si="40"/>
        <v>3272000</v>
      </c>
      <c r="K79" s="245">
        <f t="shared" si="41"/>
        <v>0</v>
      </c>
      <c r="L79" s="246">
        <f t="shared" si="42"/>
        <v>0</v>
      </c>
      <c r="M79" s="247"/>
    </row>
    <row r="80" ht="15.75" customHeight="1">
      <c r="A80" s="318" t="s">
        <v>1894</v>
      </c>
      <c r="B80" s="206"/>
      <c r="C80" s="206"/>
      <c r="D80" s="174"/>
      <c r="E80" s="257"/>
      <c r="F80" s="258">
        <f>SUMIF(F78:F79,"&lt;&gt;",F78:F79)</f>
        <v>0</v>
      </c>
      <c r="G80" s="259"/>
      <c r="H80" s="260">
        <f>SUMIF(H78:H79,"&lt;&gt;",H78:H79)</f>
        <v>6544000</v>
      </c>
      <c r="I80" s="265"/>
      <c r="J80" s="260">
        <f>SUMIF(J78:J79,"&lt;&gt;",J78:J79)</f>
        <v>6544000</v>
      </c>
      <c r="K80" s="261">
        <f t="shared" si="41"/>
        <v>0</v>
      </c>
      <c r="L80" s="262">
        <f t="shared" si="42"/>
        <v>0</v>
      </c>
      <c r="M80" s="257"/>
    </row>
    <row r="81" ht="15.75" customHeight="1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</row>
    <row r="82" ht="15.75" customHeight="1">
      <c r="A82" s="269"/>
      <c r="C82" s="228" t="s">
        <v>1667</v>
      </c>
      <c r="D82" s="155"/>
      <c r="E82" s="155"/>
      <c r="F82" s="155"/>
      <c r="G82" s="155"/>
      <c r="H82" s="155"/>
      <c r="I82" s="155"/>
      <c r="J82" s="155"/>
      <c r="K82" s="155"/>
      <c r="L82" s="155"/>
      <c r="M82" s="269"/>
    </row>
    <row r="83" ht="15.75" customHeight="1">
      <c r="A83" s="229" t="s">
        <v>1509</v>
      </c>
      <c r="B83" s="229" t="s">
        <v>1510</v>
      </c>
      <c r="C83" s="229" t="s">
        <v>1511</v>
      </c>
      <c r="D83" s="229" t="s">
        <v>1614</v>
      </c>
      <c r="E83" s="230" t="s">
        <v>1615</v>
      </c>
      <c r="F83" s="174"/>
      <c r="G83" s="231" t="s">
        <v>1616</v>
      </c>
      <c r="H83" s="174"/>
      <c r="I83" s="232" t="s">
        <v>1617</v>
      </c>
      <c r="J83" s="174"/>
      <c r="K83" s="233" t="s">
        <v>1618</v>
      </c>
      <c r="L83" s="174"/>
      <c r="M83" s="229" t="s">
        <v>1619</v>
      </c>
    </row>
    <row r="84" ht="15.75" customHeight="1">
      <c r="A84" s="234" t="s">
        <v>1509</v>
      </c>
      <c r="B84" s="234" t="s">
        <v>1510</v>
      </c>
      <c r="C84" s="234" t="s">
        <v>1511</v>
      </c>
      <c r="D84" s="234" t="s">
        <v>1614</v>
      </c>
      <c r="E84" s="235" t="s">
        <v>1620</v>
      </c>
      <c r="F84" s="235" t="s">
        <v>1621</v>
      </c>
      <c r="G84" s="236" t="s">
        <v>1622</v>
      </c>
      <c r="H84" s="236" t="s">
        <v>1623</v>
      </c>
      <c r="I84" s="237" t="s">
        <v>1624</v>
      </c>
      <c r="J84" s="237" t="s">
        <v>1625</v>
      </c>
      <c r="K84" s="238" t="s">
        <v>1626</v>
      </c>
      <c r="L84" s="238" t="s">
        <v>1627</v>
      </c>
      <c r="M84" s="234" t="s">
        <v>1619</v>
      </c>
    </row>
    <row r="85" ht="15.75" customHeight="1">
      <c r="A85" s="248">
        <v>1.0</v>
      </c>
      <c r="B85" s="249" t="s">
        <v>1746</v>
      </c>
      <c r="C85" s="248" t="s">
        <v>1176</v>
      </c>
      <c r="D85" s="270">
        <v>1.0</v>
      </c>
      <c r="E85" s="267"/>
      <c r="F85" s="268" t="str">
        <f>IF(E85&lt;&gt;"",D85*E85,"")</f>
        <v/>
      </c>
      <c r="G85" s="186">
        <v>1125000.0</v>
      </c>
      <c r="H85" s="243">
        <f>IF(G85&lt;&gt;"",D85*G85,"")</f>
        <v>1125000</v>
      </c>
      <c r="I85" s="188">
        <v>1250000.0</v>
      </c>
      <c r="J85" s="244">
        <f>IF(I85&lt;&gt;"",D85*I85,"")</f>
        <v>1250000</v>
      </c>
      <c r="K85" s="245">
        <f t="shared" ref="K85:K86" si="43">IF(J85&lt;&gt;"",IF(H85&lt;&gt;"",J85-H85,IF(F85&lt;&gt;"",J85-F85,"")),"")</f>
        <v>125000</v>
      </c>
      <c r="L85" s="246">
        <f t="shared" ref="L85:L86" si="44">IF(K85&lt;&gt;"",IF(H85&lt;&gt;"",IF(H85&lt;&gt;0,K85/H85,""),IF(F85&lt;&gt;"",IF(F85&lt;&gt;0,K85/F85,""),"")),"")</f>
        <v>0.1111111111</v>
      </c>
      <c r="M85" s="252"/>
    </row>
    <row r="86" ht="15.75" customHeight="1">
      <c r="A86" s="272" t="s">
        <v>1894</v>
      </c>
      <c r="B86" s="206"/>
      <c r="C86" s="206"/>
      <c r="D86" s="174"/>
      <c r="E86" s="257"/>
      <c r="F86" s="258">
        <f>SUMIF(F85,"&lt;&gt;",F85)</f>
        <v>0</v>
      </c>
      <c r="G86" s="259"/>
      <c r="H86" s="260">
        <f>SUMIF(H85,"&lt;&gt;",H85)</f>
        <v>1125000</v>
      </c>
      <c r="I86" s="265"/>
      <c r="J86" s="260">
        <f>SUMIF(J85,"&lt;&gt;",J85)</f>
        <v>1250000</v>
      </c>
      <c r="K86" s="261">
        <f t="shared" si="43"/>
        <v>125000</v>
      </c>
      <c r="L86" s="262">
        <f t="shared" si="44"/>
        <v>0.1111111111</v>
      </c>
      <c r="M86" s="257"/>
    </row>
    <row r="87" ht="15.75" customHeight="1"/>
    <row r="88" ht="15.75" customHeight="1">
      <c r="A88" s="273" t="s">
        <v>1895</v>
      </c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</row>
    <row r="89" ht="15.75" customHeight="1">
      <c r="A89" s="229" t="s">
        <v>1509</v>
      </c>
      <c r="B89" s="229" t="s">
        <v>1510</v>
      </c>
      <c r="C89" s="229" t="s">
        <v>1511</v>
      </c>
      <c r="D89" s="229" t="s">
        <v>1614</v>
      </c>
      <c r="E89" s="230" t="s">
        <v>1615</v>
      </c>
      <c r="F89" s="174"/>
      <c r="G89" s="231" t="s">
        <v>1616</v>
      </c>
      <c r="H89" s="174"/>
      <c r="I89" s="232" t="s">
        <v>1617</v>
      </c>
      <c r="J89" s="174"/>
      <c r="K89" s="233" t="s">
        <v>1618</v>
      </c>
      <c r="L89" s="174"/>
      <c r="M89" s="229" t="s">
        <v>1619</v>
      </c>
    </row>
    <row r="90" ht="15.75" customHeight="1">
      <c r="A90" s="234" t="s">
        <v>1509</v>
      </c>
      <c r="B90" s="234" t="s">
        <v>1510</v>
      </c>
      <c r="C90" s="234" t="s">
        <v>1511</v>
      </c>
      <c r="D90" s="234" t="s">
        <v>1614</v>
      </c>
      <c r="E90" s="235" t="s">
        <v>1620</v>
      </c>
      <c r="F90" s="235" t="s">
        <v>1621</v>
      </c>
      <c r="G90" s="236" t="s">
        <v>1622</v>
      </c>
      <c r="H90" s="236" t="s">
        <v>1623</v>
      </c>
      <c r="I90" s="237" t="s">
        <v>1624</v>
      </c>
      <c r="J90" s="237" t="s">
        <v>1625</v>
      </c>
      <c r="K90" s="238" t="s">
        <v>1626</v>
      </c>
      <c r="L90" s="238" t="s">
        <v>1627</v>
      </c>
      <c r="M90" s="234" t="s">
        <v>1619</v>
      </c>
    </row>
    <row r="91" ht="15.75" customHeight="1">
      <c r="A91" s="248">
        <v>1.0</v>
      </c>
      <c r="B91" s="276" t="s">
        <v>1896</v>
      </c>
      <c r="C91" s="280" t="s">
        <v>1583</v>
      </c>
      <c r="D91" s="254">
        <v>15.0</v>
      </c>
      <c r="E91" s="267"/>
      <c r="F91" s="268" t="str">
        <f>IF(E91&lt;&gt;"",D91*E91,"")</f>
        <v/>
      </c>
      <c r="G91" s="199">
        <v>15000.0</v>
      </c>
      <c r="H91" s="243">
        <f t="shared" ref="H91:H95" si="45">IF(G91&lt;&gt;"",D91*G91,"")</f>
        <v>225000</v>
      </c>
      <c r="I91" s="200">
        <v>17500.0</v>
      </c>
      <c r="J91" s="244">
        <f t="shared" ref="J91:J95" si="46">IF(I91&lt;&gt;"",D91*I91,"")</f>
        <v>262500</v>
      </c>
      <c r="K91" s="245">
        <f t="shared" ref="K91:K96" si="47">IF(J91&lt;&gt;"",IF(H91&lt;&gt;"",J91-H91,IF(F91&lt;&gt;"",J91-F91,"")),"")</f>
        <v>37500</v>
      </c>
      <c r="L91" s="246">
        <f t="shared" ref="L91:L96" si="48">IF(K91&lt;&gt;"",IF(H91&lt;&gt;"",IF(H91&lt;&gt;0,K91/H91,""),IF(F91&lt;&gt;"",IF(F91&lt;&gt;0,K91/F91,""),"")),"")</f>
        <v>0.1666666667</v>
      </c>
      <c r="M91" s="252"/>
    </row>
    <row r="92" ht="15.75" customHeight="1">
      <c r="A92" s="278">
        <v>2.0</v>
      </c>
      <c r="B92" s="276" t="s">
        <v>1878</v>
      </c>
      <c r="C92" s="278" t="s">
        <v>69</v>
      </c>
      <c r="D92" s="254">
        <v>700.0</v>
      </c>
      <c r="E92" s="267"/>
      <c r="F92" s="268"/>
      <c r="G92" s="199">
        <v>225.0</v>
      </c>
      <c r="H92" s="243">
        <f t="shared" si="45"/>
        <v>157500</v>
      </c>
      <c r="I92" s="200">
        <v>250.0</v>
      </c>
      <c r="J92" s="244">
        <f t="shared" si="46"/>
        <v>175000</v>
      </c>
      <c r="K92" s="245">
        <f t="shared" si="47"/>
        <v>17500</v>
      </c>
      <c r="L92" s="246">
        <f t="shared" si="48"/>
        <v>0.1111111111</v>
      </c>
      <c r="M92" s="247"/>
    </row>
    <row r="93" ht="15.75" customHeight="1">
      <c r="A93" s="278">
        <v>3.0</v>
      </c>
      <c r="B93" s="276" t="s">
        <v>1897</v>
      </c>
      <c r="C93" s="278" t="s">
        <v>69</v>
      </c>
      <c r="D93" s="254">
        <v>1225.0</v>
      </c>
      <c r="E93" s="267"/>
      <c r="F93" s="268"/>
      <c r="G93" s="199">
        <v>640.0</v>
      </c>
      <c r="H93" s="243">
        <f t="shared" si="45"/>
        <v>784000</v>
      </c>
      <c r="I93" s="200">
        <v>750.0</v>
      </c>
      <c r="J93" s="244">
        <f t="shared" si="46"/>
        <v>918750</v>
      </c>
      <c r="K93" s="245">
        <f t="shared" si="47"/>
        <v>134750</v>
      </c>
      <c r="L93" s="246">
        <f t="shared" si="48"/>
        <v>0.171875</v>
      </c>
      <c r="M93" s="247"/>
    </row>
    <row r="94" ht="15.75" customHeight="1">
      <c r="A94" s="278">
        <v>4.0</v>
      </c>
      <c r="B94" s="276" t="s">
        <v>1898</v>
      </c>
      <c r="C94" s="278" t="s">
        <v>261</v>
      </c>
      <c r="D94" s="254">
        <v>1.0</v>
      </c>
      <c r="E94" s="267"/>
      <c r="F94" s="268"/>
      <c r="G94" s="199">
        <v>205000.0</v>
      </c>
      <c r="H94" s="243">
        <f t="shared" si="45"/>
        <v>205000</v>
      </c>
      <c r="I94" s="200">
        <v>210000.0</v>
      </c>
      <c r="J94" s="244">
        <f t="shared" si="46"/>
        <v>210000</v>
      </c>
      <c r="K94" s="245">
        <f t="shared" si="47"/>
        <v>5000</v>
      </c>
      <c r="L94" s="246">
        <f t="shared" si="48"/>
        <v>0.0243902439</v>
      </c>
      <c r="M94" s="247"/>
    </row>
    <row r="95" ht="15.75" customHeight="1">
      <c r="A95" s="278">
        <v>5.0</v>
      </c>
      <c r="B95" s="276" t="s">
        <v>1896</v>
      </c>
      <c r="C95" s="278" t="s">
        <v>1583</v>
      </c>
      <c r="D95" s="254">
        <v>15.0</v>
      </c>
      <c r="E95" s="267"/>
      <c r="F95" s="268" t="str">
        <f>IF(E95&lt;&gt;"",D95*E95,"")</f>
        <v/>
      </c>
      <c r="G95" s="199">
        <v>15000.0</v>
      </c>
      <c r="H95" s="243">
        <f t="shared" si="45"/>
        <v>225000</v>
      </c>
      <c r="I95" s="200">
        <v>17500.0</v>
      </c>
      <c r="J95" s="244">
        <f t="shared" si="46"/>
        <v>262500</v>
      </c>
      <c r="K95" s="245">
        <f t="shared" si="47"/>
        <v>37500</v>
      </c>
      <c r="L95" s="246">
        <f t="shared" si="48"/>
        <v>0.1666666667</v>
      </c>
      <c r="M95" s="247"/>
    </row>
    <row r="96" ht="15.75" customHeight="1">
      <c r="A96" s="272" t="s">
        <v>1899</v>
      </c>
      <c r="B96" s="206"/>
      <c r="C96" s="206"/>
      <c r="D96" s="174"/>
      <c r="E96" s="257"/>
      <c r="F96" s="258">
        <f>SUMIF(F91:F95,"&lt;&gt;",F91:F95)</f>
        <v>0</v>
      </c>
      <c r="G96" s="259"/>
      <c r="H96" s="260">
        <f>SUMIF(H91:H95,"&lt;&gt;",H91:H95)</f>
        <v>1596500</v>
      </c>
      <c r="I96" s="265"/>
      <c r="J96" s="260">
        <f>SUMIF(J91:J95,"&lt;&gt;",J91:J95)</f>
        <v>1828750</v>
      </c>
      <c r="K96" s="261">
        <f t="shared" si="47"/>
        <v>232250</v>
      </c>
      <c r="L96" s="262">
        <f t="shared" si="48"/>
        <v>0.1454744754</v>
      </c>
      <c r="M96" s="257"/>
    </row>
    <row r="97" ht="15.75" customHeight="1"/>
    <row r="98" ht="15.75" customHeight="1">
      <c r="A98" s="301" t="s">
        <v>1695</v>
      </c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</row>
    <row r="99" ht="15.75" customHeight="1">
      <c r="A99" s="229" t="s">
        <v>1509</v>
      </c>
      <c r="B99" s="229" t="s">
        <v>1510</v>
      </c>
      <c r="C99" s="302" t="s">
        <v>1511</v>
      </c>
      <c r="D99" s="302" t="s">
        <v>1614</v>
      </c>
      <c r="E99" s="303" t="s">
        <v>1615</v>
      </c>
      <c r="F99" s="304"/>
      <c r="G99" s="305" t="s">
        <v>1616</v>
      </c>
      <c r="H99" s="304"/>
      <c r="I99" s="306" t="s">
        <v>1617</v>
      </c>
      <c r="J99" s="304"/>
      <c r="K99" s="307" t="s">
        <v>1618</v>
      </c>
      <c r="L99" s="304"/>
      <c r="M99" s="302" t="s">
        <v>1619</v>
      </c>
    </row>
    <row r="100" ht="15.75" customHeight="1">
      <c r="A100" s="234" t="s">
        <v>1509</v>
      </c>
      <c r="B100" s="234" t="s">
        <v>1510</v>
      </c>
      <c r="C100" s="234" t="s">
        <v>1511</v>
      </c>
      <c r="D100" s="234" t="s">
        <v>1614</v>
      </c>
      <c r="E100" s="235" t="s">
        <v>1620</v>
      </c>
      <c r="F100" s="235" t="s">
        <v>1621</v>
      </c>
      <c r="G100" s="236" t="s">
        <v>1622</v>
      </c>
      <c r="H100" s="236" t="s">
        <v>1623</v>
      </c>
      <c r="I100" s="237" t="s">
        <v>1624</v>
      </c>
      <c r="J100" s="237" t="s">
        <v>1625</v>
      </c>
      <c r="K100" s="238" t="s">
        <v>1626</v>
      </c>
      <c r="L100" s="238" t="s">
        <v>1627</v>
      </c>
      <c r="M100" s="234" t="s">
        <v>1619</v>
      </c>
    </row>
    <row r="101" ht="15.75" customHeight="1">
      <c r="A101" s="248">
        <v>1.0</v>
      </c>
      <c r="B101" s="276" t="s">
        <v>1900</v>
      </c>
      <c r="C101" s="280" t="s">
        <v>1676</v>
      </c>
      <c r="D101" s="309">
        <v>2.0</v>
      </c>
      <c r="E101" s="267"/>
      <c r="F101" s="268" t="str">
        <f t="shared" ref="F101:F113" si="49">IF(E101&lt;&gt;"",D101*E101,"")</f>
        <v/>
      </c>
      <c r="G101" s="199">
        <v>51000.0</v>
      </c>
      <c r="H101" s="243">
        <f t="shared" ref="H101:H113" si="50">IF(G101&lt;&gt;"",D101*G101,"")</f>
        <v>102000</v>
      </c>
      <c r="I101" s="200">
        <v>80000.0</v>
      </c>
      <c r="J101" s="244">
        <f t="shared" ref="J101:J113" si="51">IF(I101&lt;&gt;"",D101*I101,"")</f>
        <v>160000</v>
      </c>
      <c r="K101" s="245">
        <f t="shared" ref="K101:K114" si="52">IF(J101&lt;&gt;"",IF(H101&lt;&gt;"",J101-H101,IF(F101&lt;&gt;"",J101-F101,"")),"")</f>
        <v>58000</v>
      </c>
      <c r="L101" s="246">
        <f t="shared" ref="L101:L114" si="53">IF(K101&lt;&gt;"",IF(H101&lt;&gt;"",IF(H101&lt;&gt;0,K101/H101,""),IF(F101&lt;&gt;"",IF(F101&lt;&gt;0,K101/F101,""),"")),"")</f>
        <v>0.568627451</v>
      </c>
      <c r="M101" s="247"/>
    </row>
    <row r="102" ht="15.75" customHeight="1">
      <c r="A102" s="239">
        <v>2.0</v>
      </c>
      <c r="B102" s="275" t="s">
        <v>1901</v>
      </c>
      <c r="C102" s="280" t="s">
        <v>1902</v>
      </c>
      <c r="D102" s="274">
        <v>2.0</v>
      </c>
      <c r="E102" s="308"/>
      <c r="F102" s="268" t="str">
        <f t="shared" si="49"/>
        <v/>
      </c>
      <c r="G102" s="311">
        <v>42000.0</v>
      </c>
      <c r="H102" s="243">
        <f t="shared" si="50"/>
        <v>84000</v>
      </c>
      <c r="I102" s="200">
        <v>50000.0</v>
      </c>
      <c r="J102" s="244">
        <f t="shared" si="51"/>
        <v>100000</v>
      </c>
      <c r="K102" s="245">
        <f t="shared" si="52"/>
        <v>16000</v>
      </c>
      <c r="L102" s="246">
        <f t="shared" si="53"/>
        <v>0.1904761905</v>
      </c>
      <c r="M102" s="247"/>
    </row>
    <row r="103" ht="15.75" customHeight="1">
      <c r="A103" s="248">
        <v>3.0</v>
      </c>
      <c r="B103" s="276" t="s">
        <v>1903</v>
      </c>
      <c r="C103" s="280" t="s">
        <v>1904</v>
      </c>
      <c r="D103" s="309">
        <v>10.0</v>
      </c>
      <c r="E103" s="310"/>
      <c r="F103" s="268" t="str">
        <f t="shared" si="49"/>
        <v/>
      </c>
      <c r="G103" s="311">
        <v>16000.0</v>
      </c>
      <c r="H103" s="243">
        <f t="shared" si="50"/>
        <v>160000</v>
      </c>
      <c r="I103" s="200">
        <v>20000.0</v>
      </c>
      <c r="J103" s="244">
        <f t="shared" si="51"/>
        <v>200000</v>
      </c>
      <c r="K103" s="245">
        <f t="shared" si="52"/>
        <v>40000</v>
      </c>
      <c r="L103" s="246">
        <f t="shared" si="53"/>
        <v>0.25</v>
      </c>
      <c r="M103" s="252"/>
    </row>
    <row r="104" ht="15.75" customHeight="1">
      <c r="A104" s="239">
        <v>4.0</v>
      </c>
      <c r="B104" s="275" t="s">
        <v>1874</v>
      </c>
      <c r="C104" s="280" t="s">
        <v>69</v>
      </c>
      <c r="D104" s="274">
        <v>18.0</v>
      </c>
      <c r="E104" s="308"/>
      <c r="F104" s="268" t="str">
        <f t="shared" si="49"/>
        <v/>
      </c>
      <c r="G104" s="311">
        <v>10000.0</v>
      </c>
      <c r="H104" s="243">
        <f t="shared" si="50"/>
        <v>180000</v>
      </c>
      <c r="I104" s="200">
        <v>14000.0</v>
      </c>
      <c r="J104" s="244">
        <f t="shared" si="51"/>
        <v>252000</v>
      </c>
      <c r="K104" s="245">
        <f t="shared" si="52"/>
        <v>72000</v>
      </c>
      <c r="L104" s="246">
        <f t="shared" si="53"/>
        <v>0.4</v>
      </c>
      <c r="M104" s="247"/>
    </row>
    <row r="105" ht="15.75" customHeight="1">
      <c r="A105" s="248">
        <v>5.0</v>
      </c>
      <c r="B105" s="276" t="s">
        <v>1905</v>
      </c>
      <c r="C105" s="280" t="s">
        <v>261</v>
      </c>
      <c r="D105" s="309">
        <v>5.0</v>
      </c>
      <c r="E105" s="310"/>
      <c r="F105" s="268" t="str">
        <f t="shared" si="49"/>
        <v/>
      </c>
      <c r="G105" s="311">
        <v>46000.0</v>
      </c>
      <c r="H105" s="243">
        <f t="shared" si="50"/>
        <v>230000</v>
      </c>
      <c r="I105" s="200">
        <v>55000.0</v>
      </c>
      <c r="J105" s="244">
        <f t="shared" si="51"/>
        <v>275000</v>
      </c>
      <c r="K105" s="245">
        <f t="shared" si="52"/>
        <v>45000</v>
      </c>
      <c r="L105" s="246">
        <f t="shared" si="53"/>
        <v>0.1956521739</v>
      </c>
      <c r="M105" s="252"/>
    </row>
    <row r="106" ht="15.75" customHeight="1">
      <c r="A106" s="239">
        <v>6.0</v>
      </c>
      <c r="B106" s="275" t="s">
        <v>1906</v>
      </c>
      <c r="C106" s="280" t="s">
        <v>261</v>
      </c>
      <c r="D106" s="274">
        <v>1.0</v>
      </c>
      <c r="E106" s="308"/>
      <c r="F106" s="268" t="str">
        <f t="shared" si="49"/>
        <v/>
      </c>
      <c r="G106" s="311">
        <v>35000.0</v>
      </c>
      <c r="H106" s="243">
        <f t="shared" si="50"/>
        <v>35000</v>
      </c>
      <c r="I106" s="200">
        <v>54000.0</v>
      </c>
      <c r="J106" s="244">
        <f t="shared" si="51"/>
        <v>54000</v>
      </c>
      <c r="K106" s="245">
        <f t="shared" si="52"/>
        <v>19000</v>
      </c>
      <c r="L106" s="246">
        <f t="shared" si="53"/>
        <v>0.5428571429</v>
      </c>
      <c r="M106" s="247"/>
    </row>
    <row r="107" ht="15.75" customHeight="1">
      <c r="A107" s="248">
        <v>7.0</v>
      </c>
      <c r="B107" s="276" t="s">
        <v>1907</v>
      </c>
      <c r="C107" s="280" t="s">
        <v>69</v>
      </c>
      <c r="D107" s="309">
        <v>1.0</v>
      </c>
      <c r="E107" s="310"/>
      <c r="F107" s="268" t="str">
        <f t="shared" si="49"/>
        <v/>
      </c>
      <c r="G107" s="311">
        <v>72000.0</v>
      </c>
      <c r="H107" s="243">
        <f t="shared" si="50"/>
        <v>72000</v>
      </c>
      <c r="I107" s="200">
        <v>85000.0</v>
      </c>
      <c r="J107" s="244">
        <f t="shared" si="51"/>
        <v>85000</v>
      </c>
      <c r="K107" s="245">
        <f t="shared" si="52"/>
        <v>13000</v>
      </c>
      <c r="L107" s="246">
        <f t="shared" si="53"/>
        <v>0.1805555556</v>
      </c>
      <c r="M107" s="252"/>
    </row>
    <row r="108" ht="15.75" customHeight="1">
      <c r="A108" s="239">
        <v>8.0</v>
      </c>
      <c r="B108" s="275" t="s">
        <v>1908</v>
      </c>
      <c r="C108" s="280" t="s">
        <v>1583</v>
      </c>
      <c r="D108" s="274">
        <v>1.0</v>
      </c>
      <c r="E108" s="308"/>
      <c r="F108" s="268" t="str">
        <f t="shared" si="49"/>
        <v/>
      </c>
      <c r="G108" s="311">
        <v>220000.0</v>
      </c>
      <c r="H108" s="243">
        <f t="shared" si="50"/>
        <v>220000</v>
      </c>
      <c r="I108" s="200">
        <v>250000.0</v>
      </c>
      <c r="J108" s="244">
        <f t="shared" si="51"/>
        <v>250000</v>
      </c>
      <c r="K108" s="245">
        <f t="shared" si="52"/>
        <v>30000</v>
      </c>
      <c r="L108" s="246">
        <f t="shared" si="53"/>
        <v>0.1363636364</v>
      </c>
      <c r="M108" s="247"/>
    </row>
    <row r="109" ht="15.75" customHeight="1">
      <c r="A109" s="248">
        <v>9.0</v>
      </c>
      <c r="B109" s="276" t="s">
        <v>1909</v>
      </c>
      <c r="C109" s="280" t="s">
        <v>1583</v>
      </c>
      <c r="D109" s="309">
        <v>1.0</v>
      </c>
      <c r="E109" s="310"/>
      <c r="F109" s="268" t="str">
        <f t="shared" si="49"/>
        <v/>
      </c>
      <c r="G109" s="311">
        <v>86000.0</v>
      </c>
      <c r="H109" s="243">
        <f t="shared" si="50"/>
        <v>86000</v>
      </c>
      <c r="I109" s="200">
        <v>100000.0</v>
      </c>
      <c r="J109" s="244">
        <f t="shared" si="51"/>
        <v>100000</v>
      </c>
      <c r="K109" s="245">
        <f t="shared" si="52"/>
        <v>14000</v>
      </c>
      <c r="L109" s="246">
        <f t="shared" si="53"/>
        <v>0.1627906977</v>
      </c>
      <c r="M109" s="252"/>
    </row>
    <row r="110" ht="15.75" customHeight="1">
      <c r="A110" s="239">
        <v>10.0</v>
      </c>
      <c r="B110" s="275" t="s">
        <v>1910</v>
      </c>
      <c r="C110" s="280" t="s">
        <v>69</v>
      </c>
      <c r="D110" s="274">
        <v>10.0</v>
      </c>
      <c r="E110" s="308"/>
      <c r="F110" s="268" t="str">
        <f t="shared" si="49"/>
        <v/>
      </c>
      <c r="G110" s="311">
        <v>60000.0</v>
      </c>
      <c r="H110" s="243">
        <f t="shared" si="50"/>
        <v>600000</v>
      </c>
      <c r="I110" s="200">
        <v>75000.0</v>
      </c>
      <c r="J110" s="244">
        <f t="shared" si="51"/>
        <v>750000</v>
      </c>
      <c r="K110" s="245">
        <f t="shared" si="52"/>
        <v>150000</v>
      </c>
      <c r="L110" s="246">
        <f t="shared" si="53"/>
        <v>0.25</v>
      </c>
      <c r="M110" s="247"/>
    </row>
    <row r="111" ht="15.75" customHeight="1">
      <c r="A111" s="312">
        <v>11.0</v>
      </c>
      <c r="B111" s="313" t="s">
        <v>1911</v>
      </c>
      <c r="C111" s="280" t="s">
        <v>261</v>
      </c>
      <c r="D111" s="314">
        <v>1.0</v>
      </c>
      <c r="E111" s="308"/>
      <c r="F111" s="268" t="str">
        <f t="shared" si="49"/>
        <v/>
      </c>
      <c r="G111" s="311">
        <v>320000.0</v>
      </c>
      <c r="H111" s="243">
        <f t="shared" si="50"/>
        <v>320000</v>
      </c>
      <c r="I111" s="200">
        <v>350000.0</v>
      </c>
      <c r="J111" s="244">
        <f t="shared" si="51"/>
        <v>350000</v>
      </c>
      <c r="K111" s="245">
        <f t="shared" si="52"/>
        <v>30000</v>
      </c>
      <c r="L111" s="246">
        <f t="shared" si="53"/>
        <v>0.09375</v>
      </c>
      <c r="M111" s="247"/>
    </row>
    <row r="112" ht="15.75" customHeight="1">
      <c r="A112" s="312">
        <v>12.0</v>
      </c>
      <c r="B112" s="313" t="s">
        <v>1754</v>
      </c>
      <c r="C112" s="280" t="s">
        <v>69</v>
      </c>
      <c r="D112" s="314">
        <v>60.0</v>
      </c>
      <c r="E112" s="308"/>
      <c r="F112" s="268" t="str">
        <f t="shared" si="49"/>
        <v/>
      </c>
      <c r="G112" s="311">
        <v>19200.0</v>
      </c>
      <c r="H112" s="243">
        <f t="shared" si="50"/>
        <v>1152000</v>
      </c>
      <c r="I112" s="200">
        <v>22500.0</v>
      </c>
      <c r="J112" s="244">
        <f t="shared" si="51"/>
        <v>1350000</v>
      </c>
      <c r="K112" s="245">
        <f t="shared" si="52"/>
        <v>198000</v>
      </c>
      <c r="L112" s="246">
        <f t="shared" si="53"/>
        <v>0.171875</v>
      </c>
      <c r="M112" s="247"/>
    </row>
    <row r="113" ht="15.75" customHeight="1">
      <c r="A113" s="312">
        <v>13.0</v>
      </c>
      <c r="B113" s="313" t="s">
        <v>1912</v>
      </c>
      <c r="C113" s="280" t="s">
        <v>69</v>
      </c>
      <c r="D113" s="314">
        <v>1.0</v>
      </c>
      <c r="E113" s="308"/>
      <c r="F113" s="268" t="str">
        <f t="shared" si="49"/>
        <v/>
      </c>
      <c r="G113" s="311">
        <v>1125000.0</v>
      </c>
      <c r="H113" s="243">
        <f t="shared" si="50"/>
        <v>1125000</v>
      </c>
      <c r="I113" s="200">
        <v>1250000.0</v>
      </c>
      <c r="J113" s="244">
        <f t="shared" si="51"/>
        <v>1250000</v>
      </c>
      <c r="K113" s="245">
        <f t="shared" si="52"/>
        <v>125000</v>
      </c>
      <c r="L113" s="246">
        <f t="shared" si="53"/>
        <v>0.1111111111</v>
      </c>
      <c r="M113" s="247"/>
    </row>
    <row r="114" ht="15.75" customHeight="1">
      <c r="A114" s="272" t="s">
        <v>1913</v>
      </c>
      <c r="B114" s="206"/>
      <c r="C114" s="206"/>
      <c r="D114" s="174"/>
      <c r="E114" s="257"/>
      <c r="F114" s="258">
        <f>SUMIF(F101:F113,"&lt;&gt;",F101:F113)</f>
        <v>0</v>
      </c>
      <c r="G114" s="316"/>
      <c r="H114" s="258">
        <f>SUMIF(H101:H113,"&lt;&gt;",H101:H113)</f>
        <v>4366000</v>
      </c>
      <c r="I114" s="317"/>
      <c r="J114" s="260">
        <f>SUMIF(J101:J113,"&lt;&gt;",J101:J113)</f>
        <v>5176000</v>
      </c>
      <c r="K114" s="261">
        <f t="shared" si="52"/>
        <v>810000</v>
      </c>
      <c r="L114" s="262">
        <f t="shared" si="53"/>
        <v>0.1855245076</v>
      </c>
      <c r="M114" s="257"/>
    </row>
    <row r="115" ht="15.75" customHeight="1"/>
    <row r="116" ht="15.75" customHeight="1">
      <c r="A116" s="273" t="s">
        <v>1914</v>
      </c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</row>
    <row r="117" ht="15.75" customHeight="1">
      <c r="A117" s="229" t="s">
        <v>1509</v>
      </c>
      <c r="B117" s="229" t="s">
        <v>1510</v>
      </c>
      <c r="C117" s="229" t="s">
        <v>1511</v>
      </c>
      <c r="D117" s="229" t="s">
        <v>1614</v>
      </c>
      <c r="E117" s="230" t="s">
        <v>1615</v>
      </c>
      <c r="F117" s="174"/>
      <c r="G117" s="231" t="s">
        <v>1616</v>
      </c>
      <c r="H117" s="174"/>
      <c r="I117" s="232" t="s">
        <v>1617</v>
      </c>
      <c r="J117" s="174"/>
      <c r="K117" s="233" t="s">
        <v>1618</v>
      </c>
      <c r="L117" s="174"/>
      <c r="M117" s="229" t="s">
        <v>1619</v>
      </c>
    </row>
    <row r="118" ht="15.75" customHeight="1">
      <c r="A118" s="234" t="s">
        <v>1509</v>
      </c>
      <c r="B118" s="234" t="s">
        <v>1510</v>
      </c>
      <c r="C118" s="234" t="s">
        <v>1511</v>
      </c>
      <c r="D118" s="234" t="s">
        <v>1614</v>
      </c>
      <c r="E118" s="235" t="s">
        <v>1620</v>
      </c>
      <c r="F118" s="235" t="s">
        <v>1621</v>
      </c>
      <c r="G118" s="236" t="s">
        <v>1622</v>
      </c>
      <c r="H118" s="236" t="s">
        <v>1623</v>
      </c>
      <c r="I118" s="237" t="s">
        <v>1624</v>
      </c>
      <c r="J118" s="237" t="s">
        <v>1625</v>
      </c>
      <c r="K118" s="238" t="s">
        <v>1626</v>
      </c>
      <c r="L118" s="238" t="s">
        <v>1627</v>
      </c>
      <c r="M118" s="234" t="s">
        <v>1619</v>
      </c>
    </row>
    <row r="119" ht="15.75" customHeight="1">
      <c r="A119" s="248">
        <v>1.0</v>
      </c>
      <c r="B119" s="276" t="s">
        <v>1915</v>
      </c>
      <c r="C119" s="280" t="s">
        <v>1583</v>
      </c>
      <c r="D119" s="254">
        <v>15.0</v>
      </c>
      <c r="E119" s="267"/>
      <c r="F119" s="268" t="str">
        <f>IF(E119&lt;&gt;"",D119*E119,"")</f>
        <v/>
      </c>
      <c r="G119" s="311">
        <v>44000.0</v>
      </c>
      <c r="H119" s="243">
        <f t="shared" ref="H119:H124" si="54">IF(G119&lt;&gt;"",D119*G119,"")</f>
        <v>660000</v>
      </c>
      <c r="I119" s="200">
        <v>50000.0</v>
      </c>
      <c r="J119" s="244">
        <f t="shared" ref="J119:J124" si="55">IF(I119&lt;&gt;"",D119*I119,"")</f>
        <v>750000</v>
      </c>
      <c r="K119" s="245">
        <f t="shared" ref="K119:K125" si="56">IF(J119&lt;&gt;"",IF(H119&lt;&gt;"",J119-H119,IF(F119&lt;&gt;"",J119-F119,"")),"")</f>
        <v>90000</v>
      </c>
      <c r="L119" s="246">
        <f t="shared" ref="L119:L125" si="57">IF(K119&lt;&gt;"",IF(H119&lt;&gt;"",IF(H119&lt;&gt;0,K119/H119,""),IF(F119&lt;&gt;"",IF(F119&lt;&gt;0,K119/F119,""),"")),"")</f>
        <v>0.1363636364</v>
      </c>
      <c r="M119" s="252"/>
    </row>
    <row r="120" ht="15.75" customHeight="1">
      <c r="A120" s="278">
        <v>2.0</v>
      </c>
      <c r="B120" s="276" t="s">
        <v>1916</v>
      </c>
      <c r="C120" s="278" t="s">
        <v>69</v>
      </c>
      <c r="D120" s="254">
        <v>3.0</v>
      </c>
      <c r="E120" s="267"/>
      <c r="F120" s="268"/>
      <c r="G120" s="199">
        <v>75000.0</v>
      </c>
      <c r="H120" s="243">
        <f t="shared" si="54"/>
        <v>225000</v>
      </c>
      <c r="I120" s="200">
        <v>85000.0</v>
      </c>
      <c r="J120" s="244">
        <f t="shared" si="55"/>
        <v>255000</v>
      </c>
      <c r="K120" s="245">
        <f t="shared" si="56"/>
        <v>30000</v>
      </c>
      <c r="L120" s="246">
        <f t="shared" si="57"/>
        <v>0.1333333333</v>
      </c>
      <c r="M120" s="247"/>
    </row>
    <row r="121" ht="15.75" customHeight="1">
      <c r="A121" s="278">
        <v>3.0</v>
      </c>
      <c r="B121" s="276" t="s">
        <v>1917</v>
      </c>
      <c r="C121" s="278" t="s">
        <v>1583</v>
      </c>
      <c r="D121" s="254">
        <v>5.0</v>
      </c>
      <c r="E121" s="267"/>
      <c r="F121" s="268"/>
      <c r="G121" s="311">
        <v>22000.0</v>
      </c>
      <c r="H121" s="243">
        <f t="shared" si="54"/>
        <v>110000</v>
      </c>
      <c r="I121" s="200">
        <v>30000.0</v>
      </c>
      <c r="J121" s="244">
        <f t="shared" si="55"/>
        <v>150000</v>
      </c>
      <c r="K121" s="245">
        <f t="shared" si="56"/>
        <v>40000</v>
      </c>
      <c r="L121" s="246">
        <f t="shared" si="57"/>
        <v>0.3636363636</v>
      </c>
      <c r="M121" s="247"/>
    </row>
    <row r="122" ht="15.75" customHeight="1">
      <c r="A122" s="278">
        <v>4.0</v>
      </c>
      <c r="B122" s="276" t="s">
        <v>1918</v>
      </c>
      <c r="C122" s="278" t="s">
        <v>1919</v>
      </c>
      <c r="D122" s="254">
        <v>5.0</v>
      </c>
      <c r="E122" s="267"/>
      <c r="F122" s="268"/>
      <c r="G122" s="311">
        <v>3000.0</v>
      </c>
      <c r="H122" s="243">
        <f t="shared" si="54"/>
        <v>15000</v>
      </c>
      <c r="I122" s="200">
        <v>5000.0</v>
      </c>
      <c r="J122" s="244">
        <f t="shared" si="55"/>
        <v>25000</v>
      </c>
      <c r="K122" s="245">
        <f t="shared" si="56"/>
        <v>10000</v>
      </c>
      <c r="L122" s="246">
        <f t="shared" si="57"/>
        <v>0.6666666667</v>
      </c>
      <c r="M122" s="247"/>
    </row>
    <row r="123" ht="15.75" customHeight="1">
      <c r="A123" s="278">
        <v>5.0</v>
      </c>
      <c r="B123" s="276" t="s">
        <v>1920</v>
      </c>
      <c r="C123" s="278" t="s">
        <v>69</v>
      </c>
      <c r="D123" s="254">
        <v>1.0</v>
      </c>
      <c r="E123" s="267"/>
      <c r="F123" s="268"/>
      <c r="G123" s="311">
        <v>50600.0</v>
      </c>
      <c r="H123" s="243">
        <f t="shared" si="54"/>
        <v>50600</v>
      </c>
      <c r="I123" s="200">
        <v>65000.0</v>
      </c>
      <c r="J123" s="244">
        <f t="shared" si="55"/>
        <v>65000</v>
      </c>
      <c r="K123" s="245">
        <f t="shared" si="56"/>
        <v>14400</v>
      </c>
      <c r="L123" s="246">
        <f t="shared" si="57"/>
        <v>0.2845849802</v>
      </c>
      <c r="M123" s="247"/>
    </row>
    <row r="124" ht="15.75" customHeight="1">
      <c r="A124" s="278">
        <v>6.0</v>
      </c>
      <c r="B124" s="276" t="s">
        <v>1746</v>
      </c>
      <c r="C124" s="278" t="s">
        <v>1176</v>
      </c>
      <c r="D124" s="254">
        <v>1.0</v>
      </c>
      <c r="E124" s="267"/>
      <c r="F124" s="268" t="str">
        <f>IF(E124&lt;&gt;"",D124*E124,"")</f>
        <v/>
      </c>
      <c r="G124" s="311">
        <v>1125000.0</v>
      </c>
      <c r="H124" s="243">
        <f t="shared" si="54"/>
        <v>1125000</v>
      </c>
      <c r="I124" s="200">
        <v>1250000.0</v>
      </c>
      <c r="J124" s="244">
        <f t="shared" si="55"/>
        <v>1250000</v>
      </c>
      <c r="K124" s="245">
        <f t="shared" si="56"/>
        <v>125000</v>
      </c>
      <c r="L124" s="246">
        <f t="shared" si="57"/>
        <v>0.1111111111</v>
      </c>
      <c r="M124" s="247"/>
    </row>
    <row r="125" ht="15.75" customHeight="1">
      <c r="A125" s="272" t="s">
        <v>1921</v>
      </c>
      <c r="B125" s="206"/>
      <c r="C125" s="206"/>
      <c r="D125" s="174"/>
      <c r="E125" s="257"/>
      <c r="F125" s="258">
        <f>SUMIF(F119:F124,"&lt;&gt;",F119:F124)</f>
        <v>0</v>
      </c>
      <c r="G125" s="259"/>
      <c r="H125" s="260">
        <f>SUMIF(H119:H124,"&lt;&gt;",H119:H124)</f>
        <v>2185600</v>
      </c>
      <c r="I125" s="265"/>
      <c r="J125" s="260">
        <f>SUMIF(J119:J124,"&lt;&gt;",J119:J124)</f>
        <v>2495000</v>
      </c>
      <c r="K125" s="261">
        <f t="shared" si="56"/>
        <v>309400</v>
      </c>
      <c r="L125" s="262">
        <f t="shared" si="57"/>
        <v>0.1415629575</v>
      </c>
      <c r="M125" s="257"/>
    </row>
    <row r="126" ht="15.75" customHeight="1"/>
    <row r="127" ht="15.75" customHeight="1">
      <c r="A127" s="269"/>
      <c r="C127" s="273" t="s">
        <v>1702</v>
      </c>
      <c r="D127" s="155"/>
      <c r="E127" s="155"/>
      <c r="F127" s="155"/>
      <c r="G127" s="155"/>
      <c r="H127" s="155"/>
      <c r="I127" s="155"/>
      <c r="J127" s="155"/>
      <c r="K127" s="155"/>
      <c r="L127" s="155"/>
      <c r="M127" s="269"/>
    </row>
    <row r="128" ht="15.75" customHeight="1">
      <c r="A128" s="229" t="s">
        <v>1509</v>
      </c>
      <c r="B128" s="229" t="s">
        <v>1510</v>
      </c>
      <c r="C128" s="229" t="s">
        <v>1511</v>
      </c>
      <c r="D128" s="229" t="s">
        <v>1614</v>
      </c>
      <c r="E128" s="230" t="s">
        <v>1615</v>
      </c>
      <c r="F128" s="174"/>
      <c r="G128" s="231" t="s">
        <v>1616</v>
      </c>
      <c r="H128" s="174"/>
      <c r="I128" s="232" t="s">
        <v>1617</v>
      </c>
      <c r="J128" s="174"/>
      <c r="K128" s="233" t="s">
        <v>1618</v>
      </c>
      <c r="L128" s="174"/>
      <c r="M128" s="229" t="s">
        <v>1619</v>
      </c>
    </row>
    <row r="129" ht="15.75" customHeight="1">
      <c r="A129" s="234" t="s">
        <v>1509</v>
      </c>
      <c r="B129" s="234" t="s">
        <v>1510</v>
      </c>
      <c r="C129" s="234" t="s">
        <v>1511</v>
      </c>
      <c r="D129" s="234" t="s">
        <v>1614</v>
      </c>
      <c r="E129" s="235" t="s">
        <v>1620</v>
      </c>
      <c r="F129" s="235" t="s">
        <v>1621</v>
      </c>
      <c r="G129" s="236" t="s">
        <v>1622</v>
      </c>
      <c r="H129" s="236" t="s">
        <v>1623</v>
      </c>
      <c r="I129" s="237" t="s">
        <v>1624</v>
      </c>
      <c r="J129" s="237" t="s">
        <v>1625</v>
      </c>
      <c r="K129" s="238" t="s">
        <v>1626</v>
      </c>
      <c r="L129" s="238" t="s">
        <v>1627</v>
      </c>
      <c r="M129" s="234" t="s">
        <v>1619</v>
      </c>
    </row>
    <row r="130" ht="15.75" customHeight="1">
      <c r="A130" s="248">
        <v>1.0</v>
      </c>
      <c r="B130" s="249" t="s">
        <v>1746</v>
      </c>
      <c r="C130" s="248" t="s">
        <v>1176</v>
      </c>
      <c r="D130" s="270">
        <v>1.0</v>
      </c>
      <c r="E130" s="267"/>
      <c r="F130" s="268" t="str">
        <f>IF(E130&lt;&gt;"",D130*E130,"")</f>
        <v/>
      </c>
      <c r="G130" s="186">
        <v>1125000.0</v>
      </c>
      <c r="H130" s="263">
        <f>IF(G130&lt;&gt;"",D130*G130,"")</f>
        <v>1125000</v>
      </c>
      <c r="I130" s="344">
        <v>1250000.0</v>
      </c>
      <c r="J130" s="264">
        <f>IF(I130&lt;&gt;"",D130*I130,"")</f>
        <v>1250000</v>
      </c>
      <c r="K130" s="245">
        <f t="shared" ref="K130:K131" si="58">IF(J130&lt;&gt;"",IF(H130&lt;&gt;"",J130-H130,IF(F130&lt;&gt;"",J130-F130,"")),"")</f>
        <v>125000</v>
      </c>
      <c r="L130" s="246">
        <f t="shared" ref="L130:L131" si="59">IF(K130&lt;&gt;"",IF(H130&lt;&gt;"",IF(H130&lt;&gt;0,K130/H130,""),IF(F130&lt;&gt;"",IF(F130&lt;&gt;0,K130/F130,""),"")),"")</f>
        <v>0.1111111111</v>
      </c>
      <c r="M130" s="252"/>
    </row>
    <row r="131" ht="15.75" customHeight="1">
      <c r="A131" s="318" t="s">
        <v>1894</v>
      </c>
      <c r="B131" s="206"/>
      <c r="C131" s="206"/>
      <c r="D131" s="174"/>
      <c r="E131" s="257"/>
      <c r="F131" s="258">
        <f>SUMIF(F130,"&lt;&gt;",F130)</f>
        <v>0</v>
      </c>
      <c r="G131" s="259"/>
      <c r="H131" s="282">
        <f>SUMIF(H130,"&lt;&gt;",H130)</f>
        <v>1125000</v>
      </c>
      <c r="I131" s="283"/>
      <c r="J131" s="282">
        <f>SUMIF(J130,"&lt;&gt;",J130)</f>
        <v>1250000</v>
      </c>
      <c r="K131" s="261">
        <f t="shared" si="58"/>
        <v>125000</v>
      </c>
      <c r="L131" s="262">
        <f t="shared" si="59"/>
        <v>0.1111111111</v>
      </c>
      <c r="M131" s="257"/>
    </row>
    <row r="132" ht="15.75" customHeight="1"/>
    <row r="133" ht="15.75" customHeight="1"/>
    <row r="134" ht="15.75" customHeight="1">
      <c r="A134" s="273" t="s">
        <v>1922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</row>
    <row r="135" ht="15.75" customHeight="1">
      <c r="A135" s="229" t="s">
        <v>1509</v>
      </c>
      <c r="B135" s="229" t="s">
        <v>1510</v>
      </c>
      <c r="C135" s="229" t="s">
        <v>1511</v>
      </c>
      <c r="D135" s="229" t="s">
        <v>1614</v>
      </c>
      <c r="E135" s="230" t="s">
        <v>1615</v>
      </c>
      <c r="F135" s="174"/>
      <c r="G135" s="231" t="s">
        <v>1616</v>
      </c>
      <c r="H135" s="174"/>
      <c r="I135" s="232" t="s">
        <v>1617</v>
      </c>
      <c r="J135" s="174"/>
      <c r="K135" s="233" t="s">
        <v>1618</v>
      </c>
      <c r="L135" s="174"/>
      <c r="M135" s="229" t="s">
        <v>1619</v>
      </c>
    </row>
    <row r="136" ht="15.75" customHeight="1">
      <c r="A136" s="234" t="s">
        <v>1509</v>
      </c>
      <c r="B136" s="234" t="s">
        <v>1510</v>
      </c>
      <c r="C136" s="234" t="s">
        <v>1511</v>
      </c>
      <c r="D136" s="234" t="s">
        <v>1614</v>
      </c>
      <c r="E136" s="235" t="s">
        <v>1620</v>
      </c>
      <c r="F136" s="235" t="s">
        <v>1621</v>
      </c>
      <c r="G136" s="236" t="s">
        <v>1622</v>
      </c>
      <c r="H136" s="236" t="s">
        <v>1623</v>
      </c>
      <c r="I136" s="237" t="s">
        <v>1624</v>
      </c>
      <c r="J136" s="237" t="s">
        <v>1625</v>
      </c>
      <c r="K136" s="238" t="s">
        <v>1626</v>
      </c>
      <c r="L136" s="238" t="s">
        <v>1627</v>
      </c>
      <c r="M136" s="234" t="s">
        <v>1619</v>
      </c>
    </row>
    <row r="137" ht="15.75" customHeight="1">
      <c r="A137" s="248">
        <v>1.0</v>
      </c>
      <c r="B137" s="276" t="s">
        <v>1923</v>
      </c>
      <c r="C137" s="280" t="s">
        <v>1904</v>
      </c>
      <c r="D137" s="254">
        <v>25.0</v>
      </c>
      <c r="E137" s="267"/>
      <c r="F137" s="268" t="str">
        <f>IF(E137&lt;&gt;"",D137*E137,"")</f>
        <v/>
      </c>
      <c r="G137" s="311">
        <v>12000.0</v>
      </c>
      <c r="H137" s="243">
        <f t="shared" ref="H137:H142" si="60">IF(G137&lt;&gt;"",D137*G137,"")</f>
        <v>300000</v>
      </c>
      <c r="I137" s="200">
        <v>17500.0</v>
      </c>
      <c r="J137" s="244">
        <f t="shared" ref="J137:J142" si="61">IF(I137&lt;&gt;"",D137*I137,"")</f>
        <v>437500</v>
      </c>
      <c r="K137" s="245">
        <f t="shared" ref="K137:K143" si="62">IF(J137&lt;&gt;"",IF(H137&lt;&gt;"",J137-H137,IF(F137&lt;&gt;"",J137-F137,"")),"")</f>
        <v>137500</v>
      </c>
      <c r="L137" s="246">
        <f t="shared" ref="L137:L143" si="63">IF(K137&lt;&gt;"",IF(H137&lt;&gt;"",IF(H137&lt;&gt;0,K137/H137,""),IF(F137&lt;&gt;"",IF(F137&lt;&gt;0,K137/F137,""),"")),"")</f>
        <v>0.4583333333</v>
      </c>
      <c r="M137" s="252"/>
    </row>
    <row r="138" ht="15.75" customHeight="1">
      <c r="A138" s="278">
        <v>2.0</v>
      </c>
      <c r="B138" s="276" t="s">
        <v>1924</v>
      </c>
      <c r="C138" s="280" t="s">
        <v>1583</v>
      </c>
      <c r="D138" s="254">
        <v>30.0</v>
      </c>
      <c r="E138" s="267"/>
      <c r="F138" s="268"/>
      <c r="G138" s="311">
        <v>9500.0</v>
      </c>
      <c r="H138" s="243">
        <f t="shared" si="60"/>
        <v>285000</v>
      </c>
      <c r="I138" s="200">
        <v>17500.0</v>
      </c>
      <c r="J138" s="244">
        <f t="shared" si="61"/>
        <v>525000</v>
      </c>
      <c r="K138" s="245">
        <f t="shared" si="62"/>
        <v>240000</v>
      </c>
      <c r="L138" s="246">
        <f t="shared" si="63"/>
        <v>0.8421052632</v>
      </c>
      <c r="M138" s="247"/>
    </row>
    <row r="139" ht="15.75" customHeight="1">
      <c r="A139" s="278">
        <v>3.0</v>
      </c>
      <c r="B139" s="276" t="s">
        <v>1867</v>
      </c>
      <c r="C139" s="280" t="s">
        <v>1583</v>
      </c>
      <c r="D139" s="254">
        <v>20.0</v>
      </c>
      <c r="E139" s="267"/>
      <c r="F139" s="268"/>
      <c r="G139" s="311">
        <v>11000.0</v>
      </c>
      <c r="H139" s="243">
        <f t="shared" si="60"/>
        <v>220000</v>
      </c>
      <c r="I139" s="200">
        <v>13000.0</v>
      </c>
      <c r="J139" s="244">
        <f t="shared" si="61"/>
        <v>260000</v>
      </c>
      <c r="K139" s="245">
        <f t="shared" si="62"/>
        <v>40000</v>
      </c>
      <c r="L139" s="246">
        <f t="shared" si="63"/>
        <v>0.1818181818</v>
      </c>
      <c r="M139" s="247"/>
    </row>
    <row r="140" ht="15.75" customHeight="1">
      <c r="A140" s="278">
        <v>4.0</v>
      </c>
      <c r="B140" s="276" t="s">
        <v>1925</v>
      </c>
      <c r="C140" s="280" t="s">
        <v>1904</v>
      </c>
      <c r="D140" s="254">
        <v>52.0</v>
      </c>
      <c r="E140" s="267"/>
      <c r="F140" s="268"/>
      <c r="G140" s="311">
        <v>16000.0</v>
      </c>
      <c r="H140" s="243">
        <f t="shared" si="60"/>
        <v>832000</v>
      </c>
      <c r="I140" s="200">
        <v>20000.0</v>
      </c>
      <c r="J140" s="244">
        <f t="shared" si="61"/>
        <v>1040000</v>
      </c>
      <c r="K140" s="245">
        <f t="shared" si="62"/>
        <v>208000</v>
      </c>
      <c r="L140" s="246">
        <f t="shared" si="63"/>
        <v>0.25</v>
      </c>
      <c r="M140" s="247"/>
    </row>
    <row r="141" ht="15.75" customHeight="1">
      <c r="A141" s="278">
        <v>5.0</v>
      </c>
      <c r="B141" s="276" t="s">
        <v>1926</v>
      </c>
      <c r="C141" s="280" t="s">
        <v>1583</v>
      </c>
      <c r="D141" s="254">
        <v>15.0</v>
      </c>
      <c r="E141" s="267"/>
      <c r="F141" s="268"/>
      <c r="G141" s="311">
        <v>9500.0</v>
      </c>
      <c r="H141" s="243">
        <f t="shared" si="60"/>
        <v>142500</v>
      </c>
      <c r="I141" s="200">
        <v>12000.0</v>
      </c>
      <c r="J141" s="244">
        <f t="shared" si="61"/>
        <v>180000</v>
      </c>
      <c r="K141" s="245">
        <f t="shared" si="62"/>
        <v>37500</v>
      </c>
      <c r="L141" s="246">
        <f t="shared" si="63"/>
        <v>0.2631578947</v>
      </c>
      <c r="M141" s="247"/>
    </row>
    <row r="142" ht="15.75" customHeight="1">
      <c r="A142" s="278">
        <v>6.0</v>
      </c>
      <c r="B142" s="276" t="s">
        <v>1746</v>
      </c>
      <c r="C142" s="278" t="s">
        <v>1176</v>
      </c>
      <c r="D142" s="254">
        <v>1.0</v>
      </c>
      <c r="E142" s="267"/>
      <c r="F142" s="268" t="str">
        <f>IF(E142&lt;&gt;"",D142*E142,"")</f>
        <v/>
      </c>
      <c r="G142" s="345">
        <v>1125000.0</v>
      </c>
      <c r="H142" s="263">
        <f t="shared" si="60"/>
        <v>1125000</v>
      </c>
      <c r="I142" s="281">
        <v>1350000.0</v>
      </c>
      <c r="J142" s="264">
        <f t="shared" si="61"/>
        <v>1350000</v>
      </c>
      <c r="K142" s="245">
        <f t="shared" si="62"/>
        <v>225000</v>
      </c>
      <c r="L142" s="246">
        <f t="shared" si="63"/>
        <v>0.2</v>
      </c>
      <c r="M142" s="247"/>
    </row>
    <row r="143" ht="15.75" customHeight="1">
      <c r="A143" s="272" t="s">
        <v>1927</v>
      </c>
      <c r="B143" s="206"/>
      <c r="C143" s="206"/>
      <c r="D143" s="174"/>
      <c r="E143" s="257"/>
      <c r="F143" s="346">
        <f>SUMIF(F137:F142,"&lt;&gt;",F137:F142)</f>
        <v>0</v>
      </c>
      <c r="G143" s="283"/>
      <c r="H143" s="282">
        <f>SUMIF(H137:H142,"&lt;&gt;",H137:H142)</f>
        <v>2904500</v>
      </c>
      <c r="I143" s="283"/>
      <c r="J143" s="282">
        <f>SUMIF(J137:J142,"&lt;&gt;",J137:J142)</f>
        <v>3792500</v>
      </c>
      <c r="K143" s="261">
        <f t="shared" si="62"/>
        <v>888000</v>
      </c>
      <c r="L143" s="262">
        <f t="shared" si="63"/>
        <v>0.3057324841</v>
      </c>
      <c r="M143" s="257"/>
    </row>
    <row r="144" ht="15.75" customHeight="1"/>
    <row r="145" ht="15.75" customHeight="1">
      <c r="A145" s="273" t="s">
        <v>1789</v>
      </c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</row>
    <row r="146" ht="15.75" customHeight="1">
      <c r="A146" s="229" t="s">
        <v>1509</v>
      </c>
      <c r="B146" s="229" t="s">
        <v>1510</v>
      </c>
      <c r="C146" s="229" t="s">
        <v>1511</v>
      </c>
      <c r="D146" s="229" t="s">
        <v>1614</v>
      </c>
      <c r="E146" s="230" t="s">
        <v>1615</v>
      </c>
      <c r="F146" s="174"/>
      <c r="G146" s="231" t="s">
        <v>1616</v>
      </c>
      <c r="H146" s="174"/>
      <c r="I146" s="232" t="s">
        <v>1617</v>
      </c>
      <c r="J146" s="174"/>
      <c r="K146" s="233" t="s">
        <v>1618</v>
      </c>
      <c r="L146" s="174"/>
      <c r="M146" s="229" t="s">
        <v>1619</v>
      </c>
    </row>
    <row r="147" ht="15.75" customHeight="1">
      <c r="A147" s="234" t="s">
        <v>1509</v>
      </c>
      <c r="B147" s="234" t="s">
        <v>1510</v>
      </c>
      <c r="C147" s="234" t="s">
        <v>1511</v>
      </c>
      <c r="D147" s="234" t="s">
        <v>1614</v>
      </c>
      <c r="E147" s="235" t="s">
        <v>1620</v>
      </c>
      <c r="F147" s="235" t="s">
        <v>1621</v>
      </c>
      <c r="G147" s="236" t="s">
        <v>1622</v>
      </c>
      <c r="H147" s="236" t="s">
        <v>1623</v>
      </c>
      <c r="I147" s="237" t="s">
        <v>1624</v>
      </c>
      <c r="J147" s="237" t="s">
        <v>1625</v>
      </c>
      <c r="K147" s="238" t="s">
        <v>1626</v>
      </c>
      <c r="L147" s="238" t="s">
        <v>1627</v>
      </c>
      <c r="M147" s="234" t="s">
        <v>1619</v>
      </c>
    </row>
    <row r="148" ht="15.75" customHeight="1">
      <c r="A148" s="248">
        <v>1.0</v>
      </c>
      <c r="B148" s="276" t="s">
        <v>1790</v>
      </c>
      <c r="C148" s="248" t="s">
        <v>1762</v>
      </c>
      <c r="D148" s="270">
        <v>1.0</v>
      </c>
      <c r="E148" s="267"/>
      <c r="F148" s="268" t="str">
        <f t="shared" ref="F148:F149" si="64">IF(E148&lt;&gt;"",D148*E148,"")</f>
        <v/>
      </c>
      <c r="G148" s="186">
        <v>3272000.0</v>
      </c>
      <c r="H148" s="243">
        <f t="shared" ref="H148:H149" si="65">IF(G148&lt;&gt;"",D148*G148,"")</f>
        <v>3272000</v>
      </c>
      <c r="I148" s="188">
        <v>3272000.0</v>
      </c>
      <c r="J148" s="244">
        <f t="shared" ref="J148:J149" si="66">IF(I148&lt;&gt;"",D148*I148,"")</f>
        <v>3272000</v>
      </c>
      <c r="K148" s="245">
        <f t="shared" ref="K148:K150" si="67">IF(J148&lt;&gt;"",IF(H148&lt;&gt;"",J148-H148,IF(F148&lt;&gt;"",J148-F148,"")),"")</f>
        <v>0</v>
      </c>
      <c r="L148" s="246">
        <f t="shared" ref="L148:L150" si="68">IF(K148&lt;&gt;"",IF(H148&lt;&gt;"",IF(H148&lt;&gt;0,K148/H148,""),IF(F148&lt;&gt;"",IF(F148&lt;&gt;0,K148/F148,""),"")),"")</f>
        <v>0</v>
      </c>
      <c r="M148" s="252"/>
    </row>
    <row r="149" ht="15.75" customHeight="1">
      <c r="A149" s="239">
        <v>2.0</v>
      </c>
      <c r="B149" s="249" t="s">
        <v>1761</v>
      </c>
      <c r="C149" s="239" t="s">
        <v>1762</v>
      </c>
      <c r="D149" s="271">
        <v>1.0</v>
      </c>
      <c r="E149" s="267"/>
      <c r="F149" s="268" t="str">
        <f t="shared" si="64"/>
        <v/>
      </c>
      <c r="G149" s="186">
        <v>3272000.0</v>
      </c>
      <c r="H149" s="263">
        <f t="shared" si="65"/>
        <v>3272000</v>
      </c>
      <c r="I149" s="188">
        <v>3272000.0</v>
      </c>
      <c r="J149" s="244">
        <f t="shared" si="66"/>
        <v>3272000</v>
      </c>
      <c r="K149" s="245">
        <f t="shared" si="67"/>
        <v>0</v>
      </c>
      <c r="L149" s="246">
        <f t="shared" si="68"/>
        <v>0</v>
      </c>
      <c r="M149" s="247"/>
    </row>
    <row r="150" ht="15.75" customHeight="1">
      <c r="A150" s="272" t="s">
        <v>1791</v>
      </c>
      <c r="B150" s="206"/>
      <c r="C150" s="206"/>
      <c r="D150" s="174"/>
      <c r="E150" s="257"/>
      <c r="F150" s="258">
        <f>SUMIF(F148:F149,"&lt;&gt;",F148:F149)</f>
        <v>0</v>
      </c>
      <c r="G150" s="259"/>
      <c r="H150" s="260">
        <f>SUMIF(H148:H149,"&lt;&gt;",H148:H149)</f>
        <v>6544000</v>
      </c>
      <c r="I150" s="265"/>
      <c r="J150" s="260">
        <f>SUMIF(J148:J149,"&lt;&gt;",J148:J149)</f>
        <v>6544000</v>
      </c>
      <c r="K150" s="261">
        <f t="shared" si="67"/>
        <v>0</v>
      </c>
      <c r="L150" s="262">
        <f t="shared" si="68"/>
        <v>0</v>
      </c>
      <c r="M150" s="257"/>
    </row>
    <row r="151" ht="15.75" customHeight="1"/>
    <row r="152" ht="15.75" customHeight="1">
      <c r="A152" s="273" t="s">
        <v>1789</v>
      </c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</row>
    <row r="153" ht="15.75" customHeight="1">
      <c r="A153" s="229" t="s">
        <v>1509</v>
      </c>
      <c r="B153" s="229" t="s">
        <v>1510</v>
      </c>
      <c r="C153" s="229" t="s">
        <v>1511</v>
      </c>
      <c r="D153" s="229" t="s">
        <v>1614</v>
      </c>
      <c r="E153" s="230" t="s">
        <v>1615</v>
      </c>
      <c r="F153" s="174"/>
      <c r="G153" s="231" t="s">
        <v>1616</v>
      </c>
      <c r="H153" s="174"/>
      <c r="I153" s="232" t="s">
        <v>1617</v>
      </c>
      <c r="J153" s="174"/>
      <c r="K153" s="233" t="s">
        <v>1618</v>
      </c>
      <c r="L153" s="174"/>
      <c r="M153" s="229" t="s">
        <v>1619</v>
      </c>
    </row>
    <row r="154" ht="15.75" customHeight="1">
      <c r="A154" s="234" t="s">
        <v>1509</v>
      </c>
      <c r="B154" s="234" t="s">
        <v>1510</v>
      </c>
      <c r="C154" s="234" t="s">
        <v>1511</v>
      </c>
      <c r="D154" s="234" t="s">
        <v>1614</v>
      </c>
      <c r="E154" s="235" t="s">
        <v>1620</v>
      </c>
      <c r="F154" s="235" t="s">
        <v>1621</v>
      </c>
      <c r="G154" s="236" t="s">
        <v>1622</v>
      </c>
      <c r="H154" s="236" t="s">
        <v>1623</v>
      </c>
      <c r="I154" s="237" t="s">
        <v>1624</v>
      </c>
      <c r="J154" s="237" t="s">
        <v>1625</v>
      </c>
      <c r="K154" s="238" t="s">
        <v>1626</v>
      </c>
      <c r="L154" s="238" t="s">
        <v>1627</v>
      </c>
      <c r="M154" s="234" t="s">
        <v>1619</v>
      </c>
    </row>
    <row r="155" ht="15.75" customHeight="1">
      <c r="A155" s="248">
        <v>1.0</v>
      </c>
      <c r="B155" s="276" t="s">
        <v>1928</v>
      </c>
      <c r="C155" s="280" t="s">
        <v>69</v>
      </c>
      <c r="D155" s="309">
        <v>8.0</v>
      </c>
      <c r="E155" s="267"/>
      <c r="F155" s="268" t="str">
        <f>IF(E155&lt;&gt;"",D155*E155,"")</f>
        <v/>
      </c>
      <c r="G155" s="199">
        <v>12000.0</v>
      </c>
      <c r="H155" s="243">
        <f t="shared" ref="H155:H160" si="69">IF(G155&lt;&gt;"",D155*G155,"")</f>
        <v>96000</v>
      </c>
      <c r="I155" s="200">
        <v>17500.0</v>
      </c>
      <c r="J155" s="244">
        <f t="shared" ref="J155:J160" si="70">IF(I155&lt;&gt;"",D155*I155,"")</f>
        <v>140000</v>
      </c>
      <c r="K155" s="245">
        <f t="shared" ref="K155:K161" si="71">IF(J155&lt;&gt;"",IF(H155&lt;&gt;"",J155-H155,IF(F155&lt;&gt;"",J155-F155,"")),"")</f>
        <v>44000</v>
      </c>
      <c r="L155" s="246">
        <f t="shared" ref="L155:L161" si="72">IF(K155&lt;&gt;"",IF(H155&lt;&gt;"",IF(H155&lt;&gt;0,K155/H155,""),IF(F155&lt;&gt;"",IF(F155&lt;&gt;0,K155/F155,""),"")),"")</f>
        <v>0.4583333333</v>
      </c>
      <c r="M155" s="252"/>
    </row>
    <row r="156" ht="15.75" customHeight="1">
      <c r="A156" s="278">
        <v>2.0</v>
      </c>
      <c r="B156" s="276" t="s">
        <v>1769</v>
      </c>
      <c r="C156" s="278" t="s">
        <v>109</v>
      </c>
      <c r="D156" s="274">
        <v>2.0</v>
      </c>
      <c r="E156" s="267"/>
      <c r="F156" s="268"/>
      <c r="G156" s="199">
        <v>36000.0</v>
      </c>
      <c r="H156" s="243">
        <f t="shared" si="69"/>
        <v>72000</v>
      </c>
      <c r="I156" s="200">
        <v>45000.0</v>
      </c>
      <c r="J156" s="244">
        <f t="shared" si="70"/>
        <v>90000</v>
      </c>
      <c r="K156" s="245">
        <f t="shared" si="71"/>
        <v>18000</v>
      </c>
      <c r="L156" s="246">
        <f t="shared" si="72"/>
        <v>0.25</v>
      </c>
      <c r="M156" s="247"/>
    </row>
    <row r="157" ht="15.75" customHeight="1">
      <c r="A157" s="278">
        <v>3.0</v>
      </c>
      <c r="B157" s="276" t="s">
        <v>1868</v>
      </c>
      <c r="C157" s="278" t="s">
        <v>1557</v>
      </c>
      <c r="D157" s="274">
        <v>5.0</v>
      </c>
      <c r="E157" s="267"/>
      <c r="F157" s="268"/>
      <c r="G157" s="199">
        <v>14900.0</v>
      </c>
      <c r="H157" s="243">
        <f t="shared" si="69"/>
        <v>74500</v>
      </c>
      <c r="I157" s="200">
        <v>18000.0</v>
      </c>
      <c r="J157" s="244">
        <f t="shared" si="70"/>
        <v>90000</v>
      </c>
      <c r="K157" s="245">
        <f t="shared" si="71"/>
        <v>15500</v>
      </c>
      <c r="L157" s="246">
        <f t="shared" si="72"/>
        <v>0.2080536913</v>
      </c>
      <c r="M157" s="247"/>
    </row>
    <row r="158" ht="15.75" customHeight="1">
      <c r="A158" s="278">
        <v>4.0</v>
      </c>
      <c r="B158" s="276" t="s">
        <v>1737</v>
      </c>
      <c r="C158" s="278" t="s">
        <v>1176</v>
      </c>
      <c r="D158" s="274">
        <v>1.0</v>
      </c>
      <c r="E158" s="267"/>
      <c r="F158" s="268"/>
      <c r="G158" s="199">
        <v>1190000.0</v>
      </c>
      <c r="H158" s="243">
        <f t="shared" si="69"/>
        <v>1190000</v>
      </c>
      <c r="I158" s="200">
        <v>1350000.0</v>
      </c>
      <c r="J158" s="244">
        <f t="shared" si="70"/>
        <v>1350000</v>
      </c>
      <c r="K158" s="245">
        <f t="shared" si="71"/>
        <v>160000</v>
      </c>
      <c r="L158" s="246">
        <f t="shared" si="72"/>
        <v>0.1344537815</v>
      </c>
      <c r="M158" s="247"/>
    </row>
    <row r="159" ht="15.75" customHeight="1">
      <c r="A159" s="278">
        <v>5.0</v>
      </c>
      <c r="B159" s="276" t="s">
        <v>1780</v>
      </c>
      <c r="C159" s="278" t="s">
        <v>1583</v>
      </c>
      <c r="D159" s="274">
        <v>5.0</v>
      </c>
      <c r="E159" s="267"/>
      <c r="F159" s="268"/>
      <c r="G159" s="199">
        <v>25000.0</v>
      </c>
      <c r="H159" s="243">
        <f t="shared" si="69"/>
        <v>125000</v>
      </c>
      <c r="I159" s="200">
        <v>30000.0</v>
      </c>
      <c r="J159" s="244">
        <f t="shared" si="70"/>
        <v>150000</v>
      </c>
      <c r="K159" s="245">
        <f t="shared" si="71"/>
        <v>25000</v>
      </c>
      <c r="L159" s="246">
        <f t="shared" si="72"/>
        <v>0.2</v>
      </c>
      <c r="M159" s="247"/>
    </row>
    <row r="160" ht="15.75" customHeight="1">
      <c r="A160" s="278">
        <v>6.0</v>
      </c>
      <c r="B160" s="276" t="s">
        <v>1929</v>
      </c>
      <c r="C160" s="278" t="s">
        <v>1583</v>
      </c>
      <c r="D160" s="274">
        <v>5.0</v>
      </c>
      <c r="E160" s="267"/>
      <c r="F160" s="268" t="str">
        <f>IF(E160&lt;&gt;"",D160*E160,"")</f>
        <v/>
      </c>
      <c r="G160" s="199">
        <v>55000.0</v>
      </c>
      <c r="H160" s="243">
        <f t="shared" si="69"/>
        <v>275000</v>
      </c>
      <c r="I160" s="200">
        <v>65000.0</v>
      </c>
      <c r="J160" s="244">
        <f t="shared" si="70"/>
        <v>325000</v>
      </c>
      <c r="K160" s="245">
        <f t="shared" si="71"/>
        <v>50000</v>
      </c>
      <c r="L160" s="246">
        <f t="shared" si="72"/>
        <v>0.1818181818</v>
      </c>
      <c r="M160" s="247"/>
    </row>
    <row r="161" ht="15.75" customHeight="1">
      <c r="A161" s="272" t="s">
        <v>1791</v>
      </c>
      <c r="B161" s="206"/>
      <c r="C161" s="206"/>
      <c r="D161" s="174"/>
      <c r="E161" s="257"/>
      <c r="F161" s="258">
        <f>SUMIF(F155:F160,"&lt;&gt;",F155:F160)</f>
        <v>0</v>
      </c>
      <c r="G161" s="259"/>
      <c r="H161" s="260">
        <f>SUMIF(H155:H160,"&lt;&gt;",H155:H160)</f>
        <v>1832500</v>
      </c>
      <c r="I161" s="265"/>
      <c r="J161" s="260">
        <f>SUMIF(J155:J160,"&lt;&gt;",J155:J160)</f>
        <v>2145000</v>
      </c>
      <c r="K161" s="261">
        <f t="shared" si="71"/>
        <v>312500</v>
      </c>
      <c r="L161" s="262">
        <f t="shared" si="72"/>
        <v>0.17053206</v>
      </c>
      <c r="M161" s="257"/>
    </row>
    <row r="162" ht="15.75" customHeight="1"/>
    <row r="163" ht="15.75" customHeight="1">
      <c r="A163" s="273" t="s">
        <v>1730</v>
      </c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</row>
    <row r="164" ht="15.75" customHeight="1">
      <c r="A164" s="229" t="s">
        <v>1509</v>
      </c>
      <c r="B164" s="229" t="s">
        <v>1510</v>
      </c>
      <c r="C164" s="229" t="s">
        <v>1511</v>
      </c>
      <c r="D164" s="229" t="s">
        <v>1614</v>
      </c>
      <c r="E164" s="230" t="s">
        <v>1615</v>
      </c>
      <c r="F164" s="174"/>
      <c r="G164" s="231" t="s">
        <v>1616</v>
      </c>
      <c r="H164" s="174"/>
      <c r="I164" s="232" t="s">
        <v>1617</v>
      </c>
      <c r="J164" s="174"/>
      <c r="K164" s="233" t="s">
        <v>1618</v>
      </c>
      <c r="L164" s="174"/>
      <c r="M164" s="229" t="s">
        <v>1619</v>
      </c>
    </row>
    <row r="165" ht="15.75" customHeight="1">
      <c r="A165" s="234" t="s">
        <v>1509</v>
      </c>
      <c r="B165" s="234" t="s">
        <v>1510</v>
      </c>
      <c r="C165" s="234" t="s">
        <v>1511</v>
      </c>
      <c r="D165" s="234" t="s">
        <v>1614</v>
      </c>
      <c r="E165" s="235" t="s">
        <v>1620</v>
      </c>
      <c r="F165" s="235" t="s">
        <v>1621</v>
      </c>
      <c r="G165" s="236" t="s">
        <v>1622</v>
      </c>
      <c r="H165" s="236" t="s">
        <v>1623</v>
      </c>
      <c r="I165" s="237" t="s">
        <v>1624</v>
      </c>
      <c r="J165" s="237" t="s">
        <v>1625</v>
      </c>
      <c r="K165" s="238" t="s">
        <v>1626</v>
      </c>
      <c r="L165" s="238" t="s">
        <v>1627</v>
      </c>
      <c r="M165" s="234" t="s">
        <v>1619</v>
      </c>
    </row>
    <row r="166" ht="15.75" customHeight="1">
      <c r="A166" s="248">
        <v>1.0</v>
      </c>
      <c r="B166" s="276" t="s">
        <v>1754</v>
      </c>
      <c r="C166" s="280" t="s">
        <v>1754</v>
      </c>
      <c r="D166" s="309">
        <v>65.0</v>
      </c>
      <c r="E166" s="267"/>
      <c r="F166" s="268" t="str">
        <f>IF(E166&lt;&gt;"",D166*E166,"")</f>
        <v/>
      </c>
      <c r="G166" s="199">
        <v>19200.0</v>
      </c>
      <c r="H166" s="243">
        <f>IF(G166&lt;&gt;"",D166*G166,"")</f>
        <v>1248000</v>
      </c>
      <c r="I166" s="200">
        <v>22500.0</v>
      </c>
      <c r="J166" s="244">
        <f>IF(I166&lt;&gt;"",D166*I166,"")</f>
        <v>1462500</v>
      </c>
      <c r="K166" s="245">
        <f t="shared" ref="K166:K167" si="73">IF(J166&lt;&gt;"",IF(H166&lt;&gt;"",J166-H166,IF(F166&lt;&gt;"",J166-F166,"")),"")</f>
        <v>214500</v>
      </c>
      <c r="L166" s="246">
        <f t="shared" ref="L166:L167" si="74">IF(K166&lt;&gt;"",IF(H166&lt;&gt;"",IF(H166&lt;&gt;0,K166/H166,""),IF(F166&lt;&gt;"",IF(F166&lt;&gt;0,K166/F166,""),"")),"")</f>
        <v>0.171875</v>
      </c>
      <c r="M166" s="252"/>
    </row>
    <row r="167" ht="15.75" customHeight="1">
      <c r="A167" s="272" t="s">
        <v>1791</v>
      </c>
      <c r="B167" s="206"/>
      <c r="C167" s="206"/>
      <c r="D167" s="174"/>
      <c r="E167" s="257"/>
      <c r="F167" s="258">
        <f>SUMIF(F166,"&lt;&gt;",F166)</f>
        <v>0</v>
      </c>
      <c r="G167" s="259"/>
      <c r="H167" s="260">
        <f>SUMIF(H166,"&lt;&gt;",H166)</f>
        <v>1248000</v>
      </c>
      <c r="I167" s="265"/>
      <c r="J167" s="260">
        <f>SUMIF(J166,"&lt;&gt;",J166)</f>
        <v>1462500</v>
      </c>
      <c r="K167" s="261">
        <f t="shared" si="73"/>
        <v>214500</v>
      </c>
      <c r="L167" s="262">
        <f t="shared" si="74"/>
        <v>0.171875</v>
      </c>
      <c r="M167" s="257"/>
    </row>
    <row r="168" ht="15.75" customHeight="1"/>
    <row r="169" ht="15.75" customHeight="1"/>
    <row r="170" ht="28.5" customHeight="1">
      <c r="A170" s="328" t="s">
        <v>1865</v>
      </c>
      <c r="B170" s="285"/>
      <c r="C170" s="285"/>
      <c r="D170" s="286"/>
      <c r="E170" s="287"/>
      <c r="F170" s="288">
        <f>F10+F21+F28+F34+F44+F56+F66+F73+F80+F86+F96+F114+F125+F131+F143+F150+F161+F167</f>
        <v>0</v>
      </c>
      <c r="G170" s="288"/>
      <c r="H170" s="288">
        <f>H10+H21+H28+H34+H44+H56+H66+H73+H80+H86+H96+H114+H125+H131+H143+H150+H161+H167</f>
        <v>46079800</v>
      </c>
      <c r="I170" s="288"/>
      <c r="J170" s="288">
        <f>J10+J21+J28+J34+J44+J56+J66+J73+J80+J86+J96+J114+J125+J131+J143+J150+J161+J167</f>
        <v>51922750</v>
      </c>
      <c r="K170" s="289">
        <f>IF(J170&lt;&gt;"",IF(H170&lt;&gt;0,J170-H170,J170-F170),"")</f>
        <v>5842950</v>
      </c>
      <c r="L170" s="290">
        <f>IF(K170&lt;&gt;"",IF(H170&lt;&gt;0,K170/H170,IF(F170&lt;&gt;0,K170/F170,"")),"")</f>
        <v>0.1268006806</v>
      </c>
      <c r="M170" s="287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</sheetData>
  <mergeCells count="115">
    <mergeCell ref="G76:H76"/>
    <mergeCell ref="I76:J76"/>
    <mergeCell ref="D68:J68"/>
    <mergeCell ref="E69:F69"/>
    <mergeCell ref="G69:H69"/>
    <mergeCell ref="I69:J69"/>
    <mergeCell ref="K69:L69"/>
    <mergeCell ref="C75:L75"/>
    <mergeCell ref="E76:F76"/>
    <mergeCell ref="K76:L76"/>
    <mergeCell ref="E83:F83"/>
    <mergeCell ref="G83:H83"/>
    <mergeCell ref="I83:J83"/>
    <mergeCell ref="K83:L83"/>
    <mergeCell ref="A86:D86"/>
    <mergeCell ref="A88:M88"/>
    <mergeCell ref="E89:F89"/>
    <mergeCell ref="K89:L89"/>
    <mergeCell ref="G89:H89"/>
    <mergeCell ref="I89:J89"/>
    <mergeCell ref="A98:M98"/>
    <mergeCell ref="E99:F99"/>
    <mergeCell ref="G99:H99"/>
    <mergeCell ref="I99:J99"/>
    <mergeCell ref="K99:L99"/>
    <mergeCell ref="A96:D96"/>
    <mergeCell ref="A114:D114"/>
    <mergeCell ref="A116:M116"/>
    <mergeCell ref="E117:F117"/>
    <mergeCell ref="G117:H117"/>
    <mergeCell ref="I117:J117"/>
    <mergeCell ref="K117:L117"/>
    <mergeCell ref="A125:D125"/>
    <mergeCell ref="A127:B127"/>
    <mergeCell ref="C127:L127"/>
    <mergeCell ref="E128:F128"/>
    <mergeCell ref="G128:H128"/>
    <mergeCell ref="I128:J128"/>
    <mergeCell ref="K128:L128"/>
    <mergeCell ref="A131:D131"/>
    <mergeCell ref="A134:M134"/>
    <mergeCell ref="E135:F135"/>
    <mergeCell ref="G135:H135"/>
    <mergeCell ref="I135:J135"/>
    <mergeCell ref="K135:L135"/>
    <mergeCell ref="A143:D143"/>
    <mergeCell ref="A145:M145"/>
    <mergeCell ref="E146:F146"/>
    <mergeCell ref="G146:H146"/>
    <mergeCell ref="I146:J146"/>
    <mergeCell ref="K146:L146"/>
    <mergeCell ref="A150:D150"/>
    <mergeCell ref="A152:M152"/>
    <mergeCell ref="G164:H164"/>
    <mergeCell ref="I164:J164"/>
    <mergeCell ref="A167:D167"/>
    <mergeCell ref="A170:D170"/>
    <mergeCell ref="E153:F153"/>
    <mergeCell ref="G153:H153"/>
    <mergeCell ref="I153:J153"/>
    <mergeCell ref="K153:L153"/>
    <mergeCell ref="A161:D161"/>
    <mergeCell ref="A163:M163"/>
    <mergeCell ref="E164:F164"/>
    <mergeCell ref="K164:L164"/>
    <mergeCell ref="A1:M1"/>
    <mergeCell ref="A2:M2"/>
    <mergeCell ref="A3:M3"/>
    <mergeCell ref="A4:M4"/>
    <mergeCell ref="G5:H5"/>
    <mergeCell ref="I5:J5"/>
    <mergeCell ref="K5:L5"/>
    <mergeCell ref="E5:F5"/>
    <mergeCell ref="A10:D10"/>
    <mergeCell ref="A12:M12"/>
    <mergeCell ref="E13:F13"/>
    <mergeCell ref="G13:H13"/>
    <mergeCell ref="I13:J13"/>
    <mergeCell ref="K13:L13"/>
    <mergeCell ref="A21:D21"/>
    <mergeCell ref="A23:M23"/>
    <mergeCell ref="E24:F24"/>
    <mergeCell ref="G24:H24"/>
    <mergeCell ref="I24:J24"/>
    <mergeCell ref="K24:L24"/>
    <mergeCell ref="A28:D28"/>
    <mergeCell ref="A30:M30"/>
    <mergeCell ref="E31:F31"/>
    <mergeCell ref="G31:H31"/>
    <mergeCell ref="I31:J31"/>
    <mergeCell ref="K31:L31"/>
    <mergeCell ref="A34:D34"/>
    <mergeCell ref="D36:J36"/>
    <mergeCell ref="E37:F37"/>
    <mergeCell ref="G37:H37"/>
    <mergeCell ref="I37:J37"/>
    <mergeCell ref="K37:L37"/>
    <mergeCell ref="A44:D44"/>
    <mergeCell ref="D46:J46"/>
    <mergeCell ref="E47:F47"/>
    <mergeCell ref="K47:L47"/>
    <mergeCell ref="G47:H47"/>
    <mergeCell ref="I47:J47"/>
    <mergeCell ref="D58:J58"/>
    <mergeCell ref="E59:F59"/>
    <mergeCell ref="G59:H59"/>
    <mergeCell ref="I59:J59"/>
    <mergeCell ref="K59:L59"/>
    <mergeCell ref="A56:D56"/>
    <mergeCell ref="A66:D66"/>
    <mergeCell ref="A73:D73"/>
    <mergeCell ref="A75:B75"/>
    <mergeCell ref="A80:D80"/>
    <mergeCell ref="A82:B82"/>
    <mergeCell ref="C82:L8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1930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160" t="s">
        <v>1117</v>
      </c>
      <c r="C7" s="159" t="s">
        <v>109</v>
      </c>
      <c r="D7" s="227">
        <v>117.4</v>
      </c>
      <c r="E7" s="184">
        <f>'Daftar Harga'!D8</f>
        <v>48000</v>
      </c>
      <c r="F7" s="185">
        <f t="shared" ref="F7:F15" si="1">IF(E7&lt;&gt;"",D7*E7,"")</f>
        <v>5635200</v>
      </c>
      <c r="G7" s="186">
        <v>46500.0</v>
      </c>
      <c r="H7" s="187">
        <f t="shared" ref="H7:H15" si="2">IF(G7&lt;&gt;"",D7*G7,"")</f>
        <v>5459100</v>
      </c>
      <c r="I7" s="188">
        <v>52500.0</v>
      </c>
      <c r="J7" s="215">
        <f t="shared" ref="J7:J15" si="3">IF(I7&lt;&gt;"",D7*I7,"")</f>
        <v>6163500</v>
      </c>
      <c r="K7" s="190">
        <f t="shared" ref="K7:K16" si="4">IF(J7&lt;&gt;"",IF(H7&lt;&gt;"",J7-H7,IF(F7&lt;&gt;"",J7-F7,"")),"")</f>
        <v>704400</v>
      </c>
      <c r="L7" s="191">
        <f t="shared" ref="L7:L16" si="5">IF(K7&lt;&gt;"",IF(H7&lt;&gt;"",IF(H7&lt;&gt;0,K7/H7,""),IF(F7&lt;&gt;"",IF(F7&lt;&gt;0,K7/F7,""),"")),"")</f>
        <v>0.1290322581</v>
      </c>
      <c r="M7" s="192"/>
    </row>
    <row r="8" ht="15.75" customHeight="1">
      <c r="A8" s="164">
        <v>2.0</v>
      </c>
      <c r="B8" s="165" t="s">
        <v>1527</v>
      </c>
      <c r="C8" s="164" t="s">
        <v>109</v>
      </c>
      <c r="D8" s="193">
        <v>150.0</v>
      </c>
      <c r="E8" s="184">
        <f>'Daftar Harga'!D17</f>
        <v>15500</v>
      </c>
      <c r="F8" s="185">
        <f t="shared" si="1"/>
        <v>2325000</v>
      </c>
      <c r="G8" s="186">
        <v>14500.0</v>
      </c>
      <c r="H8" s="187">
        <f t="shared" si="2"/>
        <v>2175000</v>
      </c>
      <c r="I8" s="188">
        <f>'Daftar Harga'!E17</f>
        <v>15500</v>
      </c>
      <c r="J8" s="215">
        <f t="shared" si="3"/>
        <v>2325000</v>
      </c>
      <c r="K8" s="194">
        <f t="shared" si="4"/>
        <v>150000</v>
      </c>
      <c r="L8" s="195">
        <f t="shared" si="5"/>
        <v>0.06896551724</v>
      </c>
      <c r="M8" s="196"/>
    </row>
    <row r="9" ht="15.75" customHeight="1">
      <c r="A9" s="159">
        <v>3.0</v>
      </c>
      <c r="B9" s="160" t="s">
        <v>1544</v>
      </c>
      <c r="C9" s="159" t="s">
        <v>109</v>
      </c>
      <c r="D9" s="183">
        <v>2.0</v>
      </c>
      <c r="E9" s="184">
        <f>'Daftar Harga'!D35</f>
        <v>17000</v>
      </c>
      <c r="F9" s="185">
        <f t="shared" si="1"/>
        <v>34000</v>
      </c>
      <c r="G9" s="186">
        <v>16000.0</v>
      </c>
      <c r="H9" s="187">
        <f t="shared" si="2"/>
        <v>32000</v>
      </c>
      <c r="I9" s="188">
        <v>22000.0</v>
      </c>
      <c r="J9" s="215">
        <f t="shared" si="3"/>
        <v>44000</v>
      </c>
      <c r="K9" s="190">
        <f t="shared" si="4"/>
        <v>12000</v>
      </c>
      <c r="L9" s="191">
        <f t="shared" si="5"/>
        <v>0.375</v>
      </c>
      <c r="M9" s="192"/>
    </row>
    <row r="10" ht="15.75" customHeight="1">
      <c r="A10" s="164">
        <v>4.0</v>
      </c>
      <c r="B10" s="165" t="s">
        <v>1554</v>
      </c>
      <c r="C10" s="164" t="s">
        <v>109</v>
      </c>
      <c r="D10" s="193">
        <v>22.0</v>
      </c>
      <c r="E10" s="184">
        <f>'Daftar Harga'!D47</f>
        <v>35000</v>
      </c>
      <c r="F10" s="185">
        <f t="shared" si="1"/>
        <v>770000</v>
      </c>
      <c r="G10" s="186">
        <v>55000.0</v>
      </c>
      <c r="H10" s="187">
        <f t="shared" si="2"/>
        <v>1210000</v>
      </c>
      <c r="I10" s="188">
        <v>60000.0</v>
      </c>
      <c r="J10" s="215">
        <f t="shared" si="3"/>
        <v>1320000</v>
      </c>
      <c r="K10" s="194">
        <f t="shared" si="4"/>
        <v>110000</v>
      </c>
      <c r="L10" s="195">
        <f t="shared" si="5"/>
        <v>0.09090909091</v>
      </c>
      <c r="M10" s="196"/>
    </row>
    <row r="11" ht="15.75" customHeight="1">
      <c r="A11" s="159">
        <v>5.0</v>
      </c>
      <c r="B11" s="160" t="s">
        <v>1558</v>
      </c>
      <c r="C11" s="159" t="s">
        <v>1559</v>
      </c>
      <c r="D11" s="183">
        <v>2.0</v>
      </c>
      <c r="E11" s="184">
        <f>'Daftar Harga'!D50</f>
        <v>190000</v>
      </c>
      <c r="F11" s="185">
        <f t="shared" si="1"/>
        <v>380000</v>
      </c>
      <c r="G11" s="186">
        <v>190000.0</v>
      </c>
      <c r="H11" s="187">
        <f t="shared" si="2"/>
        <v>380000</v>
      </c>
      <c r="I11" s="188">
        <v>210000.0</v>
      </c>
      <c r="J11" s="215">
        <f t="shared" si="3"/>
        <v>420000</v>
      </c>
      <c r="K11" s="190">
        <f t="shared" si="4"/>
        <v>40000</v>
      </c>
      <c r="L11" s="191">
        <f t="shared" si="5"/>
        <v>0.1052631579</v>
      </c>
      <c r="M11" s="192"/>
    </row>
    <row r="12" ht="15.75" customHeight="1">
      <c r="A12" s="164">
        <v>6.0</v>
      </c>
      <c r="B12" s="165" t="s">
        <v>1152</v>
      </c>
      <c r="C12" s="164" t="s">
        <v>69</v>
      </c>
      <c r="D12" s="193">
        <v>2225.0</v>
      </c>
      <c r="E12" s="184">
        <f>'Daftar Harga'!D71</f>
        <v>1900</v>
      </c>
      <c r="F12" s="185">
        <f t="shared" si="1"/>
        <v>4227500</v>
      </c>
      <c r="G12" s="199">
        <v>1800.0</v>
      </c>
      <c r="H12" s="187">
        <f t="shared" si="2"/>
        <v>4005000</v>
      </c>
      <c r="I12" s="188">
        <v>2000.0</v>
      </c>
      <c r="J12" s="215">
        <f t="shared" si="3"/>
        <v>4450000</v>
      </c>
      <c r="K12" s="194">
        <f t="shared" si="4"/>
        <v>445000</v>
      </c>
      <c r="L12" s="195">
        <f t="shared" si="5"/>
        <v>0.1111111111</v>
      </c>
      <c r="M12" s="196"/>
    </row>
    <row r="13" ht="15.75" customHeight="1">
      <c r="A13" s="159">
        <v>7.0</v>
      </c>
      <c r="B13" s="160" t="s">
        <v>1599</v>
      </c>
      <c r="C13" s="159" t="s">
        <v>69</v>
      </c>
      <c r="D13" s="183">
        <v>2225.0</v>
      </c>
      <c r="E13" s="184">
        <f>'Daftar Harga'!D90</f>
        <v>650</v>
      </c>
      <c r="F13" s="185">
        <f t="shared" si="1"/>
        <v>1446250</v>
      </c>
      <c r="G13" s="347">
        <v>560.0</v>
      </c>
      <c r="H13" s="187">
        <f t="shared" si="2"/>
        <v>1246000</v>
      </c>
      <c r="I13" s="188">
        <v>700.0</v>
      </c>
      <c r="J13" s="215">
        <f t="shared" si="3"/>
        <v>1557500</v>
      </c>
      <c r="K13" s="190">
        <f t="shared" si="4"/>
        <v>311500</v>
      </c>
      <c r="L13" s="191">
        <f t="shared" si="5"/>
        <v>0.25</v>
      </c>
      <c r="M13" s="192"/>
    </row>
    <row r="14" ht="15.75" customHeight="1">
      <c r="A14" s="164">
        <v>8.0</v>
      </c>
      <c r="B14" s="165" t="s">
        <v>1607</v>
      </c>
      <c r="C14" s="164" t="s">
        <v>109</v>
      </c>
      <c r="D14" s="193">
        <v>75.0</v>
      </c>
      <c r="E14" s="184">
        <f>'Daftar Harga'!D99</f>
        <v>8000</v>
      </c>
      <c r="F14" s="185">
        <f t="shared" si="1"/>
        <v>600000</v>
      </c>
      <c r="G14" s="186">
        <v>8000.0</v>
      </c>
      <c r="H14" s="187">
        <f t="shared" si="2"/>
        <v>600000</v>
      </c>
      <c r="I14" s="188">
        <v>12000.0</v>
      </c>
      <c r="J14" s="215">
        <f t="shared" si="3"/>
        <v>900000</v>
      </c>
      <c r="K14" s="194">
        <f t="shared" si="4"/>
        <v>300000</v>
      </c>
      <c r="L14" s="195">
        <f t="shared" si="5"/>
        <v>0.5</v>
      </c>
      <c r="M14" s="196"/>
    </row>
    <row r="15" ht="15.75" customHeight="1">
      <c r="A15" s="159">
        <v>9.0</v>
      </c>
      <c r="B15" s="160" t="s">
        <v>1609</v>
      </c>
      <c r="C15" s="159" t="s">
        <v>109</v>
      </c>
      <c r="D15" s="183">
        <v>37.0</v>
      </c>
      <c r="E15" s="184">
        <f>'Daftar Harga'!D101</f>
        <v>9000</v>
      </c>
      <c r="F15" s="185">
        <f t="shared" si="1"/>
        <v>333000</v>
      </c>
      <c r="G15" s="186">
        <v>12000.0</v>
      </c>
      <c r="H15" s="187">
        <f t="shared" si="2"/>
        <v>444000</v>
      </c>
      <c r="I15" s="188">
        <f>'Daftar Harga'!E101</f>
        <v>14000</v>
      </c>
      <c r="J15" s="219">
        <f t="shared" si="3"/>
        <v>518000</v>
      </c>
      <c r="K15" s="190">
        <f t="shared" si="4"/>
        <v>74000</v>
      </c>
      <c r="L15" s="191">
        <f t="shared" si="5"/>
        <v>0.1666666667</v>
      </c>
      <c r="M15" s="192"/>
    </row>
    <row r="16" ht="19.5" customHeight="1">
      <c r="A16" s="205" t="s">
        <v>1628</v>
      </c>
      <c r="B16" s="206"/>
      <c r="C16" s="206"/>
      <c r="D16" s="174"/>
      <c r="E16" s="207"/>
      <c r="F16" s="208">
        <f>SUMIF(F7:F15,"&lt;&gt;",F7:F15)</f>
        <v>15750950</v>
      </c>
      <c r="G16" s="207"/>
      <c r="H16" s="208">
        <f>SUMIF(H7:H15,"&lt;&gt;",H7:H15)</f>
        <v>15551100</v>
      </c>
      <c r="I16" s="209"/>
      <c r="J16" s="210">
        <f>SUMIF(J7:J15,"&lt;&gt;",J7:J15)</f>
        <v>17698000</v>
      </c>
      <c r="K16" s="211">
        <f t="shared" si="4"/>
        <v>2146900</v>
      </c>
      <c r="L16" s="212">
        <f t="shared" si="5"/>
        <v>0.1380545428</v>
      </c>
      <c r="M16" s="207"/>
    </row>
    <row r="18" ht="21.75" customHeight="1">
      <c r="A18" s="171" t="s">
        <v>1629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ht="19.5" customHeight="1">
      <c r="A19" s="172" t="s">
        <v>1509</v>
      </c>
      <c r="B19" s="172" t="s">
        <v>1510</v>
      </c>
      <c r="C19" s="172" t="s">
        <v>1511</v>
      </c>
      <c r="D19" s="172" t="s">
        <v>1614</v>
      </c>
      <c r="E19" s="173" t="s">
        <v>1615</v>
      </c>
      <c r="F19" s="174"/>
      <c r="G19" s="175" t="s">
        <v>1616</v>
      </c>
      <c r="H19" s="174"/>
      <c r="I19" s="176" t="s">
        <v>1617</v>
      </c>
      <c r="J19" s="174"/>
      <c r="K19" s="177" t="s">
        <v>1618</v>
      </c>
      <c r="L19" s="174"/>
      <c r="M19" s="172" t="s">
        <v>1619</v>
      </c>
    </row>
    <row r="20" ht="27.75" customHeight="1">
      <c r="A20" s="178" t="s">
        <v>1509</v>
      </c>
      <c r="B20" s="178" t="s">
        <v>1510</v>
      </c>
      <c r="C20" s="178" t="s">
        <v>1511</v>
      </c>
      <c r="D20" s="178" t="s">
        <v>1614</v>
      </c>
      <c r="E20" s="179" t="s">
        <v>1620</v>
      </c>
      <c r="F20" s="179" t="s">
        <v>1621</v>
      </c>
      <c r="G20" s="180" t="s">
        <v>1622</v>
      </c>
      <c r="H20" s="180" t="s">
        <v>1623</v>
      </c>
      <c r="I20" s="181" t="s">
        <v>1624</v>
      </c>
      <c r="J20" s="181" t="s">
        <v>1625</v>
      </c>
      <c r="K20" s="182" t="s">
        <v>1626</v>
      </c>
      <c r="L20" s="182" t="s">
        <v>1627</v>
      </c>
      <c r="M20" s="178" t="s">
        <v>1619</v>
      </c>
    </row>
    <row r="21" ht="15.75" customHeight="1">
      <c r="A21" s="159">
        <v>1.0</v>
      </c>
      <c r="B21" s="331" t="s">
        <v>1522</v>
      </c>
      <c r="C21" s="159" t="s">
        <v>109</v>
      </c>
      <c r="D21" s="213">
        <v>5.0</v>
      </c>
      <c r="E21" s="184">
        <f>'Daftar Harga'!D12</f>
        <v>30000</v>
      </c>
      <c r="F21" s="185">
        <f t="shared" ref="F21:F34" si="6">IF(E21&lt;&gt;"",D21*E21,"")</f>
        <v>150000</v>
      </c>
      <c r="G21" s="186">
        <v>19000.0</v>
      </c>
      <c r="H21" s="243">
        <f t="shared" ref="H21:H37" si="7">IF(G21&lt;&gt;"",D21*G21,"")</f>
        <v>95000</v>
      </c>
      <c r="I21" s="188">
        <v>35000.0</v>
      </c>
      <c r="J21" s="244">
        <f t="shared" ref="J21:J37" si="8">IF(I21&lt;&gt;"",D21*I21,"")</f>
        <v>175000</v>
      </c>
      <c r="K21" s="190">
        <f t="shared" ref="K21:K38" si="9">IF(J21&lt;&gt;"",IF(H21&lt;&gt;"",J21-H21,IF(F21&lt;&gt;"",J21-F21,"")),"")</f>
        <v>80000</v>
      </c>
      <c r="L21" s="191">
        <f t="shared" ref="L21:L38" si="10">IF(K21&lt;&gt;"",IF(H21&lt;&gt;"",IF(H21&lt;&gt;0,K21/H21,""),IF(F21&lt;&gt;"",IF(F21&lt;&gt;0,K21/F21,""),"")),"")</f>
        <v>0.8421052632</v>
      </c>
      <c r="M21" s="192"/>
    </row>
    <row r="22" ht="15.75" customHeight="1">
      <c r="A22" s="164">
        <v>2.0</v>
      </c>
      <c r="B22" s="333" t="s">
        <v>1523</v>
      </c>
      <c r="C22" s="164" t="s">
        <v>109</v>
      </c>
      <c r="D22" s="216">
        <v>1.0</v>
      </c>
      <c r="E22" s="184">
        <f>'Daftar Harga'!D13</f>
        <v>28000</v>
      </c>
      <c r="F22" s="185">
        <f t="shared" si="6"/>
        <v>28000</v>
      </c>
      <c r="G22" s="186">
        <v>36000.0</v>
      </c>
      <c r="H22" s="243">
        <f t="shared" si="7"/>
        <v>36000</v>
      </c>
      <c r="I22" s="188">
        <v>38000.0</v>
      </c>
      <c r="J22" s="244">
        <f t="shared" si="8"/>
        <v>38000</v>
      </c>
      <c r="K22" s="194">
        <f t="shared" si="9"/>
        <v>2000</v>
      </c>
      <c r="L22" s="195">
        <f t="shared" si="10"/>
        <v>0.05555555556</v>
      </c>
      <c r="M22" s="196"/>
    </row>
    <row r="23" ht="15.75" customHeight="1">
      <c r="A23" s="159">
        <v>3.0</v>
      </c>
      <c r="B23" s="331" t="s">
        <v>1525</v>
      </c>
      <c r="C23" s="159" t="s">
        <v>109</v>
      </c>
      <c r="D23" s="213">
        <v>1.0</v>
      </c>
      <c r="E23" s="184">
        <f>'Daftar Harga'!D15</f>
        <v>33000</v>
      </c>
      <c r="F23" s="185">
        <f t="shared" si="6"/>
        <v>33000</v>
      </c>
      <c r="G23" s="186">
        <v>30000.0</v>
      </c>
      <c r="H23" s="243">
        <f t="shared" si="7"/>
        <v>30000</v>
      </c>
      <c r="I23" s="188">
        <v>40000.0</v>
      </c>
      <c r="J23" s="244">
        <f t="shared" si="8"/>
        <v>40000</v>
      </c>
      <c r="K23" s="190">
        <f t="shared" si="9"/>
        <v>10000</v>
      </c>
      <c r="L23" s="191">
        <f t="shared" si="10"/>
        <v>0.3333333333</v>
      </c>
      <c r="M23" s="192"/>
    </row>
    <row r="24" ht="15.75" customHeight="1">
      <c r="A24" s="164">
        <v>4.0</v>
      </c>
      <c r="B24" s="333" t="s">
        <v>1527</v>
      </c>
      <c r="C24" s="164" t="s">
        <v>109</v>
      </c>
      <c r="D24" s="216">
        <v>100.0</v>
      </c>
      <c r="E24" s="184">
        <f>'Daftar Harga'!D17</f>
        <v>15500</v>
      </c>
      <c r="F24" s="185">
        <f t="shared" si="6"/>
        <v>1550000</v>
      </c>
      <c r="G24" s="186">
        <v>14500.0</v>
      </c>
      <c r="H24" s="243">
        <f t="shared" si="7"/>
        <v>1450000</v>
      </c>
      <c r="I24" s="188">
        <v>15500.0</v>
      </c>
      <c r="J24" s="244">
        <f t="shared" si="8"/>
        <v>1550000</v>
      </c>
      <c r="K24" s="194">
        <f t="shared" si="9"/>
        <v>100000</v>
      </c>
      <c r="L24" s="195">
        <f t="shared" si="10"/>
        <v>0.06896551724</v>
      </c>
      <c r="M24" s="196"/>
    </row>
    <row r="25" ht="15.75" customHeight="1">
      <c r="A25" s="159">
        <v>5.0</v>
      </c>
      <c r="B25" s="331" t="s">
        <v>1542</v>
      </c>
      <c r="C25" s="159" t="s">
        <v>109</v>
      </c>
      <c r="D25" s="213">
        <v>0.3</v>
      </c>
      <c r="E25" s="184">
        <f>'Daftar Harga'!D32</f>
        <v>21600</v>
      </c>
      <c r="F25" s="185">
        <f t="shared" si="6"/>
        <v>6480</v>
      </c>
      <c r="G25" s="186">
        <v>28000.0</v>
      </c>
      <c r="H25" s="243">
        <f t="shared" si="7"/>
        <v>8400</v>
      </c>
      <c r="I25" s="188">
        <v>30000.0</v>
      </c>
      <c r="J25" s="244">
        <f t="shared" si="8"/>
        <v>9000</v>
      </c>
      <c r="K25" s="190">
        <f t="shared" si="9"/>
        <v>600</v>
      </c>
      <c r="L25" s="191">
        <f t="shared" si="10"/>
        <v>0.07142857143</v>
      </c>
      <c r="M25" s="192"/>
    </row>
    <row r="26" ht="15.75" customHeight="1">
      <c r="A26" s="164">
        <v>6.0</v>
      </c>
      <c r="B26" s="333" t="s">
        <v>1547</v>
      </c>
      <c r="C26" s="164" t="s">
        <v>109</v>
      </c>
      <c r="D26" s="216">
        <v>33.0</v>
      </c>
      <c r="E26" s="184">
        <f>'Daftar Harga'!D38</f>
        <v>24000</v>
      </c>
      <c r="F26" s="185">
        <f t="shared" si="6"/>
        <v>792000</v>
      </c>
      <c r="G26" s="186">
        <v>23000.0</v>
      </c>
      <c r="H26" s="243">
        <f t="shared" si="7"/>
        <v>759000</v>
      </c>
      <c r="I26" s="188">
        <v>27000.0</v>
      </c>
      <c r="J26" s="244">
        <f t="shared" si="8"/>
        <v>891000</v>
      </c>
      <c r="K26" s="194">
        <f t="shared" si="9"/>
        <v>132000</v>
      </c>
      <c r="L26" s="195">
        <f t="shared" si="10"/>
        <v>0.1739130435</v>
      </c>
      <c r="M26" s="196"/>
    </row>
    <row r="27" ht="15.75" customHeight="1">
      <c r="A27" s="159">
        <v>7.0</v>
      </c>
      <c r="B27" s="331" t="s">
        <v>1931</v>
      </c>
      <c r="C27" s="159" t="s">
        <v>109</v>
      </c>
      <c r="D27" s="213">
        <v>183.4</v>
      </c>
      <c r="E27" s="184">
        <f>'Daftar Harga'!D42</f>
        <v>27500</v>
      </c>
      <c r="F27" s="185">
        <f t="shared" si="6"/>
        <v>5043500</v>
      </c>
      <c r="G27" s="186">
        <v>25000.0</v>
      </c>
      <c r="H27" s="243">
        <f t="shared" si="7"/>
        <v>4585000</v>
      </c>
      <c r="I27" s="188">
        <v>27500.0</v>
      </c>
      <c r="J27" s="244">
        <f t="shared" si="8"/>
        <v>5043500</v>
      </c>
      <c r="K27" s="190">
        <f t="shared" si="9"/>
        <v>458500</v>
      </c>
      <c r="L27" s="191">
        <f t="shared" si="10"/>
        <v>0.1</v>
      </c>
      <c r="M27" s="192"/>
    </row>
    <row r="28" ht="15.75" customHeight="1">
      <c r="A28" s="164">
        <v>8.0</v>
      </c>
      <c r="B28" s="333" t="s">
        <v>1570</v>
      </c>
      <c r="C28" s="164" t="s">
        <v>109</v>
      </c>
      <c r="D28" s="216">
        <v>65.0</v>
      </c>
      <c r="E28" s="184">
        <f>'Daftar Harga'!D61</f>
        <v>9000</v>
      </c>
      <c r="F28" s="185">
        <f t="shared" si="6"/>
        <v>585000</v>
      </c>
      <c r="G28" s="186">
        <v>9000.0</v>
      </c>
      <c r="H28" s="243">
        <f t="shared" si="7"/>
        <v>585000</v>
      </c>
      <c r="I28" s="188">
        <v>14000.0</v>
      </c>
      <c r="J28" s="244">
        <f t="shared" si="8"/>
        <v>910000</v>
      </c>
      <c r="K28" s="194">
        <f t="shared" si="9"/>
        <v>325000</v>
      </c>
      <c r="L28" s="195">
        <f t="shared" si="10"/>
        <v>0.5555555556</v>
      </c>
      <c r="M28" s="196"/>
    </row>
    <row r="29" ht="15.75" customHeight="1">
      <c r="A29" s="159">
        <v>9.0</v>
      </c>
      <c r="B29" s="331" t="s">
        <v>1573</v>
      </c>
      <c r="C29" s="159" t="s">
        <v>109</v>
      </c>
      <c r="D29" s="213">
        <v>1.0</v>
      </c>
      <c r="E29" s="184">
        <f>'Daftar Harga'!D64</f>
        <v>140000</v>
      </c>
      <c r="F29" s="185">
        <f t="shared" si="6"/>
        <v>140000</v>
      </c>
      <c r="G29" s="186">
        <v>140000.0</v>
      </c>
      <c r="H29" s="243">
        <f t="shared" si="7"/>
        <v>140000</v>
      </c>
      <c r="I29" s="188">
        <v>180000.0</v>
      </c>
      <c r="J29" s="244">
        <f t="shared" si="8"/>
        <v>180000</v>
      </c>
      <c r="K29" s="190">
        <f t="shared" si="9"/>
        <v>40000</v>
      </c>
      <c r="L29" s="191">
        <f t="shared" si="10"/>
        <v>0.2857142857</v>
      </c>
      <c r="M29" s="192"/>
    </row>
    <row r="30" ht="15.75" customHeight="1">
      <c r="A30" s="164">
        <v>10.0</v>
      </c>
      <c r="B30" s="333" t="s">
        <v>1578</v>
      </c>
      <c r="C30" s="164" t="s">
        <v>1579</v>
      </c>
      <c r="D30" s="216">
        <v>10.0</v>
      </c>
      <c r="E30" s="184">
        <f>'Daftar Harga'!D69</f>
        <v>205000</v>
      </c>
      <c r="F30" s="185">
        <f t="shared" si="6"/>
        <v>2050000</v>
      </c>
      <c r="G30" s="186">
        <v>22000.0</v>
      </c>
      <c r="H30" s="243">
        <f t="shared" si="7"/>
        <v>220000</v>
      </c>
      <c r="I30" s="188">
        <v>23000.0</v>
      </c>
      <c r="J30" s="244">
        <f t="shared" si="8"/>
        <v>230000</v>
      </c>
      <c r="K30" s="194">
        <f t="shared" si="9"/>
        <v>10000</v>
      </c>
      <c r="L30" s="195">
        <f t="shared" si="10"/>
        <v>0.04545454545</v>
      </c>
      <c r="M30" s="196"/>
    </row>
    <row r="31" ht="15.75" customHeight="1">
      <c r="A31" s="159">
        <v>11.0</v>
      </c>
      <c r="B31" s="331" t="s">
        <v>1585</v>
      </c>
      <c r="C31" s="159" t="s">
        <v>109</v>
      </c>
      <c r="D31" s="213">
        <v>5.0</v>
      </c>
      <c r="E31" s="184" t="str">
        <f>'Daftar Harga'!D75</f>
        <v/>
      </c>
      <c r="F31" s="185" t="str">
        <f t="shared" si="6"/>
        <v/>
      </c>
      <c r="G31" s="186">
        <v>35000.0</v>
      </c>
      <c r="H31" s="243">
        <f t="shared" si="7"/>
        <v>175000</v>
      </c>
      <c r="I31" s="188">
        <v>40000.0</v>
      </c>
      <c r="J31" s="244">
        <f t="shared" si="8"/>
        <v>200000</v>
      </c>
      <c r="K31" s="190">
        <f t="shared" si="9"/>
        <v>25000</v>
      </c>
      <c r="L31" s="191">
        <f t="shared" si="10"/>
        <v>0.1428571429</v>
      </c>
      <c r="M31" s="192"/>
    </row>
    <row r="32" ht="15.75" customHeight="1">
      <c r="A32" s="164">
        <v>12.0</v>
      </c>
      <c r="B32" s="333" t="s">
        <v>1595</v>
      </c>
      <c r="C32" s="164" t="s">
        <v>109</v>
      </c>
      <c r="D32" s="216">
        <v>0.4</v>
      </c>
      <c r="E32" s="184">
        <f>'Daftar Harga'!D86</f>
        <v>12000</v>
      </c>
      <c r="F32" s="185">
        <f t="shared" si="6"/>
        <v>4800</v>
      </c>
      <c r="G32" s="186">
        <v>11000.0</v>
      </c>
      <c r="H32" s="243">
        <f t="shared" si="7"/>
        <v>4400</v>
      </c>
      <c r="I32" s="188">
        <v>14000.0</v>
      </c>
      <c r="J32" s="244">
        <f t="shared" si="8"/>
        <v>5600</v>
      </c>
      <c r="K32" s="194">
        <f t="shared" si="9"/>
        <v>1200</v>
      </c>
      <c r="L32" s="195">
        <f t="shared" si="10"/>
        <v>0.2727272727</v>
      </c>
      <c r="M32" s="196"/>
    </row>
    <row r="33" ht="15.75" customHeight="1">
      <c r="A33" s="159">
        <v>13.0</v>
      </c>
      <c r="B33" s="331" t="s">
        <v>1600</v>
      </c>
      <c r="C33" s="159" t="s">
        <v>109</v>
      </c>
      <c r="D33" s="213">
        <v>126.7</v>
      </c>
      <c r="E33" s="184">
        <f>'Daftar Harga'!D92</f>
        <v>28000</v>
      </c>
      <c r="F33" s="185">
        <f t="shared" si="6"/>
        <v>3547600</v>
      </c>
      <c r="G33" s="186">
        <v>25500.0</v>
      </c>
      <c r="H33" s="243">
        <f t="shared" si="7"/>
        <v>3230850</v>
      </c>
      <c r="I33" s="188">
        <v>28000.0</v>
      </c>
      <c r="J33" s="244">
        <f t="shared" si="8"/>
        <v>3547600</v>
      </c>
      <c r="K33" s="190">
        <f t="shared" si="9"/>
        <v>316750</v>
      </c>
      <c r="L33" s="191">
        <f t="shared" si="10"/>
        <v>0.09803921569</v>
      </c>
      <c r="M33" s="192"/>
    </row>
    <row r="34" ht="15.75" customHeight="1">
      <c r="A34" s="164">
        <v>14.0</v>
      </c>
      <c r="B34" s="333" t="s">
        <v>1601</v>
      </c>
      <c r="C34" s="164" t="s">
        <v>67</v>
      </c>
      <c r="D34" s="216">
        <v>75.0</v>
      </c>
      <c r="E34" s="184">
        <f>'Daftar Harga'!D93</f>
        <v>12000</v>
      </c>
      <c r="F34" s="185">
        <f t="shared" si="6"/>
        <v>900000</v>
      </c>
      <c r="G34" s="186">
        <v>12000.0</v>
      </c>
      <c r="H34" s="243">
        <f t="shared" si="7"/>
        <v>900000</v>
      </c>
      <c r="I34" s="188">
        <v>14000.0</v>
      </c>
      <c r="J34" s="244">
        <f t="shared" si="8"/>
        <v>1050000</v>
      </c>
      <c r="K34" s="194">
        <f t="shared" si="9"/>
        <v>150000</v>
      </c>
      <c r="L34" s="195">
        <f t="shared" si="10"/>
        <v>0.1666666667</v>
      </c>
      <c r="M34" s="196"/>
    </row>
    <row r="35" ht="15.75" customHeight="1">
      <c r="A35" s="159">
        <v>15.0</v>
      </c>
      <c r="B35" s="217" t="s">
        <v>1932</v>
      </c>
      <c r="C35" s="202" t="s">
        <v>109</v>
      </c>
      <c r="D35" s="218">
        <v>2.0</v>
      </c>
      <c r="E35" s="184"/>
      <c r="F35" s="185"/>
      <c r="G35" s="186">
        <v>17500.0</v>
      </c>
      <c r="H35" s="243">
        <f t="shared" si="7"/>
        <v>35000</v>
      </c>
      <c r="I35" s="188">
        <v>17500.0</v>
      </c>
      <c r="J35" s="244">
        <f t="shared" si="8"/>
        <v>35000</v>
      </c>
      <c r="K35" s="194">
        <f t="shared" si="9"/>
        <v>0</v>
      </c>
      <c r="L35" s="195">
        <f t="shared" si="10"/>
        <v>0</v>
      </c>
      <c r="M35" s="196"/>
    </row>
    <row r="36" ht="15.75" customHeight="1">
      <c r="A36" s="164">
        <v>16.0</v>
      </c>
      <c r="B36" s="217" t="s">
        <v>1932</v>
      </c>
      <c r="C36" s="202" t="s">
        <v>1724</v>
      </c>
      <c r="D36" s="218">
        <v>2.0</v>
      </c>
      <c r="E36" s="184"/>
      <c r="F36" s="185"/>
      <c r="G36" s="186">
        <v>17500.0</v>
      </c>
      <c r="H36" s="243">
        <f t="shared" si="7"/>
        <v>35000</v>
      </c>
      <c r="I36" s="188">
        <v>17500.0</v>
      </c>
      <c r="J36" s="244">
        <f t="shared" si="8"/>
        <v>35000</v>
      </c>
      <c r="K36" s="194">
        <f t="shared" si="9"/>
        <v>0</v>
      </c>
      <c r="L36" s="195">
        <f t="shared" si="10"/>
        <v>0</v>
      </c>
      <c r="M36" s="196"/>
    </row>
    <row r="37" ht="15.75" customHeight="1">
      <c r="A37" s="159">
        <v>17.0</v>
      </c>
      <c r="B37" s="217" t="s">
        <v>1932</v>
      </c>
      <c r="C37" s="202" t="s">
        <v>1724</v>
      </c>
      <c r="D37" s="218">
        <v>2.0</v>
      </c>
      <c r="E37" s="184"/>
      <c r="F37" s="185"/>
      <c r="G37" s="186">
        <v>17500.0</v>
      </c>
      <c r="H37" s="243">
        <f t="shared" si="7"/>
        <v>35000</v>
      </c>
      <c r="I37" s="188">
        <v>17500.0</v>
      </c>
      <c r="J37" s="244">
        <f t="shared" si="8"/>
        <v>35000</v>
      </c>
      <c r="K37" s="194">
        <f t="shared" si="9"/>
        <v>0</v>
      </c>
      <c r="L37" s="195">
        <f t="shared" si="10"/>
        <v>0</v>
      </c>
      <c r="M37" s="196"/>
    </row>
    <row r="38" ht="19.5" customHeight="1">
      <c r="A38" s="205" t="s">
        <v>1632</v>
      </c>
      <c r="B38" s="206"/>
      <c r="C38" s="206"/>
      <c r="D38" s="174"/>
      <c r="E38" s="207"/>
      <c r="F38" s="208">
        <f>SUMIF(F21:F37,"&lt;&gt;",F21:F37)</f>
        <v>14830380</v>
      </c>
      <c r="G38" s="207"/>
      <c r="H38" s="208">
        <f>SUMIF(H21:H37,"&lt;&gt;",H21:H37)</f>
        <v>12323650</v>
      </c>
      <c r="I38" s="207"/>
      <c r="J38" s="208">
        <f>SUMIF(J21:J37,"&lt;&gt;",J21:J37)</f>
        <v>13974700</v>
      </c>
      <c r="K38" s="208">
        <f t="shared" si="9"/>
        <v>1651050</v>
      </c>
      <c r="L38" s="212">
        <f t="shared" si="10"/>
        <v>0.1339741067</v>
      </c>
      <c r="M38" s="207"/>
    </row>
    <row r="39" ht="15.75" customHeight="1"/>
    <row r="40" ht="21.75" customHeight="1">
      <c r="A40" s="171" t="s">
        <v>1633</v>
      </c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</row>
    <row r="41" ht="19.5" customHeight="1">
      <c r="A41" s="172" t="s">
        <v>1509</v>
      </c>
      <c r="B41" s="172" t="s">
        <v>1510</v>
      </c>
      <c r="C41" s="172" t="s">
        <v>1511</v>
      </c>
      <c r="D41" s="172" t="s">
        <v>1614</v>
      </c>
      <c r="E41" s="173" t="s">
        <v>1615</v>
      </c>
      <c r="F41" s="174"/>
      <c r="G41" s="175" t="s">
        <v>1616</v>
      </c>
      <c r="H41" s="174"/>
      <c r="I41" s="176" t="s">
        <v>1617</v>
      </c>
      <c r="J41" s="174"/>
      <c r="K41" s="177" t="s">
        <v>1618</v>
      </c>
      <c r="L41" s="174"/>
      <c r="M41" s="172" t="s">
        <v>1619</v>
      </c>
    </row>
    <row r="42" ht="27.75" customHeight="1">
      <c r="A42" s="178" t="s">
        <v>1509</v>
      </c>
      <c r="B42" s="178" t="s">
        <v>1510</v>
      </c>
      <c r="C42" s="178" t="s">
        <v>1511</v>
      </c>
      <c r="D42" s="178" t="s">
        <v>1614</v>
      </c>
      <c r="E42" s="179" t="s">
        <v>1620</v>
      </c>
      <c r="F42" s="179" t="s">
        <v>1621</v>
      </c>
      <c r="G42" s="180" t="s">
        <v>1622</v>
      </c>
      <c r="H42" s="180" t="s">
        <v>1623</v>
      </c>
      <c r="I42" s="181" t="s">
        <v>1624</v>
      </c>
      <c r="J42" s="181" t="s">
        <v>1625</v>
      </c>
      <c r="K42" s="182" t="s">
        <v>1626</v>
      </c>
      <c r="L42" s="182" t="s">
        <v>1627</v>
      </c>
      <c r="M42" s="178" t="s">
        <v>1619</v>
      </c>
    </row>
    <row r="43" ht="15.75" customHeight="1">
      <c r="A43" s="159">
        <v>1.0</v>
      </c>
      <c r="B43" s="226" t="s">
        <v>1527</v>
      </c>
      <c r="C43" s="159" t="s">
        <v>109</v>
      </c>
      <c r="D43" s="227">
        <v>100.0</v>
      </c>
      <c r="E43" s="184"/>
      <c r="F43" s="185" t="str">
        <f t="shared" ref="F43:F56" si="11">IF(E43&lt;&gt;"",D43*E43,"")</f>
        <v/>
      </c>
      <c r="G43" s="221">
        <v>14500.0</v>
      </c>
      <c r="H43" s="187">
        <f t="shared" ref="H43:H56" si="12">IF(G43&lt;&gt;"",D43*G43,"")</f>
        <v>1450000</v>
      </c>
      <c r="I43" s="222">
        <v>15500.0</v>
      </c>
      <c r="J43" s="215">
        <f t="shared" ref="J43:J56" si="13">IF(I43&lt;&gt;"",D43*I43,"")</f>
        <v>1550000</v>
      </c>
      <c r="K43" s="190">
        <f t="shared" ref="K43:K57" si="14">IF(J43&lt;&gt;"",IF(H43&lt;&gt;"",J43-H43,IF(F43&lt;&gt;"",J43-F43,"")),"")</f>
        <v>100000</v>
      </c>
      <c r="L43" s="191">
        <f t="shared" ref="L43:L57" si="15">IF(K43&lt;&gt;"",IF(H43&lt;&gt;"",IF(H43&lt;&gt;0,K43/H43,""),IF(F43&lt;&gt;"",IF(F43&lt;&gt;0,K43/F43,""),"")),"")</f>
        <v>0.06896551724</v>
      </c>
      <c r="M43" s="192"/>
    </row>
    <row r="44" ht="15.75" customHeight="1">
      <c r="A44" s="164">
        <v>2.0</v>
      </c>
      <c r="B44" s="197" t="s">
        <v>1116</v>
      </c>
      <c r="C44" s="164" t="s">
        <v>109</v>
      </c>
      <c r="D44" s="198">
        <v>308.0</v>
      </c>
      <c r="E44" s="184"/>
      <c r="F44" s="185" t="str">
        <f t="shared" si="11"/>
        <v/>
      </c>
      <c r="G44" s="221">
        <v>35000.0</v>
      </c>
      <c r="H44" s="187">
        <f t="shared" si="12"/>
        <v>10780000</v>
      </c>
      <c r="I44" s="222">
        <v>38000.0</v>
      </c>
      <c r="J44" s="215">
        <f t="shared" si="13"/>
        <v>11704000</v>
      </c>
      <c r="K44" s="194">
        <f t="shared" si="14"/>
        <v>924000</v>
      </c>
      <c r="L44" s="195">
        <f t="shared" si="15"/>
        <v>0.08571428571</v>
      </c>
      <c r="M44" s="196"/>
    </row>
    <row r="45" ht="15.75" customHeight="1">
      <c r="A45" s="159">
        <v>3.0</v>
      </c>
      <c r="B45" s="226" t="s">
        <v>1599</v>
      </c>
      <c r="C45" s="159" t="s">
        <v>109</v>
      </c>
      <c r="D45" s="227">
        <v>4265.0</v>
      </c>
      <c r="E45" s="184"/>
      <c r="F45" s="185" t="str">
        <f t="shared" si="11"/>
        <v/>
      </c>
      <c r="G45" s="221">
        <v>560.0</v>
      </c>
      <c r="H45" s="187">
        <f t="shared" si="12"/>
        <v>2388400</v>
      </c>
      <c r="I45" s="222">
        <v>700.0</v>
      </c>
      <c r="J45" s="215">
        <f t="shared" si="13"/>
        <v>2985500</v>
      </c>
      <c r="K45" s="190">
        <f t="shared" si="14"/>
        <v>597100</v>
      </c>
      <c r="L45" s="191">
        <f t="shared" si="15"/>
        <v>0.25</v>
      </c>
      <c r="M45" s="192"/>
    </row>
    <row r="46" ht="15.75" customHeight="1">
      <c r="A46" s="164">
        <v>4.0</v>
      </c>
      <c r="B46" s="197" t="s">
        <v>1567</v>
      </c>
      <c r="C46" s="164" t="s">
        <v>109</v>
      </c>
      <c r="D46" s="198">
        <v>37.0</v>
      </c>
      <c r="E46" s="184"/>
      <c r="F46" s="185" t="str">
        <f t="shared" si="11"/>
        <v/>
      </c>
      <c r="G46" s="221">
        <v>10000.0</v>
      </c>
      <c r="H46" s="187">
        <f t="shared" si="12"/>
        <v>370000</v>
      </c>
      <c r="I46" s="222">
        <v>12000.0</v>
      </c>
      <c r="J46" s="215">
        <f t="shared" si="13"/>
        <v>444000</v>
      </c>
      <c r="K46" s="194">
        <f t="shared" si="14"/>
        <v>74000</v>
      </c>
      <c r="L46" s="195">
        <f t="shared" si="15"/>
        <v>0.2</v>
      </c>
      <c r="M46" s="196"/>
    </row>
    <row r="47" ht="15.75" customHeight="1">
      <c r="A47" s="159">
        <v>5.0</v>
      </c>
      <c r="B47" s="226" t="s">
        <v>1609</v>
      </c>
      <c r="C47" s="159" t="s">
        <v>109</v>
      </c>
      <c r="D47" s="227">
        <v>29.0</v>
      </c>
      <c r="E47" s="184"/>
      <c r="F47" s="185" t="str">
        <f t="shared" si="11"/>
        <v/>
      </c>
      <c r="G47" s="221">
        <v>10000.0</v>
      </c>
      <c r="H47" s="187">
        <f t="shared" si="12"/>
        <v>290000</v>
      </c>
      <c r="I47" s="222">
        <v>12000.0</v>
      </c>
      <c r="J47" s="215">
        <f t="shared" si="13"/>
        <v>348000</v>
      </c>
      <c r="K47" s="190">
        <f t="shared" si="14"/>
        <v>58000</v>
      </c>
      <c r="L47" s="191">
        <f t="shared" si="15"/>
        <v>0.2</v>
      </c>
      <c r="M47" s="192"/>
    </row>
    <row r="48" ht="15.75" customHeight="1">
      <c r="A48" s="164">
        <v>6.0</v>
      </c>
      <c r="B48" s="197" t="s">
        <v>1634</v>
      </c>
      <c r="C48" s="164" t="s">
        <v>109</v>
      </c>
      <c r="D48" s="198">
        <v>2960.0</v>
      </c>
      <c r="E48" s="184"/>
      <c r="F48" s="185" t="str">
        <f t="shared" si="11"/>
        <v/>
      </c>
      <c r="G48" s="221">
        <v>1800.0</v>
      </c>
      <c r="H48" s="187">
        <f t="shared" si="12"/>
        <v>5328000</v>
      </c>
      <c r="I48" s="222">
        <v>2000.0</v>
      </c>
      <c r="J48" s="215">
        <f t="shared" si="13"/>
        <v>5920000</v>
      </c>
      <c r="K48" s="194">
        <f t="shared" si="14"/>
        <v>592000</v>
      </c>
      <c r="L48" s="195">
        <f t="shared" si="15"/>
        <v>0.1111111111</v>
      </c>
      <c r="M48" s="196"/>
    </row>
    <row r="49" ht="15.75" customHeight="1">
      <c r="A49" s="159">
        <v>7.0</v>
      </c>
      <c r="B49" s="226" t="s">
        <v>1577</v>
      </c>
      <c r="C49" s="159" t="s">
        <v>1559</v>
      </c>
      <c r="D49" s="227">
        <v>2.0</v>
      </c>
      <c r="E49" s="184"/>
      <c r="F49" s="185" t="str">
        <f t="shared" si="11"/>
        <v/>
      </c>
      <c r="G49" s="221">
        <v>25000.0</v>
      </c>
      <c r="H49" s="187">
        <f t="shared" si="12"/>
        <v>50000</v>
      </c>
      <c r="I49" s="222">
        <v>27000.0</v>
      </c>
      <c r="J49" s="215">
        <f t="shared" si="13"/>
        <v>54000</v>
      </c>
      <c r="K49" s="190">
        <f t="shared" si="14"/>
        <v>4000</v>
      </c>
      <c r="L49" s="191">
        <f t="shared" si="15"/>
        <v>0.08</v>
      </c>
      <c r="M49" s="192"/>
    </row>
    <row r="50" ht="15.75" customHeight="1">
      <c r="A50" s="164">
        <v>8.0</v>
      </c>
      <c r="B50" s="197" t="s">
        <v>1522</v>
      </c>
      <c r="C50" s="164" t="s">
        <v>109</v>
      </c>
      <c r="D50" s="198">
        <v>3.0</v>
      </c>
      <c r="E50" s="184"/>
      <c r="F50" s="185" t="str">
        <f t="shared" si="11"/>
        <v/>
      </c>
      <c r="G50" s="221">
        <v>19000.0</v>
      </c>
      <c r="H50" s="187">
        <f t="shared" si="12"/>
        <v>57000</v>
      </c>
      <c r="I50" s="222">
        <v>35000.0</v>
      </c>
      <c r="J50" s="215">
        <f t="shared" si="13"/>
        <v>105000</v>
      </c>
      <c r="K50" s="194">
        <f t="shared" si="14"/>
        <v>48000</v>
      </c>
      <c r="L50" s="195">
        <f t="shared" si="15"/>
        <v>0.8421052632</v>
      </c>
      <c r="M50" s="196"/>
    </row>
    <row r="51" ht="15.75" customHeight="1">
      <c r="A51" s="159">
        <v>9.0</v>
      </c>
      <c r="B51" s="226" t="s">
        <v>1543</v>
      </c>
      <c r="C51" s="159" t="s">
        <v>109</v>
      </c>
      <c r="D51" s="227">
        <v>1.0</v>
      </c>
      <c r="E51" s="184"/>
      <c r="F51" s="185" t="str">
        <f t="shared" si="11"/>
        <v/>
      </c>
      <c r="G51" s="221">
        <v>7000.0</v>
      </c>
      <c r="H51" s="187">
        <f t="shared" si="12"/>
        <v>7000</v>
      </c>
      <c r="I51" s="222">
        <v>10000.0</v>
      </c>
      <c r="J51" s="215">
        <f t="shared" si="13"/>
        <v>10000</v>
      </c>
      <c r="K51" s="190">
        <f t="shared" si="14"/>
        <v>3000</v>
      </c>
      <c r="L51" s="191">
        <f t="shared" si="15"/>
        <v>0.4285714286</v>
      </c>
      <c r="M51" s="192"/>
    </row>
    <row r="52" ht="15.75" customHeight="1">
      <c r="A52" s="164">
        <v>10.0</v>
      </c>
      <c r="B52" s="197" t="s">
        <v>1641</v>
      </c>
      <c r="C52" s="164" t="s">
        <v>109</v>
      </c>
      <c r="D52" s="198">
        <v>1.5</v>
      </c>
      <c r="E52" s="184"/>
      <c r="F52" s="185" t="str">
        <f t="shared" si="11"/>
        <v/>
      </c>
      <c r="G52" s="221">
        <v>30000.0</v>
      </c>
      <c r="H52" s="187">
        <f t="shared" si="12"/>
        <v>45000</v>
      </c>
      <c r="I52" s="222">
        <v>40000.0</v>
      </c>
      <c r="J52" s="215">
        <f t="shared" si="13"/>
        <v>60000</v>
      </c>
      <c r="K52" s="194">
        <f t="shared" si="14"/>
        <v>15000</v>
      </c>
      <c r="L52" s="195">
        <f t="shared" si="15"/>
        <v>0.3333333333</v>
      </c>
      <c r="M52" s="196"/>
    </row>
    <row r="53" ht="15.75" customHeight="1">
      <c r="A53" s="159">
        <v>11.0</v>
      </c>
      <c r="B53" s="226" t="s">
        <v>1933</v>
      </c>
      <c r="C53" s="159" t="s">
        <v>1579</v>
      </c>
      <c r="D53" s="227">
        <v>9.0</v>
      </c>
      <c r="E53" s="184"/>
      <c r="F53" s="185" t="str">
        <f t="shared" si="11"/>
        <v/>
      </c>
      <c r="G53" s="221">
        <v>23500.0</v>
      </c>
      <c r="H53" s="187">
        <f t="shared" si="12"/>
        <v>211500</v>
      </c>
      <c r="I53" s="222">
        <v>26000.0</v>
      </c>
      <c r="J53" s="215">
        <f t="shared" si="13"/>
        <v>234000</v>
      </c>
      <c r="K53" s="190">
        <f t="shared" si="14"/>
        <v>22500</v>
      </c>
      <c r="L53" s="191">
        <f t="shared" si="15"/>
        <v>0.1063829787</v>
      </c>
      <c r="M53" s="192"/>
    </row>
    <row r="54" ht="15.75" customHeight="1">
      <c r="A54" s="164">
        <v>12.0</v>
      </c>
      <c r="B54" s="197" t="s">
        <v>1640</v>
      </c>
      <c r="C54" s="164" t="s">
        <v>69</v>
      </c>
      <c r="D54" s="198">
        <v>1.0</v>
      </c>
      <c r="E54" s="184"/>
      <c r="F54" s="185" t="str">
        <f t="shared" si="11"/>
        <v/>
      </c>
      <c r="G54" s="221">
        <v>40000.0</v>
      </c>
      <c r="H54" s="187">
        <f t="shared" si="12"/>
        <v>40000</v>
      </c>
      <c r="I54" s="222">
        <v>45000.0</v>
      </c>
      <c r="J54" s="215">
        <f t="shared" si="13"/>
        <v>45000</v>
      </c>
      <c r="K54" s="194">
        <f t="shared" si="14"/>
        <v>5000</v>
      </c>
      <c r="L54" s="195">
        <f t="shared" si="15"/>
        <v>0.125</v>
      </c>
      <c r="M54" s="196"/>
    </row>
    <row r="55" ht="15.75" customHeight="1">
      <c r="A55" s="159">
        <v>13.0</v>
      </c>
      <c r="B55" s="226" t="s">
        <v>1808</v>
      </c>
      <c r="C55" s="159" t="s">
        <v>1559</v>
      </c>
      <c r="D55" s="183">
        <v>5.0</v>
      </c>
      <c r="E55" s="184"/>
      <c r="F55" s="185" t="str">
        <f t="shared" si="11"/>
        <v/>
      </c>
      <c r="G55" s="221">
        <v>18000.0</v>
      </c>
      <c r="H55" s="187">
        <f t="shared" si="12"/>
        <v>90000</v>
      </c>
      <c r="I55" s="222">
        <v>23000.0</v>
      </c>
      <c r="J55" s="215">
        <f t="shared" si="13"/>
        <v>115000</v>
      </c>
      <c r="K55" s="190">
        <f t="shared" si="14"/>
        <v>25000</v>
      </c>
      <c r="L55" s="191">
        <f t="shared" si="15"/>
        <v>0.2777777778</v>
      </c>
      <c r="M55" s="192"/>
    </row>
    <row r="56" ht="15.75" customHeight="1">
      <c r="A56" s="164">
        <v>14.0</v>
      </c>
      <c r="B56" s="197" t="s">
        <v>1655</v>
      </c>
      <c r="C56" s="164" t="s">
        <v>69</v>
      </c>
      <c r="D56" s="198">
        <v>1.0</v>
      </c>
      <c r="E56" s="184"/>
      <c r="F56" s="185" t="str">
        <f t="shared" si="11"/>
        <v/>
      </c>
      <c r="G56" s="221">
        <v>18500.0</v>
      </c>
      <c r="H56" s="187">
        <f t="shared" si="12"/>
        <v>18500</v>
      </c>
      <c r="I56" s="222">
        <v>20000.0</v>
      </c>
      <c r="J56" s="219">
        <f t="shared" si="13"/>
        <v>20000</v>
      </c>
      <c r="K56" s="194">
        <f t="shared" si="14"/>
        <v>1500</v>
      </c>
      <c r="L56" s="195">
        <f t="shared" si="15"/>
        <v>0.08108108108</v>
      </c>
      <c r="M56" s="196"/>
    </row>
    <row r="57" ht="19.5" customHeight="1">
      <c r="A57" s="205" t="s">
        <v>1635</v>
      </c>
      <c r="B57" s="206"/>
      <c r="C57" s="206"/>
      <c r="D57" s="174"/>
      <c r="E57" s="207"/>
      <c r="F57" s="208">
        <f>SUMIF(F43:F56,"&lt;&gt;",F43:F56)</f>
        <v>0</v>
      </c>
      <c r="G57" s="207"/>
      <c r="H57" s="208">
        <f>SUMIF(H43:H56,"&lt;&gt;",H43:H56)</f>
        <v>21125400</v>
      </c>
      <c r="I57" s="209"/>
      <c r="J57" s="210">
        <f>SUMIF(J43:J56,"&lt;&gt;",J43:J56)</f>
        <v>23594500</v>
      </c>
      <c r="K57" s="211">
        <f t="shared" si="14"/>
        <v>2469100</v>
      </c>
      <c r="L57" s="212">
        <f t="shared" si="15"/>
        <v>0.1168782603</v>
      </c>
      <c r="M57" s="207"/>
    </row>
    <row r="58" ht="15.75" customHeight="1"/>
    <row r="59" ht="21.75" customHeight="1">
      <c r="A59" s="171" t="s">
        <v>1876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6"/>
    </row>
    <row r="60" ht="19.5" customHeight="1">
      <c r="A60" s="172" t="s">
        <v>1509</v>
      </c>
      <c r="B60" s="172" t="s">
        <v>1510</v>
      </c>
      <c r="C60" s="172" t="s">
        <v>1511</v>
      </c>
      <c r="D60" s="172" t="s">
        <v>1614</v>
      </c>
      <c r="E60" s="173" t="s">
        <v>1615</v>
      </c>
      <c r="F60" s="174"/>
      <c r="G60" s="175" t="s">
        <v>1616</v>
      </c>
      <c r="H60" s="174"/>
      <c r="I60" s="176" t="s">
        <v>1617</v>
      </c>
      <c r="J60" s="174"/>
      <c r="K60" s="177" t="s">
        <v>1618</v>
      </c>
      <c r="L60" s="174"/>
      <c r="M60" s="172" t="s">
        <v>1619</v>
      </c>
    </row>
    <row r="61" ht="27.75" customHeight="1">
      <c r="A61" s="178" t="s">
        <v>1509</v>
      </c>
      <c r="B61" s="178" t="s">
        <v>1510</v>
      </c>
      <c r="C61" s="178" t="s">
        <v>1511</v>
      </c>
      <c r="D61" s="178" t="s">
        <v>1614</v>
      </c>
      <c r="E61" s="179" t="s">
        <v>1620</v>
      </c>
      <c r="F61" s="179" t="s">
        <v>1621</v>
      </c>
      <c r="G61" s="180" t="s">
        <v>1622</v>
      </c>
      <c r="H61" s="180" t="s">
        <v>1623</v>
      </c>
      <c r="I61" s="181" t="s">
        <v>1624</v>
      </c>
      <c r="J61" s="181" t="s">
        <v>1625</v>
      </c>
      <c r="K61" s="182" t="s">
        <v>1626</v>
      </c>
      <c r="L61" s="182" t="s">
        <v>1627</v>
      </c>
      <c r="M61" s="178" t="s">
        <v>1619</v>
      </c>
    </row>
    <row r="62" ht="15.75" customHeight="1">
      <c r="A62" s="159">
        <v>1.0</v>
      </c>
      <c r="B62" s="160" t="s">
        <v>1521</v>
      </c>
      <c r="C62" s="159" t="s">
        <v>69</v>
      </c>
      <c r="D62" s="227">
        <v>430.0</v>
      </c>
      <c r="E62" s="184" t="str">
        <f>'Daftar Harga'!D11</f>
        <v/>
      </c>
      <c r="F62" s="185" t="str">
        <f t="shared" ref="F62:F74" si="16">IF(E62&lt;&gt;"",D62*E62,"")</f>
        <v/>
      </c>
      <c r="G62" s="221">
        <v>3500.0</v>
      </c>
      <c r="H62" s="187">
        <f t="shared" ref="H62:H74" si="17">IF(G62&lt;&gt;"",D62*G62,"")</f>
        <v>1505000</v>
      </c>
      <c r="I62" s="222">
        <v>3700.0</v>
      </c>
      <c r="J62" s="215">
        <f t="shared" ref="J62:J74" si="18">IF(I62&lt;&gt;"",D62*I62,"")</f>
        <v>1591000</v>
      </c>
      <c r="K62" s="190">
        <f t="shared" ref="K62:K75" si="19">IF(J62&lt;&gt;"",IF(H62&lt;&gt;"",J62-H62,IF(F62&lt;&gt;"",J62-F62,"")),"")</f>
        <v>86000</v>
      </c>
      <c r="L62" s="191">
        <f t="shared" ref="L62:L75" si="20">IF(K62&lt;&gt;"",IF(H62&lt;&gt;"",IF(H62&lt;&gt;0,K62/H62,""),IF(F62&lt;&gt;"",IF(F62&lt;&gt;0,K62/F62,""),"")),"")</f>
        <v>0.05714285714</v>
      </c>
      <c r="M62" s="192"/>
    </row>
    <row r="63" ht="15.75" customHeight="1">
      <c r="A63" s="164">
        <v>2.0</v>
      </c>
      <c r="B63" s="197" t="s">
        <v>1601</v>
      </c>
      <c r="C63" s="164" t="s">
        <v>109</v>
      </c>
      <c r="D63" s="198">
        <v>18.0</v>
      </c>
      <c r="E63" s="184"/>
      <c r="F63" s="185" t="str">
        <f t="shared" si="16"/>
        <v/>
      </c>
      <c r="G63" s="221">
        <v>12000.0</v>
      </c>
      <c r="H63" s="187">
        <f t="shared" si="17"/>
        <v>216000</v>
      </c>
      <c r="I63" s="222">
        <v>14000.0</v>
      </c>
      <c r="J63" s="215">
        <f t="shared" si="18"/>
        <v>252000</v>
      </c>
      <c r="K63" s="194">
        <f t="shared" si="19"/>
        <v>36000</v>
      </c>
      <c r="L63" s="195">
        <f t="shared" si="20"/>
        <v>0.1666666667</v>
      </c>
      <c r="M63" s="196"/>
    </row>
    <row r="64" ht="15.75" customHeight="1">
      <c r="A64" s="159">
        <v>3.0</v>
      </c>
      <c r="B64" s="226" t="s">
        <v>1609</v>
      </c>
      <c r="C64" s="159" t="s">
        <v>109</v>
      </c>
      <c r="D64" s="227">
        <v>8.0</v>
      </c>
      <c r="E64" s="184"/>
      <c r="F64" s="185" t="str">
        <f t="shared" si="16"/>
        <v/>
      </c>
      <c r="G64" s="221">
        <v>16000.0</v>
      </c>
      <c r="H64" s="187">
        <f t="shared" si="17"/>
        <v>128000</v>
      </c>
      <c r="I64" s="222">
        <v>18000.0</v>
      </c>
      <c r="J64" s="215">
        <f t="shared" si="18"/>
        <v>144000</v>
      </c>
      <c r="K64" s="190">
        <f t="shared" si="19"/>
        <v>16000</v>
      </c>
      <c r="L64" s="191">
        <f t="shared" si="20"/>
        <v>0.125</v>
      </c>
      <c r="M64" s="192"/>
    </row>
    <row r="65" ht="15.75" customHeight="1">
      <c r="A65" s="164">
        <v>4.0</v>
      </c>
      <c r="B65" s="197" t="s">
        <v>1607</v>
      </c>
      <c r="C65" s="164" t="s">
        <v>109</v>
      </c>
      <c r="D65" s="198">
        <v>11.0</v>
      </c>
      <c r="E65" s="184"/>
      <c r="F65" s="185" t="str">
        <f t="shared" si="16"/>
        <v/>
      </c>
      <c r="G65" s="221">
        <v>8000.0</v>
      </c>
      <c r="H65" s="187">
        <f t="shared" si="17"/>
        <v>88000</v>
      </c>
      <c r="I65" s="222">
        <v>12000.0</v>
      </c>
      <c r="J65" s="215">
        <f t="shared" si="18"/>
        <v>132000</v>
      </c>
      <c r="K65" s="194">
        <f t="shared" si="19"/>
        <v>44000</v>
      </c>
      <c r="L65" s="195">
        <f t="shared" si="20"/>
        <v>0.5</v>
      </c>
      <c r="M65" s="196"/>
    </row>
    <row r="66" ht="15.75" customHeight="1">
      <c r="A66" s="159">
        <v>5.0</v>
      </c>
      <c r="B66" s="226" t="s">
        <v>1643</v>
      </c>
      <c r="C66" s="159" t="s">
        <v>109</v>
      </c>
      <c r="D66" s="227">
        <v>3.0</v>
      </c>
      <c r="E66" s="184"/>
      <c r="F66" s="185" t="str">
        <f t="shared" si="16"/>
        <v/>
      </c>
      <c r="G66" s="221">
        <v>48000.0</v>
      </c>
      <c r="H66" s="187">
        <f t="shared" si="17"/>
        <v>144000</v>
      </c>
      <c r="I66" s="222">
        <v>55000.0</v>
      </c>
      <c r="J66" s="215">
        <f t="shared" si="18"/>
        <v>165000</v>
      </c>
      <c r="K66" s="190">
        <f t="shared" si="19"/>
        <v>21000</v>
      </c>
      <c r="L66" s="191">
        <f t="shared" si="20"/>
        <v>0.1458333333</v>
      </c>
      <c r="M66" s="192"/>
    </row>
    <row r="67" ht="15.75" customHeight="1">
      <c r="A67" s="164">
        <v>6.0</v>
      </c>
      <c r="B67" s="197" t="s">
        <v>1934</v>
      </c>
      <c r="C67" s="164" t="s">
        <v>109</v>
      </c>
      <c r="D67" s="198">
        <v>1.0</v>
      </c>
      <c r="E67" s="184"/>
      <c r="F67" s="185" t="str">
        <f t="shared" si="16"/>
        <v/>
      </c>
      <c r="G67" s="221">
        <v>32000.0</v>
      </c>
      <c r="H67" s="187">
        <f t="shared" si="17"/>
        <v>32000</v>
      </c>
      <c r="I67" s="222">
        <v>38000.0</v>
      </c>
      <c r="J67" s="215">
        <f t="shared" si="18"/>
        <v>38000</v>
      </c>
      <c r="K67" s="194">
        <f t="shared" si="19"/>
        <v>6000</v>
      </c>
      <c r="L67" s="195">
        <f t="shared" si="20"/>
        <v>0.1875</v>
      </c>
      <c r="M67" s="196"/>
    </row>
    <row r="68" ht="15.75" customHeight="1">
      <c r="A68" s="159">
        <v>7.0</v>
      </c>
      <c r="B68" s="226" t="s">
        <v>1935</v>
      </c>
      <c r="C68" s="159" t="s">
        <v>109</v>
      </c>
      <c r="D68" s="227">
        <v>1.0</v>
      </c>
      <c r="E68" s="184"/>
      <c r="F68" s="185" t="str">
        <f t="shared" si="16"/>
        <v/>
      </c>
      <c r="G68" s="221">
        <v>30000.0</v>
      </c>
      <c r="H68" s="187">
        <f t="shared" si="17"/>
        <v>30000</v>
      </c>
      <c r="I68" s="222">
        <v>40000.0</v>
      </c>
      <c r="J68" s="215">
        <f t="shared" si="18"/>
        <v>40000</v>
      </c>
      <c r="K68" s="190">
        <f t="shared" si="19"/>
        <v>10000</v>
      </c>
      <c r="L68" s="191">
        <f t="shared" si="20"/>
        <v>0.3333333333</v>
      </c>
      <c r="M68" s="192"/>
    </row>
    <row r="69" ht="15.75" customHeight="1">
      <c r="A69" s="164">
        <v>8.0</v>
      </c>
      <c r="B69" s="197" t="s">
        <v>1543</v>
      </c>
      <c r="C69" s="164" t="s">
        <v>109</v>
      </c>
      <c r="D69" s="198">
        <v>2.0</v>
      </c>
      <c r="E69" s="184"/>
      <c r="F69" s="185" t="str">
        <f t="shared" si="16"/>
        <v/>
      </c>
      <c r="G69" s="221">
        <v>7000.0</v>
      </c>
      <c r="H69" s="187">
        <f t="shared" si="17"/>
        <v>14000</v>
      </c>
      <c r="I69" s="222">
        <v>10000.0</v>
      </c>
      <c r="J69" s="215">
        <f t="shared" si="18"/>
        <v>20000</v>
      </c>
      <c r="K69" s="194">
        <f t="shared" si="19"/>
        <v>6000</v>
      </c>
      <c r="L69" s="195">
        <f t="shared" si="20"/>
        <v>0.4285714286</v>
      </c>
      <c r="M69" s="196"/>
    </row>
    <row r="70" ht="15.75" customHeight="1">
      <c r="A70" s="159">
        <v>9.0</v>
      </c>
      <c r="B70" s="226" t="s">
        <v>1936</v>
      </c>
      <c r="C70" s="159" t="s">
        <v>109</v>
      </c>
      <c r="D70" s="227">
        <v>1.0</v>
      </c>
      <c r="E70" s="184"/>
      <c r="F70" s="185" t="str">
        <f t="shared" si="16"/>
        <v/>
      </c>
      <c r="G70" s="221">
        <v>120000.0</v>
      </c>
      <c r="H70" s="187">
        <f t="shared" si="17"/>
        <v>120000</v>
      </c>
      <c r="I70" s="222">
        <v>130000.0</v>
      </c>
      <c r="J70" s="215">
        <f t="shared" si="18"/>
        <v>130000</v>
      </c>
      <c r="K70" s="190">
        <f t="shared" si="19"/>
        <v>10000</v>
      </c>
      <c r="L70" s="191">
        <f t="shared" si="20"/>
        <v>0.08333333333</v>
      </c>
      <c r="M70" s="192"/>
    </row>
    <row r="71" ht="15.75" customHeight="1">
      <c r="A71" s="164">
        <v>10.0</v>
      </c>
      <c r="B71" s="197" t="s">
        <v>1680</v>
      </c>
      <c r="C71" s="164" t="s">
        <v>109</v>
      </c>
      <c r="D71" s="198">
        <v>0.5</v>
      </c>
      <c r="E71" s="184"/>
      <c r="F71" s="185" t="str">
        <f t="shared" si="16"/>
        <v/>
      </c>
      <c r="G71" s="221">
        <v>16000.0</v>
      </c>
      <c r="H71" s="187">
        <f t="shared" si="17"/>
        <v>8000</v>
      </c>
      <c r="I71" s="222">
        <v>20000.0</v>
      </c>
      <c r="J71" s="215">
        <f t="shared" si="18"/>
        <v>10000</v>
      </c>
      <c r="K71" s="194">
        <f t="shared" si="19"/>
        <v>2000</v>
      </c>
      <c r="L71" s="195">
        <f t="shared" si="20"/>
        <v>0.25</v>
      </c>
      <c r="M71" s="196"/>
    </row>
    <row r="72" ht="15.75" customHeight="1">
      <c r="A72" s="159">
        <v>11.0</v>
      </c>
      <c r="B72" s="226" t="s">
        <v>1655</v>
      </c>
      <c r="C72" s="159" t="s">
        <v>1559</v>
      </c>
      <c r="D72" s="227">
        <v>2.0</v>
      </c>
      <c r="E72" s="184"/>
      <c r="F72" s="185" t="str">
        <f t="shared" si="16"/>
        <v/>
      </c>
      <c r="G72" s="221">
        <v>18500.0</v>
      </c>
      <c r="H72" s="187">
        <f t="shared" si="17"/>
        <v>37000</v>
      </c>
      <c r="I72" s="222">
        <v>20000.0</v>
      </c>
      <c r="J72" s="215">
        <f t="shared" si="18"/>
        <v>40000</v>
      </c>
      <c r="K72" s="190">
        <f t="shared" si="19"/>
        <v>3000</v>
      </c>
      <c r="L72" s="191">
        <f t="shared" si="20"/>
        <v>0.08108108108</v>
      </c>
      <c r="M72" s="192"/>
    </row>
    <row r="73" ht="15.75" customHeight="1">
      <c r="A73" s="164">
        <v>12.0</v>
      </c>
      <c r="B73" s="197" t="s">
        <v>1681</v>
      </c>
      <c r="C73" s="164" t="s">
        <v>1579</v>
      </c>
      <c r="D73" s="198">
        <v>30.0</v>
      </c>
      <c r="E73" s="184"/>
      <c r="F73" s="185" t="str">
        <f t="shared" si="16"/>
        <v/>
      </c>
      <c r="G73" s="221">
        <v>21500.0</v>
      </c>
      <c r="H73" s="187">
        <f t="shared" si="17"/>
        <v>645000</v>
      </c>
      <c r="I73" s="222">
        <v>24000.0</v>
      </c>
      <c r="J73" s="215">
        <f t="shared" si="18"/>
        <v>720000</v>
      </c>
      <c r="K73" s="194">
        <f t="shared" si="19"/>
        <v>75000</v>
      </c>
      <c r="L73" s="195">
        <f t="shared" si="20"/>
        <v>0.1162790698</v>
      </c>
      <c r="M73" s="196"/>
    </row>
    <row r="74" ht="15.75" customHeight="1">
      <c r="A74" s="159">
        <v>13.0</v>
      </c>
      <c r="B74" s="226" t="s">
        <v>1171</v>
      </c>
      <c r="C74" s="159" t="s">
        <v>109</v>
      </c>
      <c r="D74" s="227">
        <v>60.5</v>
      </c>
      <c r="E74" s="184"/>
      <c r="F74" s="185" t="str">
        <f t="shared" si="16"/>
        <v/>
      </c>
      <c r="G74" s="221">
        <v>25000.0</v>
      </c>
      <c r="H74" s="187">
        <f t="shared" si="17"/>
        <v>1512500</v>
      </c>
      <c r="I74" s="222">
        <v>28000.0</v>
      </c>
      <c r="J74" s="219">
        <f t="shared" si="18"/>
        <v>1694000</v>
      </c>
      <c r="K74" s="190">
        <f t="shared" si="19"/>
        <v>181500</v>
      </c>
      <c r="L74" s="191">
        <f t="shared" si="20"/>
        <v>0.12</v>
      </c>
      <c r="M74" s="192"/>
    </row>
    <row r="75" ht="19.5" customHeight="1">
      <c r="A75" s="205" t="s">
        <v>1937</v>
      </c>
      <c r="B75" s="206"/>
      <c r="C75" s="206"/>
      <c r="D75" s="174"/>
      <c r="E75" s="207"/>
      <c r="F75" s="208">
        <f>SUMIF(F62:F74,"&lt;&gt;",F62:F74)</f>
        <v>0</v>
      </c>
      <c r="G75" s="208"/>
      <c r="H75" s="208">
        <f>SUMIF(H62:H74,"&lt;&gt;",H62:H74)</f>
        <v>4479500</v>
      </c>
      <c r="I75" s="348"/>
      <c r="J75" s="210">
        <f>SUMIF(J62:J74,"&lt;&gt;",J62:J74)</f>
        <v>4976000</v>
      </c>
      <c r="K75" s="211">
        <f t="shared" si="19"/>
        <v>496500</v>
      </c>
      <c r="L75" s="212">
        <f t="shared" si="20"/>
        <v>0.1108382632</v>
      </c>
      <c r="M75" s="207"/>
    </row>
    <row r="76" ht="15.75" customHeight="1"/>
    <row r="77" ht="15.75" customHeight="1">
      <c r="A77" s="228" t="s">
        <v>1639</v>
      </c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6"/>
    </row>
    <row r="78" ht="15.75" customHeight="1">
      <c r="A78" s="229" t="s">
        <v>1509</v>
      </c>
      <c r="B78" s="229" t="s">
        <v>1510</v>
      </c>
      <c r="C78" s="229" t="s">
        <v>1511</v>
      </c>
      <c r="D78" s="229" t="s">
        <v>1614</v>
      </c>
      <c r="E78" s="230" t="s">
        <v>1615</v>
      </c>
      <c r="F78" s="174"/>
      <c r="G78" s="231" t="s">
        <v>1616</v>
      </c>
      <c r="H78" s="174"/>
      <c r="I78" s="232" t="s">
        <v>1617</v>
      </c>
      <c r="J78" s="174"/>
      <c r="K78" s="233" t="s">
        <v>1618</v>
      </c>
      <c r="L78" s="174"/>
      <c r="M78" s="229" t="s">
        <v>1619</v>
      </c>
    </row>
    <row r="79" ht="15.75" customHeight="1">
      <c r="A79" s="234" t="s">
        <v>1509</v>
      </c>
      <c r="B79" s="234" t="s">
        <v>1510</v>
      </c>
      <c r="C79" s="234" t="s">
        <v>1511</v>
      </c>
      <c r="D79" s="234" t="s">
        <v>1614</v>
      </c>
      <c r="E79" s="235" t="s">
        <v>1620</v>
      </c>
      <c r="F79" s="235" t="s">
        <v>1621</v>
      </c>
      <c r="G79" s="236" t="s">
        <v>1622</v>
      </c>
      <c r="H79" s="236" t="s">
        <v>1623</v>
      </c>
      <c r="I79" s="237" t="s">
        <v>1624</v>
      </c>
      <c r="J79" s="237" t="s">
        <v>1625</v>
      </c>
      <c r="K79" s="238" t="s">
        <v>1626</v>
      </c>
      <c r="L79" s="238" t="s">
        <v>1627</v>
      </c>
      <c r="M79" s="234" t="s">
        <v>1619</v>
      </c>
    </row>
    <row r="80" ht="15.75" customHeight="1">
      <c r="A80" s="239">
        <v>1.0</v>
      </c>
      <c r="B80" s="240" t="s">
        <v>1116</v>
      </c>
      <c r="C80" s="239" t="s">
        <v>109</v>
      </c>
      <c r="D80" s="213">
        <v>163.0</v>
      </c>
      <c r="E80" s="241">
        <f>'Daftar Harga'!D82</f>
        <v>9000</v>
      </c>
      <c r="F80" s="242">
        <f t="shared" ref="F80:F92" si="21">IF(E80&lt;&gt;"",D80*E80,"")</f>
        <v>1467000</v>
      </c>
      <c r="G80" s="199">
        <v>33000.0</v>
      </c>
      <c r="H80" s="349">
        <f t="shared" ref="H80:H92" si="22">IF(G80&lt;&gt;"",D80*G80,"")</f>
        <v>5379000</v>
      </c>
      <c r="I80" s="188">
        <v>38000.0</v>
      </c>
      <c r="J80" s="244">
        <f t="shared" ref="J80:J92" si="23">IF(I80&lt;&gt;"",D80*I80,"")</f>
        <v>6194000</v>
      </c>
      <c r="K80" s="245">
        <f t="shared" ref="K80:K93" si="24">IF(J80&lt;&gt;"",IF(H80&lt;&gt;"",J80-H80,IF(F80&lt;&gt;"",J80-F80,"")),"")</f>
        <v>815000</v>
      </c>
      <c r="L80" s="246">
        <f t="shared" ref="L80:L93" si="25">IF(K80&lt;&gt;"",IF(H80&lt;&gt;"",IF(H80&lt;&gt;0,K80/H80,""),IF(F80&lt;&gt;"",IF(F80&lt;&gt;0,K80/F80,""),"")),"")</f>
        <v>0.1515151515</v>
      </c>
      <c r="M80" s="247"/>
    </row>
    <row r="81" ht="15.75" customHeight="1">
      <c r="A81" s="248">
        <v>2.0</v>
      </c>
      <c r="B81" s="249" t="s">
        <v>1934</v>
      </c>
      <c r="C81" s="248" t="s">
        <v>109</v>
      </c>
      <c r="D81" s="216">
        <v>1.0</v>
      </c>
      <c r="E81" s="241">
        <f>'Daftar Harga'!D85</f>
        <v>18500</v>
      </c>
      <c r="F81" s="242">
        <f t="shared" si="21"/>
        <v>18500</v>
      </c>
      <c r="G81" s="186">
        <v>40000.0</v>
      </c>
      <c r="H81" s="243">
        <f t="shared" si="22"/>
        <v>40000</v>
      </c>
      <c r="I81" s="200">
        <v>42500.0</v>
      </c>
      <c r="J81" s="244">
        <f t="shared" si="23"/>
        <v>42500</v>
      </c>
      <c r="K81" s="250">
        <f t="shared" si="24"/>
        <v>2500</v>
      </c>
      <c r="L81" s="251">
        <f t="shared" si="25"/>
        <v>0.0625</v>
      </c>
      <c r="M81" s="252"/>
    </row>
    <row r="82" ht="15.75" customHeight="1">
      <c r="A82" s="239">
        <v>3.0</v>
      </c>
      <c r="B82" s="240" t="s">
        <v>1527</v>
      </c>
      <c r="C82" s="239" t="s">
        <v>109</v>
      </c>
      <c r="D82" s="213">
        <v>100.0</v>
      </c>
      <c r="E82" s="241">
        <f>'Daftar Harga'!D91</f>
        <v>500</v>
      </c>
      <c r="F82" s="242">
        <f t="shared" si="21"/>
        <v>50000</v>
      </c>
      <c r="G82" s="186">
        <v>14500.0</v>
      </c>
      <c r="H82" s="243">
        <f t="shared" si="22"/>
        <v>1450000</v>
      </c>
      <c r="I82" s="188">
        <v>15500.0</v>
      </c>
      <c r="J82" s="244">
        <f t="shared" si="23"/>
        <v>1550000</v>
      </c>
      <c r="K82" s="245">
        <f t="shared" si="24"/>
        <v>100000</v>
      </c>
      <c r="L82" s="246">
        <f t="shared" si="25"/>
        <v>0.06896551724</v>
      </c>
      <c r="M82" s="247"/>
    </row>
    <row r="83" ht="15.75" customHeight="1">
      <c r="A83" s="248">
        <v>4.0</v>
      </c>
      <c r="B83" s="249" t="s">
        <v>1543</v>
      </c>
      <c r="C83" s="248" t="s">
        <v>109</v>
      </c>
      <c r="D83" s="216">
        <v>1.0</v>
      </c>
      <c r="E83" s="241" t="str">
        <f>'Daftar Harga'!D109</f>
        <v/>
      </c>
      <c r="F83" s="242" t="str">
        <f t="shared" si="21"/>
        <v/>
      </c>
      <c r="G83" s="186">
        <v>7000.0</v>
      </c>
      <c r="H83" s="243">
        <f t="shared" si="22"/>
        <v>7000</v>
      </c>
      <c r="I83" s="188">
        <v>10000.0</v>
      </c>
      <c r="J83" s="244">
        <f t="shared" si="23"/>
        <v>10000</v>
      </c>
      <c r="K83" s="250">
        <f t="shared" si="24"/>
        <v>3000</v>
      </c>
      <c r="L83" s="251">
        <f t="shared" si="25"/>
        <v>0.4285714286</v>
      </c>
      <c r="M83" s="252"/>
    </row>
    <row r="84" ht="15.75" customHeight="1">
      <c r="A84" s="239">
        <v>5.0</v>
      </c>
      <c r="B84" s="240" t="s">
        <v>1655</v>
      </c>
      <c r="C84" s="239" t="s">
        <v>109</v>
      </c>
      <c r="D84" s="213">
        <v>2.0</v>
      </c>
      <c r="E84" s="241" t="str">
        <f>'Daftar Harga'!D112</f>
        <v/>
      </c>
      <c r="F84" s="242" t="str">
        <f t="shared" si="21"/>
        <v/>
      </c>
      <c r="G84" s="186">
        <v>18500.0</v>
      </c>
      <c r="H84" s="243">
        <f t="shared" si="22"/>
        <v>37000</v>
      </c>
      <c r="I84" s="188">
        <v>20000.0</v>
      </c>
      <c r="J84" s="244">
        <f t="shared" si="23"/>
        <v>40000</v>
      </c>
      <c r="K84" s="245">
        <f t="shared" si="24"/>
        <v>3000</v>
      </c>
      <c r="L84" s="246">
        <f t="shared" si="25"/>
        <v>0.08108108108</v>
      </c>
      <c r="M84" s="247"/>
    </row>
    <row r="85" ht="15.75" customHeight="1">
      <c r="A85" s="248">
        <v>6.0</v>
      </c>
      <c r="B85" s="249" t="s">
        <v>1223</v>
      </c>
      <c r="C85" s="248" t="s">
        <v>109</v>
      </c>
      <c r="D85" s="216">
        <v>13.0</v>
      </c>
      <c r="E85" s="241" t="str">
        <f>'Daftar Harga'!D115</f>
        <v/>
      </c>
      <c r="F85" s="242" t="str">
        <f t="shared" si="21"/>
        <v/>
      </c>
      <c r="G85" s="199">
        <v>22000.0</v>
      </c>
      <c r="H85" s="243">
        <f t="shared" si="22"/>
        <v>286000</v>
      </c>
      <c r="I85" s="200">
        <v>24000.0</v>
      </c>
      <c r="J85" s="244">
        <f t="shared" si="23"/>
        <v>312000</v>
      </c>
      <c r="K85" s="250">
        <f t="shared" si="24"/>
        <v>26000</v>
      </c>
      <c r="L85" s="251">
        <f t="shared" si="25"/>
        <v>0.09090909091</v>
      </c>
      <c r="M85" s="252"/>
    </row>
    <row r="86" ht="15.75" customHeight="1">
      <c r="A86" s="239">
        <v>7.0</v>
      </c>
      <c r="B86" s="240" t="s">
        <v>1643</v>
      </c>
      <c r="C86" s="239" t="s">
        <v>1559</v>
      </c>
      <c r="D86" s="213">
        <v>2.0</v>
      </c>
      <c r="E86" s="241" t="str">
        <f>'Daftar Harga'!D126</f>
        <v/>
      </c>
      <c r="F86" s="242" t="str">
        <f t="shared" si="21"/>
        <v/>
      </c>
      <c r="G86" s="186">
        <v>190000.0</v>
      </c>
      <c r="H86" s="243">
        <f t="shared" si="22"/>
        <v>380000</v>
      </c>
      <c r="I86" s="188">
        <v>210000.0</v>
      </c>
      <c r="J86" s="244">
        <f t="shared" si="23"/>
        <v>420000</v>
      </c>
      <c r="K86" s="245">
        <f t="shared" si="24"/>
        <v>40000</v>
      </c>
      <c r="L86" s="246">
        <f t="shared" si="25"/>
        <v>0.1052631579</v>
      </c>
      <c r="M86" s="247"/>
    </row>
    <row r="87" ht="15.75" customHeight="1">
      <c r="A87" s="248">
        <v>8.0</v>
      </c>
      <c r="B87" s="249" t="s">
        <v>1563</v>
      </c>
      <c r="C87" s="248" t="s">
        <v>109</v>
      </c>
      <c r="D87" s="216">
        <v>0.5</v>
      </c>
      <c r="E87" s="241" t="str">
        <f>'Daftar Harga'!D129</f>
        <v/>
      </c>
      <c r="F87" s="242" t="str">
        <f t="shared" si="21"/>
        <v/>
      </c>
      <c r="G87" s="186">
        <v>45000.0</v>
      </c>
      <c r="H87" s="243">
        <f t="shared" si="22"/>
        <v>22500</v>
      </c>
      <c r="I87" s="188">
        <v>55000.0</v>
      </c>
      <c r="J87" s="244">
        <f t="shared" si="23"/>
        <v>27500</v>
      </c>
      <c r="K87" s="250">
        <f t="shared" si="24"/>
        <v>5000</v>
      </c>
      <c r="L87" s="251">
        <f t="shared" si="25"/>
        <v>0.2222222222</v>
      </c>
      <c r="M87" s="252"/>
    </row>
    <row r="88" ht="15.75" customHeight="1">
      <c r="A88" s="239">
        <v>9.0</v>
      </c>
      <c r="B88" s="240" t="s">
        <v>1577</v>
      </c>
      <c r="C88" s="239" t="s">
        <v>109</v>
      </c>
      <c r="D88" s="213">
        <v>3.0</v>
      </c>
      <c r="E88" s="241" t="str">
        <f>'Daftar Harga'!D146</f>
        <v/>
      </c>
      <c r="F88" s="242" t="str">
        <f t="shared" si="21"/>
        <v/>
      </c>
      <c r="G88" s="186">
        <v>25000.0</v>
      </c>
      <c r="H88" s="243">
        <f t="shared" si="22"/>
        <v>75000</v>
      </c>
      <c r="I88" s="188">
        <v>25000.0</v>
      </c>
      <c r="J88" s="244">
        <f t="shared" si="23"/>
        <v>75000</v>
      </c>
      <c r="K88" s="245">
        <f t="shared" si="24"/>
        <v>0</v>
      </c>
      <c r="L88" s="246">
        <f t="shared" si="25"/>
        <v>0</v>
      </c>
      <c r="M88" s="247"/>
    </row>
    <row r="89" ht="15.75" customHeight="1">
      <c r="A89" s="248">
        <v>10.0</v>
      </c>
      <c r="B89" s="249" t="s">
        <v>1112</v>
      </c>
      <c r="C89" s="248" t="s">
        <v>109</v>
      </c>
      <c r="D89" s="216">
        <v>176.4</v>
      </c>
      <c r="E89" s="241" t="str">
        <f>'Daftar Harga'!D163</f>
        <v/>
      </c>
      <c r="F89" s="242" t="str">
        <f t="shared" si="21"/>
        <v/>
      </c>
      <c r="G89" s="186">
        <v>18500.0</v>
      </c>
      <c r="H89" s="243">
        <f t="shared" si="22"/>
        <v>3263400</v>
      </c>
      <c r="I89" s="200">
        <v>19500.0</v>
      </c>
      <c r="J89" s="244">
        <f t="shared" si="23"/>
        <v>3439800</v>
      </c>
      <c r="K89" s="250">
        <f t="shared" si="24"/>
        <v>176400</v>
      </c>
      <c r="L89" s="251">
        <f t="shared" si="25"/>
        <v>0.05405405405</v>
      </c>
      <c r="M89" s="252"/>
    </row>
    <row r="90" ht="15.75" customHeight="1">
      <c r="A90" s="239">
        <v>11.0</v>
      </c>
      <c r="B90" s="240" t="s">
        <v>1595</v>
      </c>
      <c r="C90" s="239" t="s">
        <v>109</v>
      </c>
      <c r="D90" s="213">
        <v>1.0</v>
      </c>
      <c r="E90" s="241" t="str">
        <f>'Daftar Harga'!D164</f>
        <v/>
      </c>
      <c r="F90" s="242" t="str">
        <f t="shared" si="21"/>
        <v/>
      </c>
      <c r="G90" s="186">
        <v>10667.0</v>
      </c>
      <c r="H90" s="243">
        <f t="shared" si="22"/>
        <v>10667</v>
      </c>
      <c r="I90" s="188">
        <v>15000.0</v>
      </c>
      <c r="J90" s="244">
        <f t="shared" si="23"/>
        <v>15000</v>
      </c>
      <c r="K90" s="245">
        <f t="shared" si="24"/>
        <v>4333</v>
      </c>
      <c r="L90" s="246">
        <f t="shared" si="25"/>
        <v>0.4062060561</v>
      </c>
      <c r="M90" s="247"/>
    </row>
    <row r="91" ht="15.75" customHeight="1">
      <c r="A91" s="248">
        <v>12.0</v>
      </c>
      <c r="B91" s="249" t="s">
        <v>1599</v>
      </c>
      <c r="C91" s="248" t="s">
        <v>69</v>
      </c>
      <c r="D91" s="216">
        <v>1570.0</v>
      </c>
      <c r="E91" s="241" t="str">
        <f>'Daftar Harga'!D170</f>
        <v/>
      </c>
      <c r="F91" s="242" t="str">
        <f t="shared" si="21"/>
        <v/>
      </c>
      <c r="G91" s="199">
        <v>560.0</v>
      </c>
      <c r="H91" s="243">
        <f t="shared" si="22"/>
        <v>879200</v>
      </c>
      <c r="I91" s="188">
        <v>700.0</v>
      </c>
      <c r="J91" s="244">
        <f t="shared" si="23"/>
        <v>1099000</v>
      </c>
      <c r="K91" s="250">
        <f t="shared" si="24"/>
        <v>219800</v>
      </c>
      <c r="L91" s="251">
        <f t="shared" si="25"/>
        <v>0.25</v>
      </c>
      <c r="M91" s="252"/>
    </row>
    <row r="92" ht="15.75" customHeight="1">
      <c r="A92" s="239">
        <v>13.0</v>
      </c>
      <c r="B92" s="240" t="s">
        <v>1609</v>
      </c>
      <c r="C92" s="239" t="s">
        <v>109</v>
      </c>
      <c r="D92" s="213">
        <v>48.0</v>
      </c>
      <c r="E92" s="241" t="str">
        <f>'Daftar Harga'!D185</f>
        <v/>
      </c>
      <c r="F92" s="242" t="str">
        <f t="shared" si="21"/>
        <v/>
      </c>
      <c r="G92" s="186">
        <v>15000.0</v>
      </c>
      <c r="H92" s="243">
        <f t="shared" si="22"/>
        <v>720000</v>
      </c>
      <c r="I92" s="200">
        <v>17000.0</v>
      </c>
      <c r="J92" s="244">
        <f t="shared" si="23"/>
        <v>816000</v>
      </c>
      <c r="K92" s="245">
        <f t="shared" si="24"/>
        <v>96000</v>
      </c>
      <c r="L92" s="246">
        <f t="shared" si="25"/>
        <v>0.1333333333</v>
      </c>
      <c r="M92" s="247"/>
    </row>
    <row r="93" ht="15.75" customHeight="1">
      <c r="A93" s="256" t="s">
        <v>1646</v>
      </c>
      <c r="B93" s="206"/>
      <c r="C93" s="206"/>
      <c r="D93" s="174"/>
      <c r="E93" s="257"/>
      <c r="F93" s="258">
        <f>SUMIF(F80:F92,"&lt;&gt;",F80:F92)</f>
        <v>1535500</v>
      </c>
      <c r="G93" s="257"/>
      <c r="H93" s="258">
        <f>SUMIF(H80:H92,"&lt;&gt;",H80:H92)</f>
        <v>12549767</v>
      </c>
      <c r="I93" s="257"/>
      <c r="J93" s="258">
        <f>SUMIF(J80:J92,"&lt;&gt;",J80:J92)</f>
        <v>14040800</v>
      </c>
      <c r="K93" s="258">
        <f t="shared" si="24"/>
        <v>1491033</v>
      </c>
      <c r="L93" s="262">
        <f t="shared" si="25"/>
        <v>0.1188096161</v>
      </c>
      <c r="M93" s="257"/>
    </row>
    <row r="94" ht="15.75" customHeight="1"/>
    <row r="95">
      <c r="A95" s="228" t="s">
        <v>1647</v>
      </c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6"/>
    </row>
    <row r="96">
      <c r="A96" s="229" t="s">
        <v>1509</v>
      </c>
      <c r="B96" s="229" t="s">
        <v>1510</v>
      </c>
      <c r="C96" s="229" t="s">
        <v>1511</v>
      </c>
      <c r="D96" s="229" t="s">
        <v>1614</v>
      </c>
      <c r="E96" s="230" t="s">
        <v>1615</v>
      </c>
      <c r="F96" s="174"/>
      <c r="G96" s="231" t="s">
        <v>1616</v>
      </c>
      <c r="H96" s="174"/>
      <c r="I96" s="232" t="s">
        <v>1617</v>
      </c>
      <c r="J96" s="174"/>
      <c r="K96" s="233" t="s">
        <v>1618</v>
      </c>
      <c r="L96" s="174"/>
      <c r="M96" s="229" t="s">
        <v>1619</v>
      </c>
    </row>
    <row r="97" ht="15.75" customHeight="1">
      <c r="A97" s="234" t="s">
        <v>1509</v>
      </c>
      <c r="B97" s="234" t="s">
        <v>1510</v>
      </c>
      <c r="C97" s="234" t="s">
        <v>1511</v>
      </c>
      <c r="D97" s="234" t="s">
        <v>1614</v>
      </c>
      <c r="E97" s="235" t="s">
        <v>1620</v>
      </c>
      <c r="F97" s="235" t="s">
        <v>1621</v>
      </c>
      <c r="G97" s="236" t="s">
        <v>1622</v>
      </c>
      <c r="H97" s="236" t="s">
        <v>1623</v>
      </c>
      <c r="I97" s="237" t="s">
        <v>1624</v>
      </c>
      <c r="J97" s="237" t="s">
        <v>1625</v>
      </c>
      <c r="K97" s="238" t="s">
        <v>1626</v>
      </c>
      <c r="L97" s="238" t="s">
        <v>1627</v>
      </c>
      <c r="M97" s="234" t="s">
        <v>1619</v>
      </c>
    </row>
    <row r="98" ht="15.75" customHeight="1">
      <c r="A98" s="239">
        <v>1.0</v>
      </c>
      <c r="B98" s="240" t="s">
        <v>1934</v>
      </c>
      <c r="C98" s="239" t="s">
        <v>109</v>
      </c>
      <c r="D98" s="213">
        <v>1.5</v>
      </c>
      <c r="E98" s="241">
        <f>'Daftar Harga'!D85</f>
        <v>18500</v>
      </c>
      <c r="F98" s="242">
        <f t="shared" ref="F98:F118" si="26">IF(E98&lt;&gt;"",D98*E98,"")</f>
        <v>27750</v>
      </c>
      <c r="G98" s="186">
        <v>40000.0</v>
      </c>
      <c r="H98" s="243">
        <f t="shared" ref="H98:H118" si="27">IF(G98&lt;&gt;"",D98*G98,"")</f>
        <v>60000</v>
      </c>
      <c r="I98" s="188">
        <v>45000.0</v>
      </c>
      <c r="J98" s="253">
        <f t="shared" ref="J98:J118" si="28">IF(I98&lt;&gt;"",D98*I98,"")</f>
        <v>67500</v>
      </c>
      <c r="K98" s="245">
        <f t="shared" ref="K98:K119" si="29">IF(J98&lt;&gt;"",IF(H98&lt;&gt;"",J98-H98,IF(F98&lt;&gt;"",J98-F98,"")),"")</f>
        <v>7500</v>
      </c>
      <c r="L98" s="246">
        <f t="shared" ref="L98:L119" si="30">IF(K98&lt;&gt;"",IF(H98&lt;&gt;"",IF(H98&lt;&gt;0,K98/H98,""),IF(F98&lt;&gt;"",IF(F98&lt;&gt;0,K98/F98,""),"")),"")</f>
        <v>0.125</v>
      </c>
      <c r="M98" s="247"/>
    </row>
    <row r="99" ht="15.75" customHeight="1">
      <c r="A99" s="248">
        <v>2.0</v>
      </c>
      <c r="B99" s="249" t="s">
        <v>1935</v>
      </c>
      <c r="C99" s="248" t="s">
        <v>109</v>
      </c>
      <c r="D99" s="216">
        <v>1.5</v>
      </c>
      <c r="E99" s="241">
        <f>'Daftar Harga'!D87</f>
        <v>3264</v>
      </c>
      <c r="F99" s="242">
        <f t="shared" si="26"/>
        <v>4896</v>
      </c>
      <c r="G99" s="186">
        <v>30000.0</v>
      </c>
      <c r="H99" s="243">
        <f t="shared" si="27"/>
        <v>45000</v>
      </c>
      <c r="I99" s="188">
        <v>36000.0</v>
      </c>
      <c r="J99" s="253">
        <f t="shared" si="28"/>
        <v>54000</v>
      </c>
      <c r="K99" s="250">
        <f t="shared" si="29"/>
        <v>9000</v>
      </c>
      <c r="L99" s="251">
        <f t="shared" si="30"/>
        <v>0.2</v>
      </c>
      <c r="M99" s="252"/>
    </row>
    <row r="100" ht="15.75" customHeight="1">
      <c r="A100" s="239">
        <v>3.0</v>
      </c>
      <c r="B100" s="240" t="s">
        <v>1527</v>
      </c>
      <c r="C100" s="239" t="s">
        <v>109</v>
      </c>
      <c r="D100" s="213">
        <v>100.0</v>
      </c>
      <c r="E100" s="241">
        <f>'Daftar Harga'!D91</f>
        <v>500</v>
      </c>
      <c r="F100" s="242">
        <f t="shared" si="26"/>
        <v>50000</v>
      </c>
      <c r="G100" s="186">
        <v>14500.0</v>
      </c>
      <c r="H100" s="243">
        <f t="shared" si="27"/>
        <v>1450000</v>
      </c>
      <c r="I100" s="188">
        <v>15500.0</v>
      </c>
      <c r="J100" s="244">
        <f t="shared" si="28"/>
        <v>1550000</v>
      </c>
      <c r="K100" s="245">
        <f t="shared" si="29"/>
        <v>100000</v>
      </c>
      <c r="L100" s="246">
        <f t="shared" si="30"/>
        <v>0.06896551724</v>
      </c>
      <c r="M100" s="247"/>
    </row>
    <row r="101" ht="15.75" customHeight="1">
      <c r="A101" s="248">
        <v>4.0</v>
      </c>
      <c r="B101" s="249" t="s">
        <v>1642</v>
      </c>
      <c r="C101" s="248" t="s">
        <v>109</v>
      </c>
      <c r="D101" s="216">
        <v>5.0</v>
      </c>
      <c r="E101" s="241" t="str">
        <f>'Daftar Harga'!D103</f>
        <v/>
      </c>
      <c r="F101" s="242" t="str">
        <f t="shared" si="26"/>
        <v/>
      </c>
      <c r="G101" s="186">
        <v>15000.0</v>
      </c>
      <c r="H101" s="243">
        <f t="shared" si="27"/>
        <v>75000</v>
      </c>
      <c r="I101" s="188">
        <v>12000.0</v>
      </c>
      <c r="J101" s="253">
        <f t="shared" si="28"/>
        <v>60000</v>
      </c>
      <c r="K101" s="250">
        <f t="shared" si="29"/>
        <v>-15000</v>
      </c>
      <c r="L101" s="251">
        <f t="shared" si="30"/>
        <v>-0.2</v>
      </c>
      <c r="M101" s="252"/>
    </row>
    <row r="102" ht="15.75" customHeight="1">
      <c r="A102" s="239">
        <v>5.0</v>
      </c>
      <c r="B102" s="240" t="s">
        <v>1542</v>
      </c>
      <c r="C102" s="239" t="s">
        <v>109</v>
      </c>
      <c r="D102" s="213">
        <v>0.25</v>
      </c>
      <c r="E102" s="241" t="str">
        <f>'Daftar Harga'!D107</f>
        <v/>
      </c>
      <c r="F102" s="242" t="str">
        <f t="shared" si="26"/>
        <v/>
      </c>
      <c r="G102" s="186">
        <v>12000.0</v>
      </c>
      <c r="H102" s="243">
        <f t="shared" si="27"/>
        <v>3000</v>
      </c>
      <c r="I102" s="188">
        <v>16000.0</v>
      </c>
      <c r="J102" s="253">
        <f t="shared" si="28"/>
        <v>4000</v>
      </c>
      <c r="K102" s="245">
        <f t="shared" si="29"/>
        <v>1000</v>
      </c>
      <c r="L102" s="246">
        <f t="shared" si="30"/>
        <v>0.3333333333</v>
      </c>
      <c r="M102" s="247"/>
    </row>
    <row r="103" ht="15.75" customHeight="1">
      <c r="A103" s="248">
        <v>6.0</v>
      </c>
      <c r="B103" s="249" t="s">
        <v>1543</v>
      </c>
      <c r="C103" s="248" t="s">
        <v>109</v>
      </c>
      <c r="D103" s="216">
        <v>4.0</v>
      </c>
      <c r="E103" s="241" t="str">
        <f>'Daftar Harga'!D109</f>
        <v/>
      </c>
      <c r="F103" s="242" t="str">
        <f t="shared" si="26"/>
        <v/>
      </c>
      <c r="G103" s="186">
        <v>7000.0</v>
      </c>
      <c r="H103" s="243">
        <f t="shared" si="27"/>
        <v>28000</v>
      </c>
      <c r="I103" s="188">
        <v>10000.0</v>
      </c>
      <c r="J103" s="253">
        <f t="shared" si="28"/>
        <v>40000</v>
      </c>
      <c r="K103" s="250">
        <f t="shared" si="29"/>
        <v>12000</v>
      </c>
      <c r="L103" s="251">
        <f t="shared" si="30"/>
        <v>0.4285714286</v>
      </c>
      <c r="M103" s="252"/>
    </row>
    <row r="104" ht="15.75" customHeight="1">
      <c r="A104" s="239">
        <v>7.0</v>
      </c>
      <c r="B104" s="240" t="s">
        <v>1655</v>
      </c>
      <c r="C104" s="239" t="s">
        <v>109</v>
      </c>
      <c r="D104" s="213">
        <v>1.0</v>
      </c>
      <c r="E104" s="241" t="str">
        <f>'Daftar Harga'!D112</f>
        <v/>
      </c>
      <c r="F104" s="242" t="str">
        <f t="shared" si="26"/>
        <v/>
      </c>
      <c r="G104" s="186">
        <v>18500.0</v>
      </c>
      <c r="H104" s="243">
        <f t="shared" si="27"/>
        <v>18500</v>
      </c>
      <c r="I104" s="188">
        <v>20000.0</v>
      </c>
      <c r="J104" s="253">
        <f t="shared" si="28"/>
        <v>20000</v>
      </c>
      <c r="K104" s="245">
        <f t="shared" si="29"/>
        <v>1500</v>
      </c>
      <c r="L104" s="246">
        <f t="shared" si="30"/>
        <v>0.08108108108</v>
      </c>
      <c r="M104" s="247"/>
    </row>
    <row r="105" ht="15.75" customHeight="1">
      <c r="A105" s="248">
        <v>8.0</v>
      </c>
      <c r="B105" s="249" t="s">
        <v>1936</v>
      </c>
      <c r="C105" s="248" t="s">
        <v>109</v>
      </c>
      <c r="D105" s="216">
        <v>2.0</v>
      </c>
      <c r="E105" s="241" t="str">
        <f>'Daftar Harga'!D124</f>
        <v/>
      </c>
      <c r="F105" s="242" t="str">
        <f t="shared" si="26"/>
        <v/>
      </c>
      <c r="G105" s="186">
        <v>110000.0</v>
      </c>
      <c r="H105" s="243">
        <f t="shared" si="27"/>
        <v>220000</v>
      </c>
      <c r="I105" s="188">
        <v>125000.0</v>
      </c>
      <c r="J105" s="253">
        <f t="shared" si="28"/>
        <v>250000</v>
      </c>
      <c r="K105" s="250">
        <f t="shared" si="29"/>
        <v>30000</v>
      </c>
      <c r="L105" s="251">
        <f t="shared" si="30"/>
        <v>0.1363636364</v>
      </c>
      <c r="M105" s="252"/>
    </row>
    <row r="106" ht="15.75" customHeight="1">
      <c r="A106" s="239">
        <v>9.0</v>
      </c>
      <c r="B106" s="240" t="s">
        <v>1643</v>
      </c>
      <c r="C106" s="239" t="s">
        <v>1938</v>
      </c>
      <c r="D106" s="213">
        <v>2.0</v>
      </c>
      <c r="E106" s="241" t="str">
        <f>'Daftar Harga'!D126</f>
        <v/>
      </c>
      <c r="F106" s="242" t="str">
        <f t="shared" si="26"/>
        <v/>
      </c>
      <c r="G106" s="186">
        <v>48000.0</v>
      </c>
      <c r="H106" s="243">
        <f t="shared" si="27"/>
        <v>96000</v>
      </c>
      <c r="I106" s="188">
        <v>51000.0</v>
      </c>
      <c r="J106" s="253">
        <f t="shared" si="28"/>
        <v>102000</v>
      </c>
      <c r="K106" s="245">
        <f t="shared" si="29"/>
        <v>6000</v>
      </c>
      <c r="L106" s="246">
        <f t="shared" si="30"/>
        <v>0.0625</v>
      </c>
      <c r="M106" s="247"/>
    </row>
    <row r="107" ht="15.75" customHeight="1">
      <c r="A107" s="248">
        <v>10.0</v>
      </c>
      <c r="B107" s="249" t="s">
        <v>1574</v>
      </c>
      <c r="C107" s="248" t="s">
        <v>109</v>
      </c>
      <c r="D107" s="216">
        <v>0.25</v>
      </c>
      <c r="E107" s="241" t="str">
        <f>'Daftar Harga'!D142</f>
        <v/>
      </c>
      <c r="F107" s="242" t="str">
        <f t="shared" si="26"/>
        <v/>
      </c>
      <c r="G107" s="186">
        <v>10000.0</v>
      </c>
      <c r="H107" s="243">
        <f t="shared" si="27"/>
        <v>2500</v>
      </c>
      <c r="I107" s="188">
        <v>16000.0</v>
      </c>
      <c r="J107" s="253">
        <f t="shared" si="28"/>
        <v>4000</v>
      </c>
      <c r="K107" s="250">
        <f t="shared" si="29"/>
        <v>1500</v>
      </c>
      <c r="L107" s="251">
        <f t="shared" si="30"/>
        <v>0.6</v>
      </c>
      <c r="M107" s="252"/>
    </row>
    <row r="108" ht="15.75" customHeight="1">
      <c r="A108" s="239">
        <v>11.0</v>
      </c>
      <c r="B108" s="240" t="s">
        <v>1939</v>
      </c>
      <c r="C108" s="239" t="s">
        <v>1579</v>
      </c>
      <c r="D108" s="213">
        <v>2.0</v>
      </c>
      <c r="E108" s="241" t="str">
        <f>'Daftar Harga'!D147</f>
        <v/>
      </c>
      <c r="F108" s="242" t="str">
        <f t="shared" si="26"/>
        <v/>
      </c>
      <c r="G108" s="186">
        <v>21500.0</v>
      </c>
      <c r="H108" s="243">
        <f t="shared" si="27"/>
        <v>43000</v>
      </c>
      <c r="I108" s="188">
        <v>288000.0</v>
      </c>
      <c r="J108" s="244">
        <f t="shared" si="28"/>
        <v>576000</v>
      </c>
      <c r="K108" s="245">
        <f t="shared" si="29"/>
        <v>533000</v>
      </c>
      <c r="L108" s="246">
        <f t="shared" si="30"/>
        <v>12.39534884</v>
      </c>
      <c r="M108" s="247"/>
    </row>
    <row r="109" ht="15.75" customHeight="1">
      <c r="A109" s="248">
        <v>12.0</v>
      </c>
      <c r="B109" s="249" t="s">
        <v>1363</v>
      </c>
      <c r="C109" s="248" t="s">
        <v>109</v>
      </c>
      <c r="D109" s="216">
        <v>68.0</v>
      </c>
      <c r="E109" s="241" t="str">
        <f>'Daftar Harga'!D149</f>
        <v/>
      </c>
      <c r="F109" s="242" t="str">
        <f t="shared" si="26"/>
        <v/>
      </c>
      <c r="G109" s="186">
        <v>28000.0</v>
      </c>
      <c r="H109" s="243">
        <f t="shared" si="27"/>
        <v>1904000</v>
      </c>
      <c r="I109" s="188">
        <v>34000.0</v>
      </c>
      <c r="J109" s="253">
        <f t="shared" si="28"/>
        <v>2312000</v>
      </c>
      <c r="K109" s="250">
        <f t="shared" si="29"/>
        <v>408000</v>
      </c>
      <c r="L109" s="251">
        <f t="shared" si="30"/>
        <v>0.2142857143</v>
      </c>
      <c r="M109" s="252"/>
    </row>
    <row r="110" ht="15.75" customHeight="1">
      <c r="A110" s="239">
        <v>13.0</v>
      </c>
      <c r="B110" s="240" t="s">
        <v>1152</v>
      </c>
      <c r="C110" s="239" t="s">
        <v>69</v>
      </c>
      <c r="D110" s="213">
        <v>1803.0</v>
      </c>
      <c r="E110" s="241" t="str">
        <f>'Daftar Harga'!D153</f>
        <v/>
      </c>
      <c r="F110" s="242" t="str">
        <f t="shared" si="26"/>
        <v/>
      </c>
      <c r="G110" s="186">
        <v>1800.0</v>
      </c>
      <c r="H110" s="243">
        <f t="shared" si="27"/>
        <v>3245400</v>
      </c>
      <c r="I110" s="188">
        <v>2000.0</v>
      </c>
      <c r="J110" s="253">
        <f t="shared" si="28"/>
        <v>3606000</v>
      </c>
      <c r="K110" s="245">
        <f t="shared" si="29"/>
        <v>360600</v>
      </c>
      <c r="L110" s="246">
        <f t="shared" si="30"/>
        <v>0.1111111111</v>
      </c>
      <c r="M110" s="247"/>
    </row>
    <row r="111" ht="15.75" customHeight="1">
      <c r="A111" s="239">
        <v>14.0</v>
      </c>
      <c r="B111" s="240" t="s">
        <v>1940</v>
      </c>
      <c r="C111" s="239" t="s">
        <v>69</v>
      </c>
      <c r="D111" s="213">
        <v>80.0</v>
      </c>
      <c r="E111" s="241">
        <v>1900.0</v>
      </c>
      <c r="F111" s="242">
        <f t="shared" si="26"/>
        <v>152000</v>
      </c>
      <c r="G111" s="186">
        <v>1650.0</v>
      </c>
      <c r="H111" s="243">
        <f t="shared" si="27"/>
        <v>132000</v>
      </c>
      <c r="I111" s="188">
        <v>2000.0</v>
      </c>
      <c r="J111" s="253">
        <f t="shared" si="28"/>
        <v>160000</v>
      </c>
      <c r="K111" s="245">
        <f t="shared" si="29"/>
        <v>28000</v>
      </c>
      <c r="L111" s="246">
        <f t="shared" si="30"/>
        <v>0.2121212121</v>
      </c>
      <c r="M111" s="247"/>
    </row>
    <row r="112" ht="15.75" customHeight="1">
      <c r="A112" s="248">
        <v>15.0</v>
      </c>
      <c r="B112" s="249" t="s">
        <v>1591</v>
      </c>
      <c r="C112" s="248" t="s">
        <v>69</v>
      </c>
      <c r="D112" s="216">
        <v>74.0</v>
      </c>
      <c r="E112" s="241" t="str">
        <f>'Daftar Harga'!D160</f>
        <v/>
      </c>
      <c r="F112" s="242" t="str">
        <f t="shared" si="26"/>
        <v/>
      </c>
      <c r="G112" s="186">
        <v>240.0</v>
      </c>
      <c r="H112" s="243">
        <f t="shared" si="27"/>
        <v>17760</v>
      </c>
      <c r="I112" s="188">
        <v>7000.0</v>
      </c>
      <c r="J112" s="253">
        <f t="shared" si="28"/>
        <v>518000</v>
      </c>
      <c r="K112" s="250">
        <f t="shared" si="29"/>
        <v>500240</v>
      </c>
      <c r="L112" s="251">
        <f t="shared" si="30"/>
        <v>28.16666667</v>
      </c>
      <c r="M112" s="252"/>
    </row>
    <row r="113" ht="15.75" customHeight="1">
      <c r="A113" s="239">
        <v>16.0</v>
      </c>
      <c r="B113" s="240" t="s">
        <v>1595</v>
      </c>
      <c r="C113" s="239" t="s">
        <v>109</v>
      </c>
      <c r="D113" s="213">
        <v>0.25</v>
      </c>
      <c r="E113" s="241" t="str">
        <f>'Daftar Harga'!D164</f>
        <v/>
      </c>
      <c r="F113" s="242" t="str">
        <f t="shared" si="26"/>
        <v/>
      </c>
      <c r="G113" s="186">
        <v>10000.0</v>
      </c>
      <c r="H113" s="243">
        <f t="shared" si="27"/>
        <v>2500</v>
      </c>
      <c r="I113" s="188">
        <v>16000.0</v>
      </c>
      <c r="J113" s="253">
        <f t="shared" si="28"/>
        <v>4000</v>
      </c>
      <c r="K113" s="245">
        <f t="shared" si="29"/>
        <v>1500</v>
      </c>
      <c r="L113" s="246">
        <f t="shared" si="30"/>
        <v>0.6</v>
      </c>
      <c r="M113" s="247"/>
    </row>
    <row r="114" ht="15.75" customHeight="1">
      <c r="A114" s="248">
        <v>17.0</v>
      </c>
      <c r="B114" s="249" t="s">
        <v>1600</v>
      </c>
      <c r="C114" s="248" t="s">
        <v>109</v>
      </c>
      <c r="D114" s="216">
        <v>131.7</v>
      </c>
      <c r="E114" s="241" t="str">
        <f>'Daftar Harga'!D175</f>
        <v/>
      </c>
      <c r="F114" s="242" t="str">
        <f t="shared" si="26"/>
        <v/>
      </c>
      <c r="G114" s="186">
        <v>25500.0</v>
      </c>
      <c r="H114" s="243">
        <f t="shared" si="27"/>
        <v>3358350</v>
      </c>
      <c r="I114" s="188">
        <v>27000.0</v>
      </c>
      <c r="J114" s="244">
        <f t="shared" si="28"/>
        <v>3555900</v>
      </c>
      <c r="K114" s="250">
        <f t="shared" si="29"/>
        <v>197550</v>
      </c>
      <c r="L114" s="251">
        <f t="shared" si="30"/>
        <v>0.05882352941</v>
      </c>
      <c r="M114" s="252"/>
    </row>
    <row r="115" ht="15.75" customHeight="1">
      <c r="A115" s="239">
        <v>18.0</v>
      </c>
      <c r="B115" s="240" t="s">
        <v>1601</v>
      </c>
      <c r="C115" s="239" t="s">
        <v>69</v>
      </c>
      <c r="D115" s="213">
        <v>80.0</v>
      </c>
      <c r="E115" s="241" t="str">
        <f>'Daftar Harga'!D177</f>
        <v/>
      </c>
      <c r="F115" s="242" t="str">
        <f t="shared" si="26"/>
        <v/>
      </c>
      <c r="G115" s="186">
        <v>12000.0</v>
      </c>
      <c r="H115" s="243">
        <f t="shared" si="27"/>
        <v>960000</v>
      </c>
      <c r="I115" s="188">
        <v>14000.0</v>
      </c>
      <c r="J115" s="253">
        <f t="shared" si="28"/>
        <v>1120000</v>
      </c>
      <c r="K115" s="245">
        <f t="shared" si="29"/>
        <v>160000</v>
      </c>
      <c r="L115" s="246">
        <f t="shared" si="30"/>
        <v>0.1666666667</v>
      </c>
      <c r="M115" s="247"/>
    </row>
    <row r="116" ht="15.75" customHeight="1">
      <c r="A116" s="248">
        <v>19.0</v>
      </c>
      <c r="B116" s="249" t="s">
        <v>1609</v>
      </c>
      <c r="C116" s="248" t="s">
        <v>109</v>
      </c>
      <c r="D116" s="216">
        <v>3.0</v>
      </c>
      <c r="E116" s="241" t="str">
        <f>'Daftar Harga'!D185</f>
        <v/>
      </c>
      <c r="F116" s="242" t="str">
        <f t="shared" si="26"/>
        <v/>
      </c>
      <c r="G116" s="186">
        <v>15000.0</v>
      </c>
      <c r="H116" s="243">
        <f t="shared" si="27"/>
        <v>45000</v>
      </c>
      <c r="I116" s="188">
        <v>17000.0</v>
      </c>
      <c r="J116" s="244">
        <f t="shared" si="28"/>
        <v>51000</v>
      </c>
      <c r="K116" s="250">
        <f t="shared" si="29"/>
        <v>6000</v>
      </c>
      <c r="L116" s="251">
        <f t="shared" si="30"/>
        <v>0.1333333333</v>
      </c>
      <c r="M116" s="252"/>
    </row>
    <row r="117" ht="15.75" customHeight="1">
      <c r="A117" s="350">
        <v>20.0</v>
      </c>
      <c r="B117" s="351" t="s">
        <v>1230</v>
      </c>
      <c r="C117" s="350" t="s">
        <v>109</v>
      </c>
      <c r="D117" s="218">
        <v>5.0</v>
      </c>
      <c r="E117" s="267"/>
      <c r="F117" s="268" t="str">
        <f t="shared" si="26"/>
        <v/>
      </c>
      <c r="G117" s="186">
        <v>17000.0</v>
      </c>
      <c r="H117" s="243">
        <f t="shared" si="27"/>
        <v>85000</v>
      </c>
      <c r="I117" s="188">
        <v>18000.0</v>
      </c>
      <c r="J117" s="253">
        <f t="shared" si="28"/>
        <v>90000</v>
      </c>
      <c r="K117" s="250">
        <f t="shared" si="29"/>
        <v>5000</v>
      </c>
      <c r="L117" s="251">
        <f t="shared" si="30"/>
        <v>0.05882352941</v>
      </c>
      <c r="M117" s="252"/>
    </row>
    <row r="118" ht="15.75" customHeight="1">
      <c r="A118" s="350">
        <v>21.0</v>
      </c>
      <c r="B118" s="351" t="s">
        <v>1657</v>
      </c>
      <c r="C118" s="350" t="s">
        <v>109</v>
      </c>
      <c r="D118" s="218">
        <v>1.0</v>
      </c>
      <c r="E118" s="267"/>
      <c r="F118" s="268" t="str">
        <f t="shared" si="26"/>
        <v/>
      </c>
      <c r="G118" s="186">
        <v>52000.0</v>
      </c>
      <c r="H118" s="243">
        <f t="shared" si="27"/>
        <v>52000</v>
      </c>
      <c r="I118" s="188">
        <v>55000.0</v>
      </c>
      <c r="J118" s="255">
        <f t="shared" si="28"/>
        <v>55000</v>
      </c>
      <c r="K118" s="250">
        <f t="shared" si="29"/>
        <v>3000</v>
      </c>
      <c r="L118" s="251">
        <f t="shared" si="30"/>
        <v>0.05769230769</v>
      </c>
      <c r="M118" s="252"/>
    </row>
    <row r="119" ht="15.75" customHeight="1">
      <c r="A119" s="256" t="s">
        <v>1653</v>
      </c>
      <c r="B119" s="206"/>
      <c r="C119" s="206"/>
      <c r="D119" s="174"/>
      <c r="E119" s="257"/>
      <c r="F119" s="258">
        <f>SUMIF(F98:F118,"&lt;&gt;",F98:F118)</f>
        <v>234646</v>
      </c>
      <c r="G119" s="316"/>
      <c r="H119" s="258">
        <f>SUMIF(H98:H118,"&lt;&gt;",H98:H118)</f>
        <v>11843010</v>
      </c>
      <c r="I119" s="317"/>
      <c r="J119" s="260">
        <f>SUMIF(J98:J118,"&lt;&gt;",J98:J118)</f>
        <v>14199400</v>
      </c>
      <c r="K119" s="261">
        <f t="shared" si="29"/>
        <v>2356390</v>
      </c>
      <c r="L119" s="262">
        <f t="shared" si="30"/>
        <v>0.1989688432</v>
      </c>
      <c r="M119" s="257"/>
    </row>
    <row r="120" ht="15.75" customHeight="1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</row>
    <row r="121" ht="15.75" customHeight="1">
      <c r="A121" s="228" t="s">
        <v>1654</v>
      </c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6"/>
    </row>
    <row r="122" ht="15.75" customHeight="1">
      <c r="A122" s="229" t="s">
        <v>1509</v>
      </c>
      <c r="B122" s="229" t="s">
        <v>1510</v>
      </c>
      <c r="C122" s="229" t="s">
        <v>1511</v>
      </c>
      <c r="D122" s="229" t="s">
        <v>1614</v>
      </c>
      <c r="E122" s="230" t="s">
        <v>1615</v>
      </c>
      <c r="F122" s="174"/>
      <c r="G122" s="231" t="s">
        <v>1616</v>
      </c>
      <c r="H122" s="174"/>
      <c r="I122" s="232" t="s">
        <v>1617</v>
      </c>
      <c r="J122" s="174"/>
      <c r="K122" s="233" t="s">
        <v>1618</v>
      </c>
      <c r="L122" s="174"/>
      <c r="M122" s="229" t="s">
        <v>1619</v>
      </c>
    </row>
    <row r="123" ht="15.75" customHeight="1">
      <c r="A123" s="234" t="s">
        <v>1509</v>
      </c>
      <c r="B123" s="234" t="s">
        <v>1510</v>
      </c>
      <c r="C123" s="234" t="s">
        <v>1511</v>
      </c>
      <c r="D123" s="234" t="s">
        <v>1614</v>
      </c>
      <c r="E123" s="235" t="s">
        <v>1620</v>
      </c>
      <c r="F123" s="235" t="s">
        <v>1621</v>
      </c>
      <c r="G123" s="236" t="s">
        <v>1622</v>
      </c>
      <c r="H123" s="236" t="s">
        <v>1623</v>
      </c>
      <c r="I123" s="237" t="s">
        <v>1624</v>
      </c>
      <c r="J123" s="237" t="s">
        <v>1625</v>
      </c>
      <c r="K123" s="238" t="s">
        <v>1626</v>
      </c>
      <c r="L123" s="238" t="s">
        <v>1627</v>
      </c>
      <c r="M123" s="234" t="s">
        <v>1619</v>
      </c>
    </row>
    <row r="124" ht="15.75" customHeight="1">
      <c r="A124" s="239">
        <v>1.0</v>
      </c>
      <c r="B124" s="240" t="s">
        <v>1640</v>
      </c>
      <c r="C124" s="239" t="s">
        <v>109</v>
      </c>
      <c r="D124" s="213">
        <v>2.0</v>
      </c>
      <c r="E124" s="241">
        <f>'Daftar Harga'!D86</f>
        <v>12000</v>
      </c>
      <c r="F124" s="242">
        <f t="shared" ref="F124:F142" si="31">IF(E124&lt;&gt;"",D124*E124,"")</f>
        <v>24000</v>
      </c>
      <c r="G124" s="186">
        <v>43000.0</v>
      </c>
      <c r="H124" s="243">
        <f t="shared" ref="H124:H142" si="32">IF(G124&lt;&gt;"",D124*G124,"")</f>
        <v>86000</v>
      </c>
      <c r="I124" s="188">
        <v>52000.0</v>
      </c>
      <c r="J124" s="244">
        <f t="shared" ref="J124:J142" si="33">IF(I124&lt;&gt;"",D124*I124,"")</f>
        <v>104000</v>
      </c>
      <c r="K124" s="245">
        <f t="shared" ref="K124:K143" si="34">IF(J124&lt;&gt;"",IF(H124&lt;&gt;"",J124-H124,IF(F124&lt;&gt;"",J124-F124,"")),"")</f>
        <v>18000</v>
      </c>
      <c r="L124" s="246">
        <f t="shared" ref="L124:L143" si="35">IF(K124&lt;&gt;"",IF(H124&lt;&gt;"",IF(H124&lt;&gt;0,K124/H124,""),IF(F124&lt;&gt;"",IF(F124&lt;&gt;0,K124/F124,""),"")),"")</f>
        <v>0.2093023256</v>
      </c>
      <c r="M124" s="247"/>
    </row>
    <row r="125" ht="15.75" customHeight="1">
      <c r="A125" s="248">
        <v>2.0</v>
      </c>
      <c r="B125" s="249" t="s">
        <v>1641</v>
      </c>
      <c r="C125" s="248" t="s">
        <v>109</v>
      </c>
      <c r="D125" s="216">
        <v>2.0</v>
      </c>
      <c r="E125" s="241">
        <f>'Daftar Harga'!D89</f>
        <v>500</v>
      </c>
      <c r="F125" s="242">
        <f t="shared" si="31"/>
        <v>1000</v>
      </c>
      <c r="G125" s="186">
        <v>33000.0</v>
      </c>
      <c r="H125" s="243">
        <f t="shared" si="32"/>
        <v>66000</v>
      </c>
      <c r="I125" s="188">
        <v>36000.0</v>
      </c>
      <c r="J125" s="244">
        <f t="shared" si="33"/>
        <v>72000</v>
      </c>
      <c r="K125" s="250">
        <f t="shared" si="34"/>
        <v>6000</v>
      </c>
      <c r="L125" s="251">
        <f t="shared" si="35"/>
        <v>0.09090909091</v>
      </c>
      <c r="M125" s="252"/>
    </row>
    <row r="126" ht="15.75" customHeight="1">
      <c r="A126" s="239">
        <v>3.0</v>
      </c>
      <c r="B126" s="240" t="s">
        <v>1527</v>
      </c>
      <c r="C126" s="239" t="s">
        <v>109</v>
      </c>
      <c r="D126" s="213">
        <v>125.0</v>
      </c>
      <c r="E126" s="241">
        <f>'Daftar Harga'!D91</f>
        <v>500</v>
      </c>
      <c r="F126" s="242">
        <f t="shared" si="31"/>
        <v>62500</v>
      </c>
      <c r="G126" s="199">
        <v>14500.0</v>
      </c>
      <c r="H126" s="243">
        <f t="shared" si="32"/>
        <v>1812500</v>
      </c>
      <c r="I126" s="188">
        <v>15500.0</v>
      </c>
      <c r="J126" s="244">
        <f t="shared" si="33"/>
        <v>1937500</v>
      </c>
      <c r="K126" s="245">
        <f t="shared" si="34"/>
        <v>125000</v>
      </c>
      <c r="L126" s="246">
        <f t="shared" si="35"/>
        <v>0.06896551724</v>
      </c>
      <c r="M126" s="247"/>
    </row>
    <row r="127" ht="15.75" customHeight="1">
      <c r="A127" s="248">
        <v>4.0</v>
      </c>
      <c r="B127" s="249" t="s">
        <v>1542</v>
      </c>
      <c r="C127" s="248" t="s">
        <v>109</v>
      </c>
      <c r="D127" s="216">
        <v>0.2</v>
      </c>
      <c r="E127" s="241" t="str">
        <f>'Daftar Harga'!D107</f>
        <v/>
      </c>
      <c r="F127" s="242" t="str">
        <f t="shared" si="31"/>
        <v/>
      </c>
      <c r="G127" s="186">
        <v>12000.0</v>
      </c>
      <c r="H127" s="243">
        <f t="shared" si="32"/>
        <v>2400</v>
      </c>
      <c r="I127" s="188">
        <v>15000.0</v>
      </c>
      <c r="J127" s="244">
        <f t="shared" si="33"/>
        <v>3000</v>
      </c>
      <c r="K127" s="250">
        <f t="shared" si="34"/>
        <v>600</v>
      </c>
      <c r="L127" s="251">
        <f t="shared" si="35"/>
        <v>0.25</v>
      </c>
      <c r="M127" s="252"/>
    </row>
    <row r="128" ht="15.75" customHeight="1">
      <c r="A128" s="239">
        <v>5.0</v>
      </c>
      <c r="B128" s="240" t="s">
        <v>1543</v>
      </c>
      <c r="C128" s="239" t="s">
        <v>109</v>
      </c>
      <c r="D128" s="213">
        <v>4.0</v>
      </c>
      <c r="E128" s="241" t="str">
        <f>'Daftar Harga'!D109</f>
        <v/>
      </c>
      <c r="F128" s="242" t="str">
        <f t="shared" si="31"/>
        <v/>
      </c>
      <c r="G128" s="186">
        <v>8000.0</v>
      </c>
      <c r="H128" s="243">
        <f t="shared" si="32"/>
        <v>32000</v>
      </c>
      <c r="I128" s="188">
        <v>10000.0</v>
      </c>
      <c r="J128" s="244">
        <f t="shared" si="33"/>
        <v>40000</v>
      </c>
      <c r="K128" s="245">
        <f t="shared" si="34"/>
        <v>8000</v>
      </c>
      <c r="L128" s="246">
        <f t="shared" si="35"/>
        <v>0.25</v>
      </c>
      <c r="M128" s="247"/>
    </row>
    <row r="129" ht="15.75" customHeight="1">
      <c r="A129" s="248">
        <v>6.0</v>
      </c>
      <c r="B129" s="249" t="s">
        <v>1680</v>
      </c>
      <c r="C129" s="248" t="s">
        <v>109</v>
      </c>
      <c r="D129" s="216">
        <v>1.0</v>
      </c>
      <c r="E129" s="241" t="str">
        <f>'Daftar Harga'!D111</f>
        <v/>
      </c>
      <c r="F129" s="242" t="str">
        <f t="shared" si="31"/>
        <v/>
      </c>
      <c r="G129" s="186">
        <v>16000.0</v>
      </c>
      <c r="H129" s="243">
        <f t="shared" si="32"/>
        <v>16000</v>
      </c>
      <c r="I129" s="188">
        <v>22000.0</v>
      </c>
      <c r="J129" s="244">
        <f t="shared" si="33"/>
        <v>22000</v>
      </c>
      <c r="K129" s="250">
        <f t="shared" si="34"/>
        <v>6000</v>
      </c>
      <c r="L129" s="251">
        <f t="shared" si="35"/>
        <v>0.375</v>
      </c>
      <c r="M129" s="252"/>
    </row>
    <row r="130" ht="15.75" customHeight="1">
      <c r="A130" s="239">
        <v>7.0</v>
      </c>
      <c r="B130" s="240" t="s">
        <v>1655</v>
      </c>
      <c r="C130" s="239" t="s">
        <v>109</v>
      </c>
      <c r="D130" s="213">
        <v>2.0</v>
      </c>
      <c r="E130" s="241" t="str">
        <f>'Daftar Harga'!D112</f>
        <v/>
      </c>
      <c r="F130" s="242" t="str">
        <f t="shared" si="31"/>
        <v/>
      </c>
      <c r="G130" s="186">
        <v>18500.0</v>
      </c>
      <c r="H130" s="243">
        <f t="shared" si="32"/>
        <v>37000</v>
      </c>
      <c r="I130" s="188">
        <v>20000.0</v>
      </c>
      <c r="J130" s="244">
        <f t="shared" si="33"/>
        <v>40000</v>
      </c>
      <c r="K130" s="245">
        <f t="shared" si="34"/>
        <v>3000</v>
      </c>
      <c r="L130" s="246">
        <f t="shared" si="35"/>
        <v>0.08108108108</v>
      </c>
      <c r="M130" s="247"/>
    </row>
    <row r="131" ht="15.75" customHeight="1">
      <c r="A131" s="248">
        <v>8.0</v>
      </c>
      <c r="B131" s="249" t="s">
        <v>1368</v>
      </c>
      <c r="C131" s="248" t="s">
        <v>69</v>
      </c>
      <c r="D131" s="216">
        <v>2100.0</v>
      </c>
      <c r="E131" s="241" t="str">
        <f>'Daftar Harga'!D114</f>
        <v/>
      </c>
      <c r="F131" s="242" t="str">
        <f t="shared" si="31"/>
        <v/>
      </c>
      <c r="G131" s="186">
        <v>3500.0</v>
      </c>
      <c r="H131" s="243">
        <f t="shared" si="32"/>
        <v>7350000</v>
      </c>
      <c r="I131" s="188">
        <v>3800.0</v>
      </c>
      <c r="J131" s="244">
        <f t="shared" si="33"/>
        <v>7980000</v>
      </c>
      <c r="K131" s="250">
        <f t="shared" si="34"/>
        <v>630000</v>
      </c>
      <c r="L131" s="251">
        <f t="shared" si="35"/>
        <v>0.08571428571</v>
      </c>
      <c r="M131" s="252"/>
    </row>
    <row r="132" ht="15.75" customHeight="1">
      <c r="A132" s="239">
        <v>9.0</v>
      </c>
      <c r="B132" s="240" t="s">
        <v>1941</v>
      </c>
      <c r="C132" s="239" t="s">
        <v>109</v>
      </c>
      <c r="D132" s="213">
        <v>1.0</v>
      </c>
      <c r="E132" s="241" t="str">
        <f>'Daftar Harga'!D118</f>
        <v/>
      </c>
      <c r="F132" s="242" t="str">
        <f t="shared" si="31"/>
        <v/>
      </c>
      <c r="G132" s="186">
        <v>22000.0</v>
      </c>
      <c r="H132" s="243">
        <f t="shared" si="32"/>
        <v>22000</v>
      </c>
      <c r="I132" s="188">
        <v>35000.0</v>
      </c>
      <c r="J132" s="244">
        <f t="shared" si="33"/>
        <v>35000</v>
      </c>
      <c r="K132" s="245">
        <f t="shared" si="34"/>
        <v>13000</v>
      </c>
      <c r="L132" s="246">
        <f t="shared" si="35"/>
        <v>0.5909090909</v>
      </c>
      <c r="M132" s="247"/>
    </row>
    <row r="133" ht="15.75" customHeight="1">
      <c r="A133" s="248">
        <v>10.0</v>
      </c>
      <c r="B133" s="249" t="s">
        <v>1936</v>
      </c>
      <c r="C133" s="248" t="s">
        <v>109</v>
      </c>
      <c r="D133" s="216">
        <v>2.0</v>
      </c>
      <c r="E133" s="241" t="str">
        <f>'Daftar Harga'!D124</f>
        <v/>
      </c>
      <c r="F133" s="242" t="str">
        <f t="shared" si="31"/>
        <v/>
      </c>
      <c r="G133" s="186">
        <v>120000.0</v>
      </c>
      <c r="H133" s="243">
        <f t="shared" si="32"/>
        <v>240000</v>
      </c>
      <c r="I133" s="188">
        <v>125000.0</v>
      </c>
      <c r="J133" s="244">
        <f t="shared" si="33"/>
        <v>250000</v>
      </c>
      <c r="K133" s="250">
        <f t="shared" si="34"/>
        <v>10000</v>
      </c>
      <c r="L133" s="251">
        <f t="shared" si="35"/>
        <v>0.04166666667</v>
      </c>
      <c r="M133" s="252"/>
    </row>
    <row r="134" ht="15.75" customHeight="1">
      <c r="A134" s="239">
        <v>11.0</v>
      </c>
      <c r="B134" s="240" t="s">
        <v>1565</v>
      </c>
      <c r="C134" s="239" t="s">
        <v>109</v>
      </c>
      <c r="D134" s="213">
        <v>0.5</v>
      </c>
      <c r="E134" s="241" t="str">
        <f>'Daftar Harga'!D131</f>
        <v/>
      </c>
      <c r="F134" s="242" t="str">
        <f t="shared" si="31"/>
        <v/>
      </c>
      <c r="G134" s="186">
        <v>30000.0</v>
      </c>
      <c r="H134" s="243">
        <f t="shared" si="32"/>
        <v>15000</v>
      </c>
      <c r="I134" s="188">
        <v>30000.0</v>
      </c>
      <c r="J134" s="244">
        <f t="shared" si="33"/>
        <v>15000</v>
      </c>
      <c r="K134" s="245">
        <f t="shared" si="34"/>
        <v>0</v>
      </c>
      <c r="L134" s="246">
        <f t="shared" si="35"/>
        <v>0</v>
      </c>
      <c r="M134" s="247"/>
    </row>
    <row r="135" ht="15.75" customHeight="1">
      <c r="A135" s="248">
        <v>12.0</v>
      </c>
      <c r="B135" s="249" t="s">
        <v>1569</v>
      </c>
      <c r="C135" s="248" t="s">
        <v>109</v>
      </c>
      <c r="D135" s="216">
        <v>4.0</v>
      </c>
      <c r="E135" s="241" t="str">
        <f>'Daftar Harga'!D136</f>
        <v/>
      </c>
      <c r="F135" s="242" t="str">
        <f t="shared" si="31"/>
        <v/>
      </c>
      <c r="G135" s="186">
        <v>13000.0</v>
      </c>
      <c r="H135" s="243">
        <f t="shared" si="32"/>
        <v>52000</v>
      </c>
      <c r="I135" s="188">
        <v>16000.0</v>
      </c>
      <c r="J135" s="244">
        <f t="shared" si="33"/>
        <v>64000</v>
      </c>
      <c r="K135" s="250">
        <f t="shared" si="34"/>
        <v>12000</v>
      </c>
      <c r="L135" s="251">
        <f t="shared" si="35"/>
        <v>0.2307692308</v>
      </c>
      <c r="M135" s="252"/>
    </row>
    <row r="136" ht="15.75" customHeight="1">
      <c r="A136" s="239">
        <v>13.0</v>
      </c>
      <c r="B136" s="240" t="s">
        <v>1574</v>
      </c>
      <c r="C136" s="239" t="s">
        <v>109</v>
      </c>
      <c r="D136" s="213">
        <v>1.0</v>
      </c>
      <c r="E136" s="241" t="str">
        <f>'Daftar Harga'!D142</f>
        <v/>
      </c>
      <c r="F136" s="242" t="str">
        <f t="shared" si="31"/>
        <v/>
      </c>
      <c r="G136" s="186">
        <v>11000.0</v>
      </c>
      <c r="H136" s="243">
        <f t="shared" si="32"/>
        <v>11000</v>
      </c>
      <c r="I136" s="188">
        <v>15000.0</v>
      </c>
      <c r="J136" s="244">
        <f t="shared" si="33"/>
        <v>15000</v>
      </c>
      <c r="K136" s="245">
        <f t="shared" si="34"/>
        <v>4000</v>
      </c>
      <c r="L136" s="246">
        <f t="shared" si="35"/>
        <v>0.3636363636</v>
      </c>
      <c r="M136" s="247"/>
    </row>
    <row r="137" ht="15.75" customHeight="1">
      <c r="A137" s="248">
        <v>14.0</v>
      </c>
      <c r="B137" s="249" t="s">
        <v>1578</v>
      </c>
      <c r="C137" s="248" t="s">
        <v>1579</v>
      </c>
      <c r="D137" s="216">
        <v>36.0</v>
      </c>
      <c r="E137" s="241" t="str">
        <f>'Daftar Harga'!D147</f>
        <v/>
      </c>
      <c r="F137" s="242" t="str">
        <f t="shared" si="31"/>
        <v/>
      </c>
      <c r="G137" s="186">
        <v>21500.0</v>
      </c>
      <c r="H137" s="243">
        <f t="shared" si="32"/>
        <v>774000</v>
      </c>
      <c r="I137" s="188">
        <v>23000.0</v>
      </c>
      <c r="J137" s="244">
        <f t="shared" si="33"/>
        <v>828000</v>
      </c>
      <c r="K137" s="250">
        <f t="shared" si="34"/>
        <v>54000</v>
      </c>
      <c r="L137" s="251">
        <f t="shared" si="35"/>
        <v>0.06976744186</v>
      </c>
      <c r="M137" s="252"/>
    </row>
    <row r="138" ht="15.75" customHeight="1">
      <c r="A138" s="239">
        <v>15.0</v>
      </c>
      <c r="B138" s="240" t="s">
        <v>1595</v>
      </c>
      <c r="C138" s="239" t="s">
        <v>109</v>
      </c>
      <c r="D138" s="213">
        <v>1.0</v>
      </c>
      <c r="E138" s="241" t="str">
        <f>'Daftar Harga'!D164</f>
        <v/>
      </c>
      <c r="F138" s="242" t="str">
        <f t="shared" si="31"/>
        <v/>
      </c>
      <c r="G138" s="186">
        <v>14000.0</v>
      </c>
      <c r="H138" s="243">
        <f t="shared" si="32"/>
        <v>14000</v>
      </c>
      <c r="I138" s="188">
        <v>15000.0</v>
      </c>
      <c r="J138" s="244">
        <f t="shared" si="33"/>
        <v>15000</v>
      </c>
      <c r="K138" s="245">
        <f t="shared" si="34"/>
        <v>1000</v>
      </c>
      <c r="L138" s="246">
        <f t="shared" si="35"/>
        <v>0.07142857143</v>
      </c>
      <c r="M138" s="247"/>
    </row>
    <row r="139" ht="15.75" customHeight="1">
      <c r="A139" s="248">
        <v>16.0</v>
      </c>
      <c r="B139" s="249" t="s">
        <v>1599</v>
      </c>
      <c r="C139" s="248" t="s">
        <v>69</v>
      </c>
      <c r="D139" s="216">
        <v>2100.0</v>
      </c>
      <c r="E139" s="241" t="str">
        <f>'Daftar Harga'!D170</f>
        <v/>
      </c>
      <c r="F139" s="242" t="str">
        <f t="shared" si="31"/>
        <v/>
      </c>
      <c r="G139" s="186">
        <v>560.0</v>
      </c>
      <c r="H139" s="243">
        <f t="shared" si="32"/>
        <v>1176000</v>
      </c>
      <c r="I139" s="188">
        <v>500.0</v>
      </c>
      <c r="J139" s="244">
        <f t="shared" si="33"/>
        <v>1050000</v>
      </c>
      <c r="K139" s="250">
        <f t="shared" si="34"/>
        <v>-126000</v>
      </c>
      <c r="L139" s="251">
        <f t="shared" si="35"/>
        <v>-0.1071428571</v>
      </c>
      <c r="M139" s="252"/>
    </row>
    <row r="140" ht="15.75" customHeight="1">
      <c r="A140" s="239">
        <v>17.0</v>
      </c>
      <c r="B140" s="240" t="s">
        <v>1607</v>
      </c>
      <c r="C140" s="239" t="s">
        <v>109</v>
      </c>
      <c r="D140" s="213">
        <v>72.0</v>
      </c>
      <c r="E140" s="241" t="str">
        <f>'Daftar Harga'!D183</f>
        <v/>
      </c>
      <c r="F140" s="242" t="str">
        <f t="shared" si="31"/>
        <v/>
      </c>
      <c r="G140" s="186">
        <v>8000.0</v>
      </c>
      <c r="H140" s="243">
        <f t="shared" si="32"/>
        <v>576000</v>
      </c>
      <c r="I140" s="188">
        <v>12000.0</v>
      </c>
      <c r="J140" s="244">
        <f t="shared" si="33"/>
        <v>864000</v>
      </c>
      <c r="K140" s="245">
        <f t="shared" si="34"/>
        <v>288000</v>
      </c>
      <c r="L140" s="246">
        <f t="shared" si="35"/>
        <v>0.5</v>
      </c>
      <c r="M140" s="247"/>
    </row>
    <row r="141" ht="15.75" customHeight="1">
      <c r="A141" s="248">
        <v>18.0</v>
      </c>
      <c r="B141" s="249" t="s">
        <v>1609</v>
      </c>
      <c r="C141" s="248" t="s">
        <v>109</v>
      </c>
      <c r="D141" s="216">
        <v>35.0</v>
      </c>
      <c r="E141" s="241" t="str">
        <f>'Daftar Harga'!D185</f>
        <v/>
      </c>
      <c r="F141" s="242" t="str">
        <f t="shared" si="31"/>
        <v/>
      </c>
      <c r="G141" s="186">
        <v>14000.0</v>
      </c>
      <c r="H141" s="243">
        <f t="shared" si="32"/>
        <v>490000</v>
      </c>
      <c r="I141" s="188">
        <v>17000.0</v>
      </c>
      <c r="J141" s="244">
        <f t="shared" si="33"/>
        <v>595000</v>
      </c>
      <c r="K141" s="250">
        <f t="shared" si="34"/>
        <v>105000</v>
      </c>
      <c r="L141" s="251">
        <f t="shared" si="35"/>
        <v>0.2142857143</v>
      </c>
      <c r="M141" s="252"/>
    </row>
    <row r="142" ht="15.75" customHeight="1">
      <c r="A142" s="350">
        <v>19.0</v>
      </c>
      <c r="B142" s="351" t="s">
        <v>1112</v>
      </c>
      <c r="C142" s="350" t="s">
        <v>109</v>
      </c>
      <c r="D142" s="218">
        <v>233.1</v>
      </c>
      <c r="E142" s="267"/>
      <c r="F142" s="268" t="str">
        <f t="shared" si="31"/>
        <v/>
      </c>
      <c r="G142" s="186">
        <v>18500.0</v>
      </c>
      <c r="H142" s="243">
        <f t="shared" si="32"/>
        <v>4312350</v>
      </c>
      <c r="I142" s="188">
        <v>20000.0</v>
      </c>
      <c r="J142" s="264">
        <f t="shared" si="33"/>
        <v>4662000</v>
      </c>
      <c r="K142" s="250">
        <f t="shared" si="34"/>
        <v>349650</v>
      </c>
      <c r="L142" s="251">
        <f t="shared" si="35"/>
        <v>0.08108108108</v>
      </c>
      <c r="M142" s="252"/>
    </row>
    <row r="143" ht="15.75" customHeight="1">
      <c r="A143" s="256" t="s">
        <v>1659</v>
      </c>
      <c r="B143" s="206"/>
      <c r="C143" s="206"/>
      <c r="D143" s="174"/>
      <c r="E143" s="257"/>
      <c r="F143" s="258">
        <f>SUMIF(F124:F142,"&lt;&gt;",F124:F142)</f>
        <v>87500</v>
      </c>
      <c r="G143" s="317"/>
      <c r="H143" s="260">
        <f>SUMIF(H124:H142,"&lt;&gt;",H124:H142)</f>
        <v>17084250</v>
      </c>
      <c r="I143" s="322"/>
      <c r="J143" s="260">
        <f>SUMIF(J124:J142,"&lt;&gt;",J124:J142)</f>
        <v>18591500</v>
      </c>
      <c r="K143" s="261">
        <f t="shared" si="34"/>
        <v>1507250</v>
      </c>
      <c r="L143" s="262">
        <f t="shared" si="35"/>
        <v>0.08822453429</v>
      </c>
      <c r="M143" s="257"/>
    </row>
    <row r="144" ht="15.75" customHeight="1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</row>
    <row r="145" ht="15.75" customHeight="1">
      <c r="A145" s="228" t="s">
        <v>1660</v>
      </c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6"/>
    </row>
    <row r="146" ht="15.75" customHeight="1">
      <c r="A146" s="229" t="s">
        <v>1509</v>
      </c>
      <c r="B146" s="229" t="s">
        <v>1510</v>
      </c>
      <c r="C146" s="229" t="s">
        <v>1511</v>
      </c>
      <c r="D146" s="229" t="s">
        <v>1614</v>
      </c>
      <c r="E146" s="230" t="s">
        <v>1615</v>
      </c>
      <c r="F146" s="174"/>
      <c r="G146" s="231" t="s">
        <v>1616</v>
      </c>
      <c r="H146" s="174"/>
      <c r="I146" s="232" t="s">
        <v>1617</v>
      </c>
      <c r="J146" s="174"/>
      <c r="K146" s="233" t="s">
        <v>1618</v>
      </c>
      <c r="L146" s="174"/>
      <c r="M146" s="229" t="s">
        <v>1619</v>
      </c>
    </row>
    <row r="147" ht="15.75" customHeight="1">
      <c r="A147" s="234" t="s">
        <v>1509</v>
      </c>
      <c r="B147" s="234" t="s">
        <v>1510</v>
      </c>
      <c r="C147" s="234" t="s">
        <v>1511</v>
      </c>
      <c r="D147" s="234" t="s">
        <v>1614</v>
      </c>
      <c r="E147" s="235" t="s">
        <v>1620</v>
      </c>
      <c r="F147" s="235" t="s">
        <v>1621</v>
      </c>
      <c r="G147" s="236" t="s">
        <v>1622</v>
      </c>
      <c r="H147" s="236" t="s">
        <v>1623</v>
      </c>
      <c r="I147" s="237" t="s">
        <v>1624</v>
      </c>
      <c r="J147" s="237" t="s">
        <v>1625</v>
      </c>
      <c r="K147" s="238" t="s">
        <v>1626</v>
      </c>
      <c r="L147" s="238" t="s">
        <v>1627</v>
      </c>
      <c r="M147" s="234" t="s">
        <v>1619</v>
      </c>
    </row>
    <row r="148" ht="15.75" customHeight="1">
      <c r="A148" s="239">
        <v>1.0</v>
      </c>
      <c r="B148" s="240" t="s">
        <v>1117</v>
      </c>
      <c r="C148" s="239" t="s">
        <v>109</v>
      </c>
      <c r="D148" s="213">
        <v>100.0</v>
      </c>
      <c r="E148" s="241">
        <f>'Daftar Harga'!D81</f>
        <v>5750</v>
      </c>
      <c r="F148" s="242">
        <f t="shared" ref="F148:F163" si="36">IF(E148&lt;&gt;"",D148*E148,"")</f>
        <v>575000</v>
      </c>
      <c r="G148" s="186">
        <v>45500.0</v>
      </c>
      <c r="H148" s="243">
        <f t="shared" ref="H148:H163" si="37">IF(G148&lt;&gt;"",D148*G148,"")</f>
        <v>4550000</v>
      </c>
      <c r="I148" s="188">
        <v>50000.0</v>
      </c>
      <c r="J148" s="244">
        <f t="shared" ref="J148:J163" si="38">IF(I148&lt;&gt;"",D148*I148,"")</f>
        <v>5000000</v>
      </c>
      <c r="K148" s="245">
        <f t="shared" ref="K148:K164" si="39">IF(J148&lt;&gt;"",IF(H148&lt;&gt;"",J148-H148,IF(F148&lt;&gt;"",J148-F148,"")),"")</f>
        <v>450000</v>
      </c>
      <c r="L148" s="246">
        <f t="shared" ref="L148:L164" si="40">IF(K148&lt;&gt;"",IF(H148&lt;&gt;"",IF(H148&lt;&gt;0,K148/H148,""),IF(F148&lt;&gt;"",IF(F148&lt;&gt;0,K148/F148,""),"")),"")</f>
        <v>0.0989010989</v>
      </c>
      <c r="M148" s="247"/>
    </row>
    <row r="149" ht="15.75" customHeight="1">
      <c r="A149" s="248">
        <v>2.0</v>
      </c>
      <c r="B149" s="249" t="s">
        <v>1522</v>
      </c>
      <c r="C149" s="248" t="s">
        <v>109</v>
      </c>
      <c r="D149" s="216">
        <v>2.0</v>
      </c>
      <c r="E149" s="241">
        <f>'Daftar Harga'!D83</f>
        <v>9000</v>
      </c>
      <c r="F149" s="242">
        <f t="shared" si="36"/>
        <v>18000</v>
      </c>
      <c r="G149" s="186">
        <v>28000.0</v>
      </c>
      <c r="H149" s="243">
        <f t="shared" si="37"/>
        <v>56000</v>
      </c>
      <c r="I149" s="188">
        <v>35000.0</v>
      </c>
      <c r="J149" s="244">
        <f t="shared" si="38"/>
        <v>70000</v>
      </c>
      <c r="K149" s="250">
        <f t="shared" si="39"/>
        <v>14000</v>
      </c>
      <c r="L149" s="251">
        <f t="shared" si="40"/>
        <v>0.25</v>
      </c>
      <c r="M149" s="252"/>
    </row>
    <row r="150" ht="15.75" customHeight="1">
      <c r="A150" s="239">
        <v>3.0</v>
      </c>
      <c r="B150" s="240" t="s">
        <v>1527</v>
      </c>
      <c r="C150" s="239" t="s">
        <v>109</v>
      </c>
      <c r="D150" s="213">
        <v>125.0</v>
      </c>
      <c r="E150" s="241">
        <f>'Daftar Harga'!D91</f>
        <v>500</v>
      </c>
      <c r="F150" s="242">
        <f t="shared" si="36"/>
        <v>62500</v>
      </c>
      <c r="G150" s="186">
        <v>14500.0</v>
      </c>
      <c r="H150" s="243">
        <f t="shared" si="37"/>
        <v>1812500</v>
      </c>
      <c r="I150" s="188">
        <v>15500.0</v>
      </c>
      <c r="J150" s="244">
        <f t="shared" si="38"/>
        <v>1937500</v>
      </c>
      <c r="K150" s="245">
        <f t="shared" si="39"/>
        <v>125000</v>
      </c>
      <c r="L150" s="246">
        <f t="shared" si="40"/>
        <v>0.06896551724</v>
      </c>
      <c r="M150" s="247"/>
    </row>
    <row r="151" ht="15.75" customHeight="1">
      <c r="A151" s="248">
        <v>4.0</v>
      </c>
      <c r="B151" s="249" t="s">
        <v>1543</v>
      </c>
      <c r="C151" s="248" t="s">
        <v>109</v>
      </c>
      <c r="D151" s="216">
        <v>3.0</v>
      </c>
      <c r="E151" s="241" t="str">
        <f>'Daftar Harga'!D109</f>
        <v/>
      </c>
      <c r="F151" s="242" t="str">
        <f t="shared" si="36"/>
        <v/>
      </c>
      <c r="G151" s="186">
        <v>7000.0</v>
      </c>
      <c r="H151" s="243">
        <f t="shared" si="37"/>
        <v>21000</v>
      </c>
      <c r="I151" s="188">
        <v>10000.0</v>
      </c>
      <c r="J151" s="244">
        <f t="shared" si="38"/>
        <v>30000</v>
      </c>
      <c r="K151" s="250">
        <f t="shared" si="39"/>
        <v>9000</v>
      </c>
      <c r="L151" s="251">
        <f t="shared" si="40"/>
        <v>0.4285714286</v>
      </c>
      <c r="M151" s="252"/>
    </row>
    <row r="152" ht="15.75" customHeight="1">
      <c r="A152" s="239">
        <v>5.0</v>
      </c>
      <c r="B152" s="240" t="s">
        <v>1936</v>
      </c>
      <c r="C152" s="239" t="s">
        <v>109</v>
      </c>
      <c r="D152" s="213">
        <v>2.0</v>
      </c>
      <c r="E152" s="241" t="str">
        <f>'Daftar Harga'!D124</f>
        <v/>
      </c>
      <c r="F152" s="242" t="str">
        <f t="shared" si="36"/>
        <v/>
      </c>
      <c r="G152" s="186">
        <v>120000.0</v>
      </c>
      <c r="H152" s="243">
        <f t="shared" si="37"/>
        <v>240000</v>
      </c>
      <c r="I152" s="188">
        <v>125000.0</v>
      </c>
      <c r="J152" s="244">
        <f t="shared" si="38"/>
        <v>250000</v>
      </c>
      <c r="K152" s="245">
        <f t="shared" si="39"/>
        <v>10000</v>
      </c>
      <c r="L152" s="246">
        <f t="shared" si="40"/>
        <v>0.04166666667</v>
      </c>
      <c r="M152" s="247"/>
    </row>
    <row r="153" ht="15.75" customHeight="1">
      <c r="A153" s="248">
        <v>6.0</v>
      </c>
      <c r="B153" s="249" t="s">
        <v>1713</v>
      </c>
      <c r="C153" s="248" t="s">
        <v>109</v>
      </c>
      <c r="D153" s="216">
        <v>0.5</v>
      </c>
      <c r="E153" s="241" t="str">
        <f>'Daftar Harga'!D140</f>
        <v/>
      </c>
      <c r="F153" s="242" t="str">
        <f t="shared" si="36"/>
        <v/>
      </c>
      <c r="G153" s="186">
        <v>140000.0</v>
      </c>
      <c r="H153" s="243">
        <f t="shared" si="37"/>
        <v>70000</v>
      </c>
      <c r="I153" s="188">
        <v>180000.0</v>
      </c>
      <c r="J153" s="244">
        <f t="shared" si="38"/>
        <v>90000</v>
      </c>
      <c r="K153" s="250">
        <f t="shared" si="39"/>
        <v>20000</v>
      </c>
      <c r="L153" s="251">
        <f t="shared" si="40"/>
        <v>0.2857142857</v>
      </c>
      <c r="M153" s="252"/>
    </row>
    <row r="154" ht="15.75" customHeight="1">
      <c r="A154" s="239">
        <v>7.0</v>
      </c>
      <c r="B154" s="240" t="s">
        <v>1578</v>
      </c>
      <c r="C154" s="239" t="s">
        <v>1579</v>
      </c>
      <c r="D154" s="213">
        <v>48.0</v>
      </c>
      <c r="E154" s="241" t="str">
        <f>'Daftar Harga'!D147</f>
        <v/>
      </c>
      <c r="F154" s="242" t="str">
        <f t="shared" si="36"/>
        <v/>
      </c>
      <c r="G154" s="186">
        <v>21500.0</v>
      </c>
      <c r="H154" s="243">
        <f t="shared" si="37"/>
        <v>1032000</v>
      </c>
      <c r="I154" s="188">
        <v>24000.0</v>
      </c>
      <c r="J154" s="244">
        <f t="shared" si="38"/>
        <v>1152000</v>
      </c>
      <c r="K154" s="245">
        <f t="shared" si="39"/>
        <v>120000</v>
      </c>
      <c r="L154" s="246">
        <f t="shared" si="40"/>
        <v>0.1162790698</v>
      </c>
      <c r="M154" s="247"/>
    </row>
    <row r="155" ht="15.75" customHeight="1">
      <c r="A155" s="248">
        <v>8.0</v>
      </c>
      <c r="B155" s="249" t="s">
        <v>1363</v>
      </c>
      <c r="C155" s="248" t="s">
        <v>109</v>
      </c>
      <c r="D155" s="216">
        <v>67.0</v>
      </c>
      <c r="E155" s="241" t="str">
        <f>'Daftar Harga'!D149</f>
        <v/>
      </c>
      <c r="F155" s="242" t="str">
        <f t="shared" si="36"/>
        <v/>
      </c>
      <c r="G155" s="186">
        <v>28000.0</v>
      </c>
      <c r="H155" s="243">
        <f t="shared" si="37"/>
        <v>1876000</v>
      </c>
      <c r="I155" s="188">
        <v>34000.0</v>
      </c>
      <c r="J155" s="244">
        <f t="shared" si="38"/>
        <v>2278000</v>
      </c>
      <c r="K155" s="250">
        <f t="shared" si="39"/>
        <v>402000</v>
      </c>
      <c r="L155" s="251">
        <f t="shared" si="40"/>
        <v>0.2142857143</v>
      </c>
      <c r="M155" s="252"/>
    </row>
    <row r="156" ht="15.75" customHeight="1">
      <c r="A156" s="239">
        <v>9.0</v>
      </c>
      <c r="B156" s="240" t="s">
        <v>1152</v>
      </c>
      <c r="C156" s="239" t="s">
        <v>69</v>
      </c>
      <c r="D156" s="213">
        <v>3225.0</v>
      </c>
      <c r="E156" s="241" t="str">
        <f>'Daftar Harga'!D153</f>
        <v/>
      </c>
      <c r="F156" s="242" t="str">
        <f t="shared" si="36"/>
        <v/>
      </c>
      <c r="G156" s="186">
        <v>1800.0</v>
      </c>
      <c r="H156" s="243">
        <f t="shared" si="37"/>
        <v>5805000</v>
      </c>
      <c r="I156" s="188">
        <v>2000.0</v>
      </c>
      <c r="J156" s="244">
        <f t="shared" si="38"/>
        <v>6450000</v>
      </c>
      <c r="K156" s="245">
        <f t="shared" si="39"/>
        <v>645000</v>
      </c>
      <c r="L156" s="246">
        <f t="shared" si="40"/>
        <v>0.1111111111</v>
      </c>
      <c r="M156" s="247"/>
    </row>
    <row r="157" ht="15.75" customHeight="1">
      <c r="A157" s="248">
        <v>10.0</v>
      </c>
      <c r="B157" s="249" t="s">
        <v>1584</v>
      </c>
      <c r="C157" s="248" t="s">
        <v>109</v>
      </c>
      <c r="D157" s="216">
        <v>0.5</v>
      </c>
      <c r="E157" s="241" t="str">
        <f>'Daftar Harga'!D155</f>
        <v/>
      </c>
      <c r="F157" s="242" t="str">
        <f t="shared" si="36"/>
        <v/>
      </c>
      <c r="G157" s="186">
        <v>42000.0</v>
      </c>
      <c r="H157" s="243">
        <f t="shared" si="37"/>
        <v>21000</v>
      </c>
      <c r="I157" s="188">
        <v>46000.0</v>
      </c>
      <c r="J157" s="244">
        <f t="shared" si="38"/>
        <v>23000</v>
      </c>
      <c r="K157" s="250">
        <f t="shared" si="39"/>
        <v>2000</v>
      </c>
      <c r="L157" s="251">
        <f t="shared" si="40"/>
        <v>0.09523809524</v>
      </c>
      <c r="M157" s="252"/>
    </row>
    <row r="158" ht="15.75" customHeight="1">
      <c r="A158" s="239">
        <v>11.0</v>
      </c>
      <c r="B158" s="240" t="s">
        <v>1591</v>
      </c>
      <c r="C158" s="239" t="s">
        <v>69</v>
      </c>
      <c r="D158" s="213">
        <v>60.0</v>
      </c>
      <c r="E158" s="241" t="str">
        <f>'Daftar Harga'!D160</f>
        <v/>
      </c>
      <c r="F158" s="242" t="str">
        <f t="shared" si="36"/>
        <v/>
      </c>
      <c r="G158" s="186">
        <v>5500.0</v>
      </c>
      <c r="H158" s="243">
        <f t="shared" si="37"/>
        <v>330000</v>
      </c>
      <c r="I158" s="188">
        <v>7500.0</v>
      </c>
      <c r="J158" s="244">
        <f t="shared" si="38"/>
        <v>450000</v>
      </c>
      <c r="K158" s="245">
        <f t="shared" si="39"/>
        <v>120000</v>
      </c>
      <c r="L158" s="246">
        <f t="shared" si="40"/>
        <v>0.3636363636</v>
      </c>
      <c r="M158" s="247"/>
    </row>
    <row r="159" ht="15.75" customHeight="1">
      <c r="A159" s="248">
        <v>12.0</v>
      </c>
      <c r="B159" s="249" t="s">
        <v>1596</v>
      </c>
      <c r="C159" s="248" t="s">
        <v>1799</v>
      </c>
      <c r="D159" s="216">
        <v>36.0</v>
      </c>
      <c r="E159" s="267"/>
      <c r="F159" s="268" t="str">
        <f t="shared" si="36"/>
        <v/>
      </c>
      <c r="G159" s="186">
        <v>4240.0</v>
      </c>
      <c r="H159" s="243">
        <f t="shared" si="37"/>
        <v>152640</v>
      </c>
      <c r="I159" s="188">
        <v>129600.0</v>
      </c>
      <c r="J159" s="244">
        <f t="shared" si="38"/>
        <v>4665600</v>
      </c>
      <c r="K159" s="250">
        <f t="shared" si="39"/>
        <v>4512960</v>
      </c>
      <c r="L159" s="251">
        <f t="shared" si="40"/>
        <v>29.56603774</v>
      </c>
      <c r="M159" s="252"/>
    </row>
    <row r="160" ht="15.75" customHeight="1">
      <c r="A160" s="239">
        <v>13.0</v>
      </c>
      <c r="B160" s="240" t="s">
        <v>1344</v>
      </c>
      <c r="C160" s="239" t="s">
        <v>69</v>
      </c>
      <c r="D160" s="213">
        <v>1920.0</v>
      </c>
      <c r="E160" s="241" t="str">
        <f>'Daftar Harga'!D173</f>
        <v/>
      </c>
      <c r="F160" s="242" t="str">
        <f t="shared" si="36"/>
        <v/>
      </c>
      <c r="G160" s="186">
        <v>480.0</v>
      </c>
      <c r="H160" s="243">
        <f t="shared" si="37"/>
        <v>921600</v>
      </c>
      <c r="I160" s="188">
        <v>700.0</v>
      </c>
      <c r="J160" s="244">
        <f t="shared" si="38"/>
        <v>1344000</v>
      </c>
      <c r="K160" s="245">
        <f t="shared" si="39"/>
        <v>422400</v>
      </c>
      <c r="L160" s="246">
        <f t="shared" si="40"/>
        <v>0.4583333333</v>
      </c>
      <c r="M160" s="247"/>
    </row>
    <row r="161" ht="15.75" customHeight="1">
      <c r="A161" s="248">
        <v>14.0</v>
      </c>
      <c r="B161" s="249" t="s">
        <v>1600</v>
      </c>
      <c r="C161" s="248" t="s">
        <v>109</v>
      </c>
      <c r="D161" s="216">
        <v>124.0</v>
      </c>
      <c r="E161" s="241" t="str">
        <f>'Daftar Harga'!D175</f>
        <v/>
      </c>
      <c r="F161" s="242" t="str">
        <f t="shared" si="36"/>
        <v/>
      </c>
      <c r="G161" s="186">
        <v>25500.0</v>
      </c>
      <c r="H161" s="243">
        <f t="shared" si="37"/>
        <v>3162000</v>
      </c>
      <c r="I161" s="188">
        <v>27000.0</v>
      </c>
      <c r="J161" s="244">
        <f t="shared" si="38"/>
        <v>3348000</v>
      </c>
      <c r="K161" s="250">
        <f t="shared" si="39"/>
        <v>186000</v>
      </c>
      <c r="L161" s="251">
        <f t="shared" si="40"/>
        <v>0.05882352941</v>
      </c>
      <c r="M161" s="252"/>
    </row>
    <row r="162" ht="15.75" customHeight="1">
      <c r="A162" s="239">
        <v>15.0</v>
      </c>
      <c r="B162" s="240" t="s">
        <v>1645</v>
      </c>
      <c r="C162" s="239" t="s">
        <v>109</v>
      </c>
      <c r="D162" s="213">
        <v>30.0</v>
      </c>
      <c r="E162" s="241" t="str">
        <f>'Daftar Harga'!D180</f>
        <v/>
      </c>
      <c r="F162" s="242" t="str">
        <f t="shared" si="36"/>
        <v/>
      </c>
      <c r="G162" s="186">
        <v>14000.0</v>
      </c>
      <c r="H162" s="243">
        <f t="shared" si="37"/>
        <v>420000</v>
      </c>
      <c r="I162" s="188">
        <v>16000.0</v>
      </c>
      <c r="J162" s="244">
        <f t="shared" si="38"/>
        <v>480000</v>
      </c>
      <c r="K162" s="245">
        <f t="shared" si="39"/>
        <v>60000</v>
      </c>
      <c r="L162" s="246">
        <f t="shared" si="40"/>
        <v>0.1428571429</v>
      </c>
      <c r="M162" s="247"/>
    </row>
    <row r="163" ht="15.75" customHeight="1">
      <c r="A163" s="248">
        <v>16.0</v>
      </c>
      <c r="B163" s="249" t="s">
        <v>1605</v>
      </c>
      <c r="C163" s="248" t="s">
        <v>109</v>
      </c>
      <c r="D163" s="216">
        <v>25.0</v>
      </c>
      <c r="E163" s="241" t="str">
        <f>'Daftar Harga'!D181</f>
        <v/>
      </c>
      <c r="F163" s="242" t="str">
        <f t="shared" si="36"/>
        <v/>
      </c>
      <c r="G163" s="186">
        <v>11250.0</v>
      </c>
      <c r="H163" s="263">
        <f t="shared" si="37"/>
        <v>281250</v>
      </c>
      <c r="I163" s="188">
        <v>12000.0</v>
      </c>
      <c r="J163" s="264">
        <f t="shared" si="38"/>
        <v>300000</v>
      </c>
      <c r="K163" s="250">
        <f t="shared" si="39"/>
        <v>18750</v>
      </c>
      <c r="L163" s="251">
        <f t="shared" si="40"/>
        <v>0.06666666667</v>
      </c>
      <c r="M163" s="252"/>
    </row>
    <row r="164" ht="15.75" customHeight="1">
      <c r="A164" s="256" t="s">
        <v>1666</v>
      </c>
      <c r="B164" s="206"/>
      <c r="C164" s="206"/>
      <c r="D164" s="174"/>
      <c r="E164" s="257"/>
      <c r="F164" s="258">
        <f>SUMIF(F148:F163,"&lt;&gt;",F148:F163)</f>
        <v>655500</v>
      </c>
      <c r="G164" s="259"/>
      <c r="H164" s="260">
        <f>SUMIF(H148:H163,"&lt;&gt;",H148:H163)</f>
        <v>20750990</v>
      </c>
      <c r="I164" s="265"/>
      <c r="J164" s="260">
        <f>SUMIF(J148:J163,"&lt;&gt;",J148:J163)</f>
        <v>27868100</v>
      </c>
      <c r="K164" s="261">
        <f t="shared" si="39"/>
        <v>7117110</v>
      </c>
      <c r="L164" s="262">
        <f t="shared" si="40"/>
        <v>0.3429768893</v>
      </c>
      <c r="M164" s="257"/>
    </row>
    <row r="165" ht="15.75" customHeight="1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</row>
    <row r="166" ht="15.75" customHeight="1">
      <c r="A166" s="228" t="s">
        <v>1825</v>
      </c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6"/>
    </row>
    <row r="167" ht="15.75" customHeight="1">
      <c r="A167" s="229" t="s">
        <v>1509</v>
      </c>
      <c r="B167" s="229" t="s">
        <v>1510</v>
      </c>
      <c r="C167" s="229" t="s">
        <v>1511</v>
      </c>
      <c r="D167" s="229" t="s">
        <v>1614</v>
      </c>
      <c r="E167" s="230" t="s">
        <v>1615</v>
      </c>
      <c r="F167" s="174"/>
      <c r="G167" s="231" t="s">
        <v>1616</v>
      </c>
      <c r="H167" s="174"/>
      <c r="I167" s="232" t="s">
        <v>1617</v>
      </c>
      <c r="J167" s="174"/>
      <c r="K167" s="233" t="s">
        <v>1618</v>
      </c>
      <c r="L167" s="174"/>
      <c r="M167" s="229" t="s">
        <v>1619</v>
      </c>
    </row>
    <row r="168" ht="15.75" customHeight="1">
      <c r="A168" s="234" t="s">
        <v>1509</v>
      </c>
      <c r="B168" s="234" t="s">
        <v>1510</v>
      </c>
      <c r="C168" s="234" t="s">
        <v>1511</v>
      </c>
      <c r="D168" s="234" t="s">
        <v>1614</v>
      </c>
      <c r="E168" s="235" t="s">
        <v>1620</v>
      </c>
      <c r="F168" s="235" t="s">
        <v>1621</v>
      </c>
      <c r="G168" s="236" t="s">
        <v>1622</v>
      </c>
      <c r="H168" s="236" t="s">
        <v>1623</v>
      </c>
      <c r="I168" s="237" t="s">
        <v>1624</v>
      </c>
      <c r="J168" s="237" t="s">
        <v>1625</v>
      </c>
      <c r="K168" s="238" t="s">
        <v>1626</v>
      </c>
      <c r="L168" s="238" t="s">
        <v>1627</v>
      </c>
      <c r="M168" s="234" t="s">
        <v>1619</v>
      </c>
    </row>
    <row r="169" ht="15.75" customHeight="1">
      <c r="A169" s="239">
        <v>1.0</v>
      </c>
      <c r="B169" s="240" t="s">
        <v>1934</v>
      </c>
      <c r="C169" s="239" t="s">
        <v>109</v>
      </c>
      <c r="D169" s="213">
        <v>1.5</v>
      </c>
      <c r="E169" s="241">
        <f>'Daftar Harga'!D85</f>
        <v>18500</v>
      </c>
      <c r="F169" s="242">
        <f t="shared" ref="F169:F183" si="41">IF(E169&lt;&gt;"",D169*E169,"")</f>
        <v>27750</v>
      </c>
      <c r="G169" s="186">
        <v>40000.0</v>
      </c>
      <c r="H169" s="243">
        <f t="shared" ref="H169:H183" si="42">IF(G169&lt;&gt;"",D169*G169,"")</f>
        <v>60000</v>
      </c>
      <c r="I169" s="188">
        <v>46000.0</v>
      </c>
      <c r="J169" s="244">
        <f t="shared" ref="J169:J183" si="43">IF(I169&lt;&gt;"",D169*I169,"")</f>
        <v>69000</v>
      </c>
      <c r="K169" s="245">
        <f t="shared" ref="K169:K184" si="44">IF(J169&lt;&gt;"",IF(H169&lt;&gt;"",J169-H169,IF(F169&lt;&gt;"",J169-F169,"")),"")</f>
        <v>9000</v>
      </c>
      <c r="L169" s="246">
        <f t="shared" ref="L169:L184" si="45">IF(K169&lt;&gt;"",IF(H169&lt;&gt;"",IF(H169&lt;&gt;0,K169/H169,""),IF(F169&lt;&gt;"",IF(F169&lt;&gt;0,K169/F169,""),"")),"")</f>
        <v>0.15</v>
      </c>
      <c r="M169" s="247"/>
    </row>
    <row r="170" ht="15.75" customHeight="1">
      <c r="A170" s="248">
        <v>2.0</v>
      </c>
      <c r="B170" s="249" t="s">
        <v>1935</v>
      </c>
      <c r="C170" s="248" t="s">
        <v>109</v>
      </c>
      <c r="D170" s="216">
        <v>0.9</v>
      </c>
      <c r="E170" s="241">
        <f>'Daftar Harga'!D87</f>
        <v>3264</v>
      </c>
      <c r="F170" s="242">
        <f t="shared" si="41"/>
        <v>2937.6</v>
      </c>
      <c r="G170" s="186">
        <v>33000.0</v>
      </c>
      <c r="H170" s="243">
        <f t="shared" si="42"/>
        <v>29700</v>
      </c>
      <c r="I170" s="188">
        <v>36000.0</v>
      </c>
      <c r="J170" s="244">
        <f t="shared" si="43"/>
        <v>32400</v>
      </c>
      <c r="K170" s="250">
        <f t="shared" si="44"/>
        <v>2700</v>
      </c>
      <c r="L170" s="251">
        <f t="shared" si="45"/>
        <v>0.09090909091</v>
      </c>
      <c r="M170" s="252"/>
    </row>
    <row r="171" ht="15.75" customHeight="1">
      <c r="A171" s="239">
        <v>3.0</v>
      </c>
      <c r="B171" s="240" t="s">
        <v>1527</v>
      </c>
      <c r="C171" s="239" t="s">
        <v>109</v>
      </c>
      <c r="D171" s="213">
        <v>25.0</v>
      </c>
      <c r="E171" s="241">
        <f>'Daftar Harga'!D91</f>
        <v>500</v>
      </c>
      <c r="F171" s="242">
        <f t="shared" si="41"/>
        <v>12500</v>
      </c>
      <c r="G171" s="186">
        <v>14500.0</v>
      </c>
      <c r="H171" s="243">
        <f t="shared" si="42"/>
        <v>362500</v>
      </c>
      <c r="I171" s="188">
        <v>15500.0</v>
      </c>
      <c r="J171" s="244">
        <f t="shared" si="43"/>
        <v>387500</v>
      </c>
      <c r="K171" s="245">
        <f t="shared" si="44"/>
        <v>25000</v>
      </c>
      <c r="L171" s="246">
        <f t="shared" si="45"/>
        <v>0.06896551724</v>
      </c>
      <c r="M171" s="247"/>
    </row>
    <row r="172" ht="15.75" customHeight="1">
      <c r="A172" s="248">
        <v>4.0</v>
      </c>
      <c r="B172" s="249" t="s">
        <v>1642</v>
      </c>
      <c r="C172" s="248" t="s">
        <v>109</v>
      </c>
      <c r="D172" s="216">
        <v>2.0</v>
      </c>
      <c r="E172" s="241" t="str">
        <f>'Daftar Harga'!D103</f>
        <v/>
      </c>
      <c r="F172" s="242" t="str">
        <f t="shared" si="41"/>
        <v/>
      </c>
      <c r="G172" s="186">
        <v>15000.0</v>
      </c>
      <c r="H172" s="243">
        <f t="shared" si="42"/>
        <v>30000</v>
      </c>
      <c r="I172" s="188">
        <v>17000.0</v>
      </c>
      <c r="J172" s="244">
        <f t="shared" si="43"/>
        <v>34000</v>
      </c>
      <c r="K172" s="250">
        <f t="shared" si="44"/>
        <v>4000</v>
      </c>
      <c r="L172" s="251">
        <f t="shared" si="45"/>
        <v>0.1333333333</v>
      </c>
      <c r="M172" s="252"/>
    </row>
    <row r="173" ht="15.75" customHeight="1">
      <c r="A173" s="239">
        <v>5.0</v>
      </c>
      <c r="B173" s="240" t="s">
        <v>1542</v>
      </c>
      <c r="C173" s="239" t="s">
        <v>109</v>
      </c>
      <c r="D173" s="213">
        <v>0.25</v>
      </c>
      <c r="E173" s="241" t="str">
        <f>'Daftar Harga'!D107</f>
        <v/>
      </c>
      <c r="F173" s="242" t="str">
        <f t="shared" si="41"/>
        <v/>
      </c>
      <c r="G173" s="186">
        <v>10000.0</v>
      </c>
      <c r="H173" s="243">
        <f t="shared" si="42"/>
        <v>2500</v>
      </c>
      <c r="I173" s="188">
        <v>15000.0</v>
      </c>
      <c r="J173" s="244">
        <f t="shared" si="43"/>
        <v>3750</v>
      </c>
      <c r="K173" s="245">
        <f t="shared" si="44"/>
        <v>1250</v>
      </c>
      <c r="L173" s="246">
        <f t="shared" si="45"/>
        <v>0.5</v>
      </c>
      <c r="M173" s="247"/>
    </row>
    <row r="174" ht="15.75" customHeight="1">
      <c r="A174" s="248">
        <v>6.0</v>
      </c>
      <c r="B174" s="249" t="s">
        <v>1543</v>
      </c>
      <c r="C174" s="248" t="s">
        <v>109</v>
      </c>
      <c r="D174" s="216">
        <v>4.0</v>
      </c>
      <c r="E174" s="241" t="str">
        <f>'Daftar Harga'!D109</f>
        <v/>
      </c>
      <c r="F174" s="242" t="str">
        <f t="shared" si="41"/>
        <v/>
      </c>
      <c r="G174" s="186">
        <v>7000.0</v>
      </c>
      <c r="H174" s="243">
        <f t="shared" si="42"/>
        <v>28000</v>
      </c>
      <c r="I174" s="188">
        <v>10000.0</v>
      </c>
      <c r="J174" s="244">
        <f t="shared" si="43"/>
        <v>40000</v>
      </c>
      <c r="K174" s="250">
        <f t="shared" si="44"/>
        <v>12000</v>
      </c>
      <c r="L174" s="251">
        <f t="shared" si="45"/>
        <v>0.4285714286</v>
      </c>
      <c r="M174" s="252"/>
    </row>
    <row r="175">
      <c r="A175" s="332">
        <v>7.0</v>
      </c>
      <c r="B175" s="331" t="s">
        <v>1655</v>
      </c>
      <c r="C175" s="332" t="s">
        <v>109</v>
      </c>
      <c r="D175" s="213">
        <v>2.0</v>
      </c>
      <c r="E175" s="241" t="str">
        <f>'Daftar Harga'!D112</f>
        <v/>
      </c>
      <c r="F175" s="242" t="str">
        <f t="shared" si="41"/>
        <v/>
      </c>
      <c r="G175" s="186">
        <v>18500.0</v>
      </c>
      <c r="H175" s="243">
        <f t="shared" si="42"/>
        <v>37000</v>
      </c>
      <c r="I175" s="188">
        <v>20000.0</v>
      </c>
      <c r="J175" s="244">
        <f t="shared" si="43"/>
        <v>40000</v>
      </c>
      <c r="K175" s="245">
        <f t="shared" si="44"/>
        <v>3000</v>
      </c>
      <c r="L175" s="246">
        <f t="shared" si="45"/>
        <v>0.08108108108</v>
      </c>
      <c r="M175" s="352"/>
    </row>
    <row r="176" ht="15.75" customHeight="1">
      <c r="A176" s="248">
        <v>8.0</v>
      </c>
      <c r="B176" s="249" t="s">
        <v>1549</v>
      </c>
      <c r="C176" s="248" t="s">
        <v>109</v>
      </c>
      <c r="D176" s="216">
        <v>56.8</v>
      </c>
      <c r="E176" s="241" t="str">
        <f>'Daftar Harga'!D118</f>
        <v/>
      </c>
      <c r="F176" s="242" t="str">
        <f t="shared" si="41"/>
        <v/>
      </c>
      <c r="G176" s="186">
        <v>25000.0</v>
      </c>
      <c r="H176" s="243">
        <f t="shared" si="42"/>
        <v>1420000</v>
      </c>
      <c r="I176" s="188">
        <v>27500.0</v>
      </c>
      <c r="J176" s="244">
        <f t="shared" si="43"/>
        <v>1562000</v>
      </c>
      <c r="K176" s="250">
        <f t="shared" si="44"/>
        <v>142000</v>
      </c>
      <c r="L176" s="251">
        <f t="shared" si="45"/>
        <v>0.1</v>
      </c>
      <c r="M176" s="252"/>
    </row>
    <row r="177" ht="15.75" customHeight="1">
      <c r="A177" s="239">
        <v>9.0</v>
      </c>
      <c r="B177" s="240" t="s">
        <v>1936</v>
      </c>
      <c r="C177" s="239" t="s">
        <v>109</v>
      </c>
      <c r="D177" s="213">
        <v>2.0</v>
      </c>
      <c r="E177" s="241" t="str">
        <f>'Daftar Harga'!D124</f>
        <v/>
      </c>
      <c r="F177" s="242" t="str">
        <f t="shared" si="41"/>
        <v/>
      </c>
      <c r="G177" s="186">
        <v>120000.0</v>
      </c>
      <c r="H177" s="243">
        <f t="shared" si="42"/>
        <v>240000</v>
      </c>
      <c r="I177" s="188">
        <v>125000.0</v>
      </c>
      <c r="J177" s="244">
        <f t="shared" si="43"/>
        <v>250000</v>
      </c>
      <c r="K177" s="245">
        <f t="shared" si="44"/>
        <v>10000</v>
      </c>
      <c r="L177" s="246">
        <f t="shared" si="45"/>
        <v>0.04166666667</v>
      </c>
      <c r="M177" s="247"/>
    </row>
    <row r="178" ht="15.75" customHeight="1">
      <c r="A178" s="248">
        <v>10.0</v>
      </c>
      <c r="B178" s="249" t="s">
        <v>1569</v>
      </c>
      <c r="C178" s="248" t="s">
        <v>109</v>
      </c>
      <c r="D178" s="216">
        <v>1.5</v>
      </c>
      <c r="E178" s="241" t="str">
        <f>'Daftar Harga'!D136</f>
        <v/>
      </c>
      <c r="F178" s="242" t="str">
        <f t="shared" si="41"/>
        <v/>
      </c>
      <c r="G178" s="186">
        <v>10000.0</v>
      </c>
      <c r="H178" s="243">
        <f t="shared" si="42"/>
        <v>15000</v>
      </c>
      <c r="I178" s="188">
        <v>16000.0</v>
      </c>
      <c r="J178" s="244">
        <f t="shared" si="43"/>
        <v>24000</v>
      </c>
      <c r="K178" s="250">
        <f t="shared" si="44"/>
        <v>9000</v>
      </c>
      <c r="L178" s="251">
        <f t="shared" si="45"/>
        <v>0.6</v>
      </c>
      <c r="M178" s="252"/>
    </row>
    <row r="179" ht="15.75" customHeight="1">
      <c r="A179" s="248">
        <v>12.0</v>
      </c>
      <c r="B179" s="249" t="s">
        <v>1595</v>
      </c>
      <c r="C179" s="248" t="s">
        <v>109</v>
      </c>
      <c r="D179" s="216">
        <v>1.5</v>
      </c>
      <c r="E179" s="241" t="str">
        <f>'Daftar Harga'!D164</f>
        <v/>
      </c>
      <c r="F179" s="242" t="str">
        <f t="shared" si="41"/>
        <v/>
      </c>
      <c r="G179" s="186">
        <v>12000.0</v>
      </c>
      <c r="H179" s="243">
        <f t="shared" si="42"/>
        <v>18000</v>
      </c>
      <c r="I179" s="188">
        <v>15000.0</v>
      </c>
      <c r="J179" s="244">
        <f t="shared" si="43"/>
        <v>22500</v>
      </c>
      <c r="K179" s="250">
        <f t="shared" si="44"/>
        <v>4500</v>
      </c>
      <c r="L179" s="251">
        <f t="shared" si="45"/>
        <v>0.25</v>
      </c>
      <c r="M179" s="252"/>
    </row>
    <row r="180" ht="15.75" customHeight="1">
      <c r="A180" s="239">
        <v>13.0</v>
      </c>
      <c r="B180" s="240" t="s">
        <v>1600</v>
      </c>
      <c r="C180" s="239" t="s">
        <v>109</v>
      </c>
      <c r="D180" s="213">
        <v>25.0</v>
      </c>
      <c r="E180" s="241" t="str">
        <f>'Daftar Harga'!D175</f>
        <v/>
      </c>
      <c r="F180" s="242" t="str">
        <f t="shared" si="41"/>
        <v/>
      </c>
      <c r="G180" s="186">
        <v>25500.0</v>
      </c>
      <c r="H180" s="243">
        <f t="shared" si="42"/>
        <v>637500</v>
      </c>
      <c r="I180" s="188">
        <v>27000.0</v>
      </c>
      <c r="J180" s="244">
        <f t="shared" si="43"/>
        <v>675000</v>
      </c>
      <c r="K180" s="245">
        <f t="shared" si="44"/>
        <v>37500</v>
      </c>
      <c r="L180" s="246">
        <f t="shared" si="45"/>
        <v>0.05882352941</v>
      </c>
      <c r="M180" s="247"/>
    </row>
    <row r="181" ht="15.75" customHeight="1">
      <c r="A181" s="248">
        <v>14.0</v>
      </c>
      <c r="B181" s="249" t="s">
        <v>1601</v>
      </c>
      <c r="C181" s="248" t="s">
        <v>69</v>
      </c>
      <c r="D181" s="216">
        <v>24.0</v>
      </c>
      <c r="E181" s="241" t="str">
        <f>'Daftar Harga'!D177</f>
        <v/>
      </c>
      <c r="F181" s="242" t="str">
        <f t="shared" si="41"/>
        <v/>
      </c>
      <c r="G181" s="186">
        <v>12000.0</v>
      </c>
      <c r="H181" s="243">
        <f t="shared" si="42"/>
        <v>288000</v>
      </c>
      <c r="I181" s="188">
        <v>14000.0</v>
      </c>
      <c r="J181" s="244">
        <f t="shared" si="43"/>
        <v>336000</v>
      </c>
      <c r="K181" s="250">
        <f t="shared" si="44"/>
        <v>48000</v>
      </c>
      <c r="L181" s="251">
        <f t="shared" si="45"/>
        <v>0.1666666667</v>
      </c>
      <c r="M181" s="252"/>
    </row>
    <row r="182" ht="15.75" customHeight="1">
      <c r="A182" s="239">
        <v>15.0</v>
      </c>
      <c r="B182" s="240" t="s">
        <v>1607</v>
      </c>
      <c r="C182" s="239" t="s">
        <v>109</v>
      </c>
      <c r="D182" s="213">
        <v>14.0</v>
      </c>
      <c r="E182" s="241" t="str">
        <f>'Daftar Harga'!D183</f>
        <v/>
      </c>
      <c r="F182" s="242" t="str">
        <f t="shared" si="41"/>
        <v/>
      </c>
      <c r="G182" s="186">
        <v>8000.0</v>
      </c>
      <c r="H182" s="243">
        <f t="shared" si="42"/>
        <v>112000</v>
      </c>
      <c r="I182" s="188">
        <v>12000.0</v>
      </c>
      <c r="J182" s="244">
        <f t="shared" si="43"/>
        <v>168000</v>
      </c>
      <c r="K182" s="245">
        <f t="shared" si="44"/>
        <v>56000</v>
      </c>
      <c r="L182" s="246">
        <f t="shared" si="45"/>
        <v>0.5</v>
      </c>
      <c r="M182" s="247"/>
    </row>
    <row r="183" ht="15.75" customHeight="1">
      <c r="A183" s="248">
        <v>16.0</v>
      </c>
      <c r="B183" s="249" t="s">
        <v>1609</v>
      </c>
      <c r="C183" s="248" t="s">
        <v>109</v>
      </c>
      <c r="D183" s="216">
        <v>12.0</v>
      </c>
      <c r="E183" s="241" t="str">
        <f>'Daftar Harga'!D185</f>
        <v/>
      </c>
      <c r="F183" s="242" t="str">
        <f t="shared" si="41"/>
        <v/>
      </c>
      <c r="G183" s="186">
        <v>14000.0</v>
      </c>
      <c r="H183" s="263">
        <f t="shared" si="42"/>
        <v>168000</v>
      </c>
      <c r="I183" s="188">
        <v>18000.0</v>
      </c>
      <c r="J183" s="264">
        <f t="shared" si="43"/>
        <v>216000</v>
      </c>
      <c r="K183" s="250">
        <f t="shared" si="44"/>
        <v>48000</v>
      </c>
      <c r="L183" s="251">
        <f t="shared" si="45"/>
        <v>0.2857142857</v>
      </c>
      <c r="M183" s="252"/>
    </row>
    <row r="184" ht="15.75" customHeight="1">
      <c r="A184" s="256" t="s">
        <v>1670</v>
      </c>
      <c r="B184" s="206"/>
      <c r="C184" s="206"/>
      <c r="D184" s="174"/>
      <c r="E184" s="257"/>
      <c r="F184" s="258">
        <f>SUMIF(F169:F183,"&lt;&gt;",F169:F183)</f>
        <v>43187.6</v>
      </c>
      <c r="G184" s="259"/>
      <c r="H184" s="260">
        <f>SUMIF(H169:H183,"&lt;&gt;",H169:H183)</f>
        <v>3448200</v>
      </c>
      <c r="I184" s="265"/>
      <c r="J184" s="260">
        <f>SUMIF(J169:J183,"&lt;&gt;",J169:J183)</f>
        <v>3860150</v>
      </c>
      <c r="K184" s="261">
        <f t="shared" si="44"/>
        <v>411950</v>
      </c>
      <c r="L184" s="262">
        <f t="shared" si="45"/>
        <v>0.1194681283</v>
      </c>
      <c r="M184" s="257"/>
    </row>
    <row r="185" ht="15.75" customHeight="1"/>
    <row r="186" ht="15.75" customHeight="1">
      <c r="A186" s="273" t="s">
        <v>1671</v>
      </c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</row>
    <row r="187" ht="15.75" customHeight="1">
      <c r="A187" s="229" t="s">
        <v>1509</v>
      </c>
      <c r="B187" s="229" t="s">
        <v>1510</v>
      </c>
      <c r="C187" s="302" t="s">
        <v>1511</v>
      </c>
      <c r="D187" s="302" t="s">
        <v>1614</v>
      </c>
      <c r="E187" s="303" t="s">
        <v>1615</v>
      </c>
      <c r="F187" s="304"/>
      <c r="G187" s="305" t="s">
        <v>1616</v>
      </c>
      <c r="H187" s="304"/>
      <c r="I187" s="306" t="s">
        <v>1617</v>
      </c>
      <c r="J187" s="304"/>
      <c r="K187" s="307" t="s">
        <v>1618</v>
      </c>
      <c r="L187" s="304"/>
      <c r="M187" s="302" t="s">
        <v>1619</v>
      </c>
    </row>
    <row r="188" ht="15.75" customHeight="1">
      <c r="A188" s="234" t="s">
        <v>1509</v>
      </c>
      <c r="B188" s="234" t="s">
        <v>1510</v>
      </c>
      <c r="C188" s="234" t="s">
        <v>1511</v>
      </c>
      <c r="D188" s="234" t="s">
        <v>1614</v>
      </c>
      <c r="E188" s="235" t="s">
        <v>1620</v>
      </c>
      <c r="F188" s="235" t="s">
        <v>1621</v>
      </c>
      <c r="G188" s="236" t="s">
        <v>1622</v>
      </c>
      <c r="H188" s="236" t="s">
        <v>1623</v>
      </c>
      <c r="I188" s="237" t="s">
        <v>1624</v>
      </c>
      <c r="J188" s="237" t="s">
        <v>1625</v>
      </c>
      <c r="K188" s="238" t="s">
        <v>1626</v>
      </c>
      <c r="L188" s="238" t="s">
        <v>1627</v>
      </c>
      <c r="M188" s="234" t="s">
        <v>1619</v>
      </c>
    </row>
    <row r="189" ht="15.75" customHeight="1">
      <c r="A189" s="239">
        <v>1.0</v>
      </c>
      <c r="B189" s="275" t="s">
        <v>1527</v>
      </c>
      <c r="C189" s="239" t="s">
        <v>109</v>
      </c>
      <c r="D189" s="254">
        <v>125.0</v>
      </c>
      <c r="E189" s="267"/>
      <c r="F189" s="268" t="str">
        <f t="shared" ref="F189:F200" si="46">IF(E189&lt;&gt;"",D189*E189,"")</f>
        <v/>
      </c>
      <c r="G189" s="199">
        <v>14500.0</v>
      </c>
      <c r="H189" s="243">
        <f t="shared" ref="H189:H205" si="47">IF(G189&lt;&gt;"",D189*G189,"")</f>
        <v>1812500</v>
      </c>
      <c r="I189" s="200">
        <v>15700.0</v>
      </c>
      <c r="J189" s="244">
        <f t="shared" ref="J189:J205" si="48">IF(I189&lt;&gt;"",D189*I189,"")</f>
        <v>1962500</v>
      </c>
      <c r="K189" s="245">
        <f t="shared" ref="K189:K206" si="49">IF(J189&lt;&gt;"",IF(H189&lt;&gt;"",J189-H189,IF(F189&lt;&gt;"",J189-F189,"")),"")</f>
        <v>150000</v>
      </c>
      <c r="L189" s="246">
        <f t="shared" ref="L189:L206" si="50">IF(K189&lt;&gt;"",IF(H189&lt;&gt;"",IF(H189&lt;&gt;0,K189/H189,""),IF(F189&lt;&gt;"",IF(F189&lt;&gt;0,K189/F189,""),"")),"")</f>
        <v>0.08275862069</v>
      </c>
      <c r="M189" s="247"/>
    </row>
    <row r="190" ht="15.75" customHeight="1">
      <c r="A190" s="248">
        <v>2.0</v>
      </c>
      <c r="B190" s="276" t="s">
        <v>1116</v>
      </c>
      <c r="C190" s="239" t="s">
        <v>109</v>
      </c>
      <c r="D190" s="277">
        <v>214.0</v>
      </c>
      <c r="E190" s="267"/>
      <c r="F190" s="268" t="str">
        <f t="shared" si="46"/>
        <v/>
      </c>
      <c r="G190" s="199">
        <v>28500.0</v>
      </c>
      <c r="H190" s="243">
        <f t="shared" si="47"/>
        <v>6099000</v>
      </c>
      <c r="I190" s="200">
        <v>38000.0</v>
      </c>
      <c r="J190" s="244">
        <f t="shared" si="48"/>
        <v>8132000</v>
      </c>
      <c r="K190" s="250">
        <f t="shared" si="49"/>
        <v>2033000</v>
      </c>
      <c r="L190" s="251">
        <f t="shared" si="50"/>
        <v>0.3333333333</v>
      </c>
      <c r="M190" s="252"/>
    </row>
    <row r="191" ht="15.75" customHeight="1">
      <c r="A191" s="239">
        <v>3.0</v>
      </c>
      <c r="B191" s="275" t="s">
        <v>1609</v>
      </c>
      <c r="C191" s="239" t="s">
        <v>109</v>
      </c>
      <c r="D191" s="254">
        <v>48.0</v>
      </c>
      <c r="E191" s="267"/>
      <c r="F191" s="268" t="str">
        <f t="shared" si="46"/>
        <v/>
      </c>
      <c r="G191" s="199">
        <v>14000.0</v>
      </c>
      <c r="H191" s="243">
        <f t="shared" si="47"/>
        <v>672000</v>
      </c>
      <c r="I191" s="200">
        <v>18000.0</v>
      </c>
      <c r="J191" s="244">
        <f t="shared" si="48"/>
        <v>864000</v>
      </c>
      <c r="K191" s="245">
        <f t="shared" si="49"/>
        <v>192000</v>
      </c>
      <c r="L191" s="246">
        <f t="shared" si="50"/>
        <v>0.2857142857</v>
      </c>
      <c r="M191" s="247"/>
    </row>
    <row r="192" ht="15.75" customHeight="1">
      <c r="A192" s="248">
        <v>4.0</v>
      </c>
      <c r="B192" s="276" t="s">
        <v>1690</v>
      </c>
      <c r="C192" s="239" t="s">
        <v>109</v>
      </c>
      <c r="D192" s="277">
        <v>39.0</v>
      </c>
      <c r="E192" s="267"/>
      <c r="F192" s="268" t="str">
        <f t="shared" si="46"/>
        <v/>
      </c>
      <c r="G192" s="199">
        <v>11000.0</v>
      </c>
      <c r="H192" s="243">
        <f t="shared" si="47"/>
        <v>429000</v>
      </c>
      <c r="I192" s="200">
        <v>13000.0</v>
      </c>
      <c r="J192" s="244">
        <f t="shared" si="48"/>
        <v>507000</v>
      </c>
      <c r="K192" s="250">
        <f t="shared" si="49"/>
        <v>78000</v>
      </c>
      <c r="L192" s="251">
        <f t="shared" si="50"/>
        <v>0.1818181818</v>
      </c>
      <c r="M192" s="252"/>
    </row>
    <row r="193" ht="15.75" customHeight="1">
      <c r="A193" s="239">
        <v>5.0</v>
      </c>
      <c r="B193" s="275" t="s">
        <v>1599</v>
      </c>
      <c r="C193" s="239" t="s">
        <v>109</v>
      </c>
      <c r="D193" s="254">
        <v>2070.0</v>
      </c>
      <c r="E193" s="267"/>
      <c r="F193" s="268" t="str">
        <f t="shared" si="46"/>
        <v/>
      </c>
      <c r="G193" s="199">
        <v>560.0</v>
      </c>
      <c r="H193" s="243">
        <f t="shared" si="47"/>
        <v>1159200</v>
      </c>
      <c r="I193" s="200">
        <v>700.0</v>
      </c>
      <c r="J193" s="244">
        <f t="shared" si="48"/>
        <v>1449000</v>
      </c>
      <c r="K193" s="245">
        <f t="shared" si="49"/>
        <v>289800</v>
      </c>
      <c r="L193" s="246">
        <f t="shared" si="50"/>
        <v>0.25</v>
      </c>
      <c r="M193" s="247"/>
    </row>
    <row r="194" ht="15.75" customHeight="1">
      <c r="A194" s="248">
        <v>6.0</v>
      </c>
      <c r="B194" s="276" t="s">
        <v>1634</v>
      </c>
      <c r="C194" s="239" t="s">
        <v>109</v>
      </c>
      <c r="D194" s="277">
        <v>2065.0</v>
      </c>
      <c r="E194" s="267"/>
      <c r="F194" s="268" t="str">
        <f t="shared" si="46"/>
        <v/>
      </c>
      <c r="G194" s="199">
        <v>1800.0</v>
      </c>
      <c r="H194" s="243">
        <f t="shared" si="47"/>
        <v>3717000</v>
      </c>
      <c r="I194" s="200">
        <v>2000.0</v>
      </c>
      <c r="J194" s="244">
        <f t="shared" si="48"/>
        <v>4130000</v>
      </c>
      <c r="K194" s="250">
        <f t="shared" si="49"/>
        <v>413000</v>
      </c>
      <c r="L194" s="251">
        <f t="shared" si="50"/>
        <v>0.1111111111</v>
      </c>
      <c r="M194" s="252"/>
    </row>
    <row r="195" ht="15.75" customHeight="1">
      <c r="A195" s="239">
        <v>7.0</v>
      </c>
      <c r="B195" s="275" t="s">
        <v>1569</v>
      </c>
      <c r="C195" s="239" t="s">
        <v>109</v>
      </c>
      <c r="D195" s="254">
        <v>4.0</v>
      </c>
      <c r="E195" s="267"/>
      <c r="F195" s="268" t="str">
        <f t="shared" si="46"/>
        <v/>
      </c>
      <c r="G195" s="199">
        <v>10000.0</v>
      </c>
      <c r="H195" s="243">
        <f t="shared" si="47"/>
        <v>40000</v>
      </c>
      <c r="I195" s="200">
        <v>16000.0</v>
      </c>
      <c r="J195" s="244">
        <f t="shared" si="48"/>
        <v>64000</v>
      </c>
      <c r="K195" s="245">
        <f t="shared" si="49"/>
        <v>24000</v>
      </c>
      <c r="L195" s="246">
        <f t="shared" si="50"/>
        <v>0.6</v>
      </c>
      <c r="M195" s="247"/>
    </row>
    <row r="196" ht="15.75" customHeight="1">
      <c r="A196" s="248">
        <v>8.0</v>
      </c>
      <c r="B196" s="276" t="s">
        <v>1641</v>
      </c>
      <c r="C196" s="239" t="s">
        <v>109</v>
      </c>
      <c r="D196" s="277">
        <v>4.0</v>
      </c>
      <c r="E196" s="267" t="str">
        <f>'Daftar Harga'!D232</f>
        <v/>
      </c>
      <c r="F196" s="268" t="str">
        <f t="shared" si="46"/>
        <v/>
      </c>
      <c r="G196" s="199">
        <v>38000.0</v>
      </c>
      <c r="H196" s="243">
        <f t="shared" si="47"/>
        <v>152000</v>
      </c>
      <c r="I196" s="200">
        <v>36000.0</v>
      </c>
      <c r="J196" s="244">
        <f t="shared" si="48"/>
        <v>144000</v>
      </c>
      <c r="K196" s="250">
        <f t="shared" si="49"/>
        <v>-8000</v>
      </c>
      <c r="L196" s="251">
        <f t="shared" si="50"/>
        <v>-0.05263157895</v>
      </c>
      <c r="M196" s="252"/>
    </row>
    <row r="197" ht="15.75" customHeight="1">
      <c r="A197" s="239">
        <v>9.0</v>
      </c>
      <c r="B197" s="275" t="s">
        <v>1640</v>
      </c>
      <c r="C197" s="239" t="s">
        <v>109</v>
      </c>
      <c r="D197" s="254">
        <v>4.0</v>
      </c>
      <c r="E197" s="267" t="str">
        <f>'Daftar Harga'!D242</f>
        <v/>
      </c>
      <c r="F197" s="268" t="str">
        <f t="shared" si="46"/>
        <v/>
      </c>
      <c r="G197" s="199">
        <v>45000.0</v>
      </c>
      <c r="H197" s="243">
        <f t="shared" si="47"/>
        <v>180000</v>
      </c>
      <c r="I197" s="200">
        <v>53000.0</v>
      </c>
      <c r="J197" s="244">
        <f t="shared" si="48"/>
        <v>212000</v>
      </c>
      <c r="K197" s="245">
        <f t="shared" si="49"/>
        <v>32000</v>
      </c>
      <c r="L197" s="246">
        <f t="shared" si="50"/>
        <v>0.1777777778</v>
      </c>
      <c r="M197" s="247"/>
    </row>
    <row r="198" ht="15.75" customHeight="1">
      <c r="A198" s="248">
        <v>10.0</v>
      </c>
      <c r="B198" s="276" t="s">
        <v>1574</v>
      </c>
      <c r="C198" s="239" t="s">
        <v>109</v>
      </c>
      <c r="D198" s="277">
        <v>3.0</v>
      </c>
      <c r="E198" s="267" t="str">
        <f>'Daftar Harga'!D244</f>
        <v/>
      </c>
      <c r="F198" s="268" t="str">
        <f t="shared" si="46"/>
        <v/>
      </c>
      <c r="G198" s="199">
        <v>11000.0</v>
      </c>
      <c r="H198" s="243">
        <f t="shared" si="47"/>
        <v>33000</v>
      </c>
      <c r="I198" s="200">
        <v>15000.0</v>
      </c>
      <c r="J198" s="244">
        <f t="shared" si="48"/>
        <v>45000</v>
      </c>
      <c r="K198" s="250">
        <f t="shared" si="49"/>
        <v>12000</v>
      </c>
      <c r="L198" s="251">
        <f t="shared" si="50"/>
        <v>0.3636363636</v>
      </c>
      <c r="M198" s="252"/>
    </row>
    <row r="199" ht="15.75" customHeight="1">
      <c r="A199" s="239">
        <v>11.0</v>
      </c>
      <c r="B199" s="275" t="s">
        <v>1563</v>
      </c>
      <c r="C199" s="239" t="s">
        <v>109</v>
      </c>
      <c r="D199" s="254">
        <v>1.0</v>
      </c>
      <c r="E199" s="267" t="str">
        <f>'Daftar Harga'!D247</f>
        <v/>
      </c>
      <c r="F199" s="268" t="str">
        <f t="shared" si="46"/>
        <v/>
      </c>
      <c r="G199" s="199">
        <v>46000.0</v>
      </c>
      <c r="H199" s="243">
        <f t="shared" si="47"/>
        <v>46000</v>
      </c>
      <c r="I199" s="200">
        <v>54000.0</v>
      </c>
      <c r="J199" s="244">
        <f t="shared" si="48"/>
        <v>54000</v>
      </c>
      <c r="K199" s="245">
        <f t="shared" si="49"/>
        <v>8000</v>
      </c>
      <c r="L199" s="246">
        <f t="shared" si="50"/>
        <v>0.1739130435</v>
      </c>
      <c r="M199" s="247"/>
    </row>
    <row r="200" ht="15.75" customHeight="1">
      <c r="A200" s="248">
        <v>12.0</v>
      </c>
      <c r="B200" s="276" t="s">
        <v>1543</v>
      </c>
      <c r="C200" s="239" t="s">
        <v>109</v>
      </c>
      <c r="D200" s="277">
        <v>1.0</v>
      </c>
      <c r="E200" s="267" t="str">
        <f>'Daftar Harga'!D256</f>
        <v/>
      </c>
      <c r="F200" s="268" t="str">
        <f t="shared" si="46"/>
        <v/>
      </c>
      <c r="G200" s="199">
        <v>8000.0</v>
      </c>
      <c r="H200" s="263">
        <f t="shared" si="47"/>
        <v>8000</v>
      </c>
      <c r="I200" s="200">
        <v>10000.0</v>
      </c>
      <c r="J200" s="244">
        <f t="shared" si="48"/>
        <v>10000</v>
      </c>
      <c r="K200" s="250">
        <f t="shared" si="49"/>
        <v>2000</v>
      </c>
      <c r="L200" s="251">
        <f t="shared" si="50"/>
        <v>0.25</v>
      </c>
      <c r="M200" s="252"/>
    </row>
    <row r="201" ht="15.75" customHeight="1">
      <c r="A201" s="248">
        <v>13.0</v>
      </c>
      <c r="B201" s="276" t="s">
        <v>1655</v>
      </c>
      <c r="C201" s="239" t="s">
        <v>109</v>
      </c>
      <c r="D201" s="277">
        <v>2.0</v>
      </c>
      <c r="E201" s="267"/>
      <c r="F201" s="268"/>
      <c r="G201" s="353">
        <v>19000.0</v>
      </c>
      <c r="H201" s="263">
        <f t="shared" si="47"/>
        <v>38000</v>
      </c>
      <c r="I201" s="354">
        <v>20000.0</v>
      </c>
      <c r="J201" s="244">
        <f t="shared" si="48"/>
        <v>40000</v>
      </c>
      <c r="K201" s="250">
        <f t="shared" si="49"/>
        <v>2000</v>
      </c>
      <c r="L201" s="251">
        <f t="shared" si="50"/>
        <v>0.05263157895</v>
      </c>
      <c r="M201" s="252"/>
    </row>
    <row r="202" ht="15.75" customHeight="1">
      <c r="A202" s="239">
        <v>14.0</v>
      </c>
      <c r="B202" s="276" t="s">
        <v>1846</v>
      </c>
      <c r="C202" s="239" t="s">
        <v>109</v>
      </c>
      <c r="D202" s="277">
        <v>1.0</v>
      </c>
      <c r="E202" s="267"/>
      <c r="F202" s="268"/>
      <c r="G202" s="353">
        <v>52000.0</v>
      </c>
      <c r="H202" s="263">
        <f t="shared" si="47"/>
        <v>52000</v>
      </c>
      <c r="I202" s="354">
        <v>56000.0</v>
      </c>
      <c r="J202" s="244">
        <f t="shared" si="48"/>
        <v>56000</v>
      </c>
      <c r="K202" s="250">
        <f t="shared" si="49"/>
        <v>4000</v>
      </c>
      <c r="L202" s="251">
        <f t="shared" si="50"/>
        <v>0.07692307692</v>
      </c>
      <c r="M202" s="252"/>
    </row>
    <row r="203" ht="15.75" customHeight="1">
      <c r="A203" s="248">
        <v>15.0</v>
      </c>
      <c r="B203" s="276" t="s">
        <v>1713</v>
      </c>
      <c r="C203" s="239" t="s">
        <v>109</v>
      </c>
      <c r="D203" s="277">
        <v>0.2</v>
      </c>
      <c r="E203" s="267"/>
      <c r="F203" s="268"/>
      <c r="G203" s="353">
        <v>100000.0</v>
      </c>
      <c r="H203" s="263">
        <f t="shared" si="47"/>
        <v>20000</v>
      </c>
      <c r="I203" s="354">
        <v>190000.0</v>
      </c>
      <c r="J203" s="244">
        <f t="shared" si="48"/>
        <v>38000</v>
      </c>
      <c r="K203" s="250">
        <f t="shared" si="49"/>
        <v>18000</v>
      </c>
      <c r="L203" s="251">
        <f t="shared" si="50"/>
        <v>0.9</v>
      </c>
      <c r="M203" s="252"/>
    </row>
    <row r="204" ht="15.75" customHeight="1">
      <c r="A204" s="248">
        <v>16.0</v>
      </c>
      <c r="B204" s="276" t="s">
        <v>1942</v>
      </c>
      <c r="C204" s="239" t="s">
        <v>109</v>
      </c>
      <c r="D204" s="277">
        <v>1.0</v>
      </c>
      <c r="E204" s="267"/>
      <c r="F204" s="268"/>
      <c r="G204" s="353">
        <v>40000.0</v>
      </c>
      <c r="H204" s="263">
        <f t="shared" si="47"/>
        <v>40000</v>
      </c>
      <c r="I204" s="354">
        <v>50000.0</v>
      </c>
      <c r="J204" s="244">
        <f t="shared" si="48"/>
        <v>50000</v>
      </c>
      <c r="K204" s="250">
        <f t="shared" si="49"/>
        <v>10000</v>
      </c>
      <c r="L204" s="251">
        <f t="shared" si="50"/>
        <v>0.25</v>
      </c>
      <c r="M204" s="252"/>
    </row>
    <row r="205" ht="15.75" customHeight="1">
      <c r="A205" s="239">
        <v>17.0</v>
      </c>
      <c r="B205" s="276" t="s">
        <v>1595</v>
      </c>
      <c r="C205" s="239" t="s">
        <v>109</v>
      </c>
      <c r="D205" s="277">
        <v>2.0</v>
      </c>
      <c r="E205" s="267"/>
      <c r="F205" s="268"/>
      <c r="G205" s="353">
        <v>10000.0</v>
      </c>
      <c r="H205" s="263">
        <f t="shared" si="47"/>
        <v>20000</v>
      </c>
      <c r="I205" s="354">
        <v>15000.0</v>
      </c>
      <c r="J205" s="244">
        <f t="shared" si="48"/>
        <v>30000</v>
      </c>
      <c r="K205" s="250">
        <f t="shared" si="49"/>
        <v>10000</v>
      </c>
      <c r="L205" s="251">
        <f t="shared" si="50"/>
        <v>0.5</v>
      </c>
      <c r="M205" s="252"/>
    </row>
    <row r="206" ht="15.75" customHeight="1">
      <c r="A206" s="355" t="s">
        <v>1672</v>
      </c>
      <c r="B206" s="356"/>
      <c r="C206" s="259"/>
      <c r="D206" s="356"/>
      <c r="E206" s="257"/>
      <c r="F206" s="258">
        <f>SUMIF(F189:F205,"&lt;&gt;",F189:F205)</f>
        <v>0</v>
      </c>
      <c r="G206" s="317"/>
      <c r="H206" s="260">
        <f>SUMIF(H189:H205,"&lt;&gt;",H189:H205)</f>
        <v>14517700</v>
      </c>
      <c r="I206" s="327"/>
      <c r="J206" s="260">
        <f>SUMIF(J189:J205,"&lt;&gt;",J189:J205)</f>
        <v>17787500</v>
      </c>
      <c r="K206" s="261">
        <f t="shared" si="49"/>
        <v>3269800</v>
      </c>
      <c r="L206" s="262">
        <f t="shared" si="50"/>
        <v>0.2252285142</v>
      </c>
      <c r="M206" s="257"/>
    </row>
    <row r="207" ht="15.75" customHeight="1"/>
    <row r="208" ht="15.75" customHeight="1">
      <c r="A208" s="273" t="s">
        <v>1943</v>
      </c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</row>
    <row r="209" ht="15.75" customHeight="1">
      <c r="A209" s="229" t="s">
        <v>1509</v>
      </c>
      <c r="B209" s="229" t="s">
        <v>1510</v>
      </c>
      <c r="C209" s="302" t="s">
        <v>1511</v>
      </c>
      <c r="D209" s="302" t="s">
        <v>1614</v>
      </c>
      <c r="E209" s="303" t="s">
        <v>1615</v>
      </c>
      <c r="F209" s="304"/>
      <c r="G209" s="305" t="s">
        <v>1616</v>
      </c>
      <c r="H209" s="304"/>
      <c r="I209" s="306" t="s">
        <v>1617</v>
      </c>
      <c r="J209" s="304"/>
      <c r="K209" s="307" t="s">
        <v>1618</v>
      </c>
      <c r="L209" s="304"/>
      <c r="M209" s="302" t="s">
        <v>1619</v>
      </c>
    </row>
    <row r="210" ht="15.75" customHeight="1">
      <c r="A210" s="234" t="s">
        <v>1509</v>
      </c>
      <c r="B210" s="234" t="s">
        <v>1510</v>
      </c>
      <c r="C210" s="234" t="s">
        <v>1511</v>
      </c>
      <c r="D210" s="234" t="s">
        <v>1614</v>
      </c>
      <c r="E210" s="235" t="s">
        <v>1620</v>
      </c>
      <c r="F210" s="235" t="s">
        <v>1621</v>
      </c>
      <c r="G210" s="236" t="s">
        <v>1622</v>
      </c>
      <c r="H210" s="236" t="s">
        <v>1623</v>
      </c>
      <c r="I210" s="237" t="s">
        <v>1624</v>
      </c>
      <c r="J210" s="237" t="s">
        <v>1625</v>
      </c>
      <c r="K210" s="238" t="s">
        <v>1626</v>
      </c>
      <c r="L210" s="238" t="s">
        <v>1627</v>
      </c>
      <c r="M210" s="234" t="s">
        <v>1619</v>
      </c>
    </row>
    <row r="211" ht="15.75" customHeight="1">
      <c r="A211" s="239">
        <v>1.0</v>
      </c>
      <c r="B211" s="275" t="s">
        <v>1527</v>
      </c>
      <c r="C211" s="239" t="s">
        <v>109</v>
      </c>
      <c r="D211" s="254">
        <v>100.0</v>
      </c>
      <c r="E211" s="267"/>
      <c r="F211" s="268" t="str">
        <f t="shared" ref="F211:F230" si="51">IF(E211&lt;&gt;"",D211*E211,"")</f>
        <v/>
      </c>
      <c r="G211" s="199">
        <v>14500.0</v>
      </c>
      <c r="H211" s="243">
        <f t="shared" ref="H211:H230" si="52">IF(G211&lt;&gt;"",D211*G211,"")</f>
        <v>1450000</v>
      </c>
      <c r="I211" s="200">
        <v>15700.0</v>
      </c>
      <c r="J211" s="244">
        <f t="shared" ref="J211:J230" si="53">IF(I211&lt;&gt;"",D211*I211,"")</f>
        <v>1570000</v>
      </c>
      <c r="K211" s="245">
        <f t="shared" ref="K211:K231" si="54">IF(J211&lt;&gt;"",IF(H211&lt;&gt;"",J211-H211,IF(F211&lt;&gt;"",J211-F211,"")),"")</f>
        <v>120000</v>
      </c>
      <c r="L211" s="246">
        <f t="shared" ref="L211:L231" si="55">IF(K211&lt;&gt;"",IF(H211&lt;&gt;"",IF(H211&lt;&gt;0,K211/H211,""),IF(F211&lt;&gt;"",IF(F211&lt;&gt;0,K211/F211,""),"")),"")</f>
        <v>0.08275862069</v>
      </c>
      <c r="M211" s="247"/>
    </row>
    <row r="212" ht="15.75" customHeight="1">
      <c r="A212" s="248">
        <v>2.0</v>
      </c>
      <c r="B212" s="276" t="s">
        <v>1600</v>
      </c>
      <c r="C212" s="239" t="s">
        <v>109</v>
      </c>
      <c r="D212" s="254">
        <v>106.3</v>
      </c>
      <c r="E212" s="267"/>
      <c r="F212" s="268" t="str">
        <f t="shared" si="51"/>
        <v/>
      </c>
      <c r="G212" s="199">
        <v>24500.0</v>
      </c>
      <c r="H212" s="243">
        <f t="shared" si="52"/>
        <v>2604350</v>
      </c>
      <c r="I212" s="200">
        <v>27000.0</v>
      </c>
      <c r="J212" s="244">
        <f t="shared" si="53"/>
        <v>2870100</v>
      </c>
      <c r="K212" s="245">
        <f t="shared" si="54"/>
        <v>265750</v>
      </c>
      <c r="L212" s="246">
        <f t="shared" si="55"/>
        <v>0.1020408163</v>
      </c>
      <c r="M212" s="247"/>
    </row>
    <row r="213" ht="15.75" customHeight="1">
      <c r="A213" s="239">
        <v>3.0</v>
      </c>
      <c r="B213" s="275" t="s">
        <v>1609</v>
      </c>
      <c r="C213" s="239" t="s">
        <v>109</v>
      </c>
      <c r="D213" s="254">
        <v>33.4</v>
      </c>
      <c r="E213" s="267"/>
      <c r="F213" s="268" t="str">
        <f t="shared" si="51"/>
        <v/>
      </c>
      <c r="G213" s="199">
        <v>14000.0</v>
      </c>
      <c r="H213" s="243">
        <f t="shared" si="52"/>
        <v>467600</v>
      </c>
      <c r="I213" s="200">
        <v>17000.0</v>
      </c>
      <c r="J213" s="244">
        <f t="shared" si="53"/>
        <v>567800</v>
      </c>
      <c r="K213" s="245">
        <f t="shared" si="54"/>
        <v>100200</v>
      </c>
      <c r="L213" s="246">
        <f t="shared" si="55"/>
        <v>0.2142857143</v>
      </c>
      <c r="M213" s="247"/>
    </row>
    <row r="214" ht="15.75" customHeight="1">
      <c r="A214" s="248">
        <v>4.0</v>
      </c>
      <c r="B214" s="276" t="s">
        <v>1944</v>
      </c>
      <c r="C214" s="239" t="s">
        <v>109</v>
      </c>
      <c r="D214" s="254">
        <v>28.0</v>
      </c>
      <c r="E214" s="267"/>
      <c r="F214" s="268" t="str">
        <f t="shared" si="51"/>
        <v/>
      </c>
      <c r="G214" s="199">
        <v>8000.0</v>
      </c>
      <c r="H214" s="243">
        <f t="shared" si="52"/>
        <v>224000</v>
      </c>
      <c r="I214" s="200">
        <v>12000.0</v>
      </c>
      <c r="J214" s="244">
        <f t="shared" si="53"/>
        <v>336000</v>
      </c>
      <c r="K214" s="245">
        <f t="shared" si="54"/>
        <v>112000</v>
      </c>
      <c r="L214" s="246">
        <f t="shared" si="55"/>
        <v>0.5</v>
      </c>
      <c r="M214" s="247"/>
    </row>
    <row r="215" ht="15.75" customHeight="1">
      <c r="A215" s="239">
        <v>5.0</v>
      </c>
      <c r="B215" s="275" t="s">
        <v>1601</v>
      </c>
      <c r="C215" s="278" t="s">
        <v>67</v>
      </c>
      <c r="D215" s="254">
        <v>74.0</v>
      </c>
      <c r="E215" s="267"/>
      <c r="F215" s="268" t="str">
        <f t="shared" si="51"/>
        <v/>
      </c>
      <c r="G215" s="199">
        <v>12000.0</v>
      </c>
      <c r="H215" s="243">
        <f t="shared" si="52"/>
        <v>888000</v>
      </c>
      <c r="I215" s="200">
        <v>13000.0</v>
      </c>
      <c r="J215" s="244">
        <f t="shared" si="53"/>
        <v>962000</v>
      </c>
      <c r="K215" s="245">
        <f t="shared" si="54"/>
        <v>74000</v>
      </c>
      <c r="L215" s="246">
        <f t="shared" si="55"/>
        <v>0.08333333333</v>
      </c>
      <c r="M215" s="247"/>
    </row>
    <row r="216" ht="15.75" customHeight="1">
      <c r="A216" s="248">
        <v>6.0</v>
      </c>
      <c r="B216" s="275" t="s">
        <v>1209</v>
      </c>
      <c r="C216" s="278" t="s">
        <v>261</v>
      </c>
      <c r="D216" s="254">
        <v>13.0</v>
      </c>
      <c r="E216" s="267"/>
      <c r="F216" s="268" t="str">
        <f t="shared" si="51"/>
        <v/>
      </c>
      <c r="G216" s="199">
        <v>580000.0</v>
      </c>
      <c r="H216" s="243">
        <f t="shared" si="52"/>
        <v>7540000</v>
      </c>
      <c r="I216" s="200">
        <v>590000.0</v>
      </c>
      <c r="J216" s="244">
        <f t="shared" si="53"/>
        <v>7670000</v>
      </c>
      <c r="K216" s="245">
        <f t="shared" si="54"/>
        <v>130000</v>
      </c>
      <c r="L216" s="246">
        <f t="shared" si="55"/>
        <v>0.01724137931</v>
      </c>
      <c r="M216" s="247"/>
    </row>
    <row r="217" ht="15.75" customHeight="1">
      <c r="A217" s="239">
        <v>7.0</v>
      </c>
      <c r="B217" s="275" t="s">
        <v>1209</v>
      </c>
      <c r="C217" s="239" t="s">
        <v>109</v>
      </c>
      <c r="D217" s="254">
        <v>14.0</v>
      </c>
      <c r="E217" s="267"/>
      <c r="F217" s="268" t="str">
        <f t="shared" si="51"/>
        <v/>
      </c>
      <c r="G217" s="199">
        <v>35000.0</v>
      </c>
      <c r="H217" s="243">
        <f t="shared" si="52"/>
        <v>490000</v>
      </c>
      <c r="I217" s="200">
        <v>36000.0</v>
      </c>
      <c r="J217" s="244">
        <f t="shared" si="53"/>
        <v>504000</v>
      </c>
      <c r="K217" s="245">
        <f t="shared" si="54"/>
        <v>14000</v>
      </c>
      <c r="L217" s="246">
        <f t="shared" si="55"/>
        <v>0.02857142857</v>
      </c>
      <c r="M217" s="247"/>
    </row>
    <row r="218" ht="15.75" customHeight="1">
      <c r="A218" s="248">
        <v>8.0</v>
      </c>
      <c r="B218" s="275" t="s">
        <v>1934</v>
      </c>
      <c r="C218" s="239" t="s">
        <v>109</v>
      </c>
      <c r="D218" s="254">
        <v>3.0</v>
      </c>
      <c r="E218" s="267"/>
      <c r="F218" s="268" t="str">
        <f t="shared" si="51"/>
        <v/>
      </c>
      <c r="G218" s="199">
        <v>45000.0</v>
      </c>
      <c r="H218" s="243">
        <f t="shared" si="52"/>
        <v>135000</v>
      </c>
      <c r="I218" s="200">
        <v>50000.0</v>
      </c>
      <c r="J218" s="244">
        <f t="shared" si="53"/>
        <v>150000</v>
      </c>
      <c r="K218" s="245">
        <f t="shared" si="54"/>
        <v>15000</v>
      </c>
      <c r="L218" s="246">
        <f t="shared" si="55"/>
        <v>0.1111111111</v>
      </c>
      <c r="M218" s="247"/>
    </row>
    <row r="219" ht="15.75" customHeight="1">
      <c r="A219" s="239">
        <v>9.0</v>
      </c>
      <c r="B219" s="275" t="s">
        <v>1935</v>
      </c>
      <c r="C219" s="239" t="s">
        <v>109</v>
      </c>
      <c r="D219" s="254">
        <v>3.0</v>
      </c>
      <c r="E219" s="267"/>
      <c r="F219" s="268" t="str">
        <f t="shared" si="51"/>
        <v/>
      </c>
      <c r="G219" s="199">
        <v>32000.0</v>
      </c>
      <c r="H219" s="243">
        <f t="shared" si="52"/>
        <v>96000</v>
      </c>
      <c r="I219" s="200">
        <v>36000.0</v>
      </c>
      <c r="J219" s="244">
        <f t="shared" si="53"/>
        <v>108000</v>
      </c>
      <c r="K219" s="245">
        <f t="shared" si="54"/>
        <v>12000</v>
      </c>
      <c r="L219" s="246">
        <f t="shared" si="55"/>
        <v>0.125</v>
      </c>
      <c r="M219" s="247"/>
    </row>
    <row r="220" ht="15.75" customHeight="1">
      <c r="A220" s="248">
        <v>10.0</v>
      </c>
      <c r="B220" s="275" t="s">
        <v>1563</v>
      </c>
      <c r="C220" s="239" t="s">
        <v>109</v>
      </c>
      <c r="D220" s="254">
        <v>1.0</v>
      </c>
      <c r="E220" s="267"/>
      <c r="F220" s="268" t="str">
        <f t="shared" si="51"/>
        <v/>
      </c>
      <c r="G220" s="199">
        <v>46000.0</v>
      </c>
      <c r="H220" s="243">
        <f t="shared" si="52"/>
        <v>46000</v>
      </c>
      <c r="I220" s="200">
        <v>55000.0</v>
      </c>
      <c r="J220" s="244">
        <f t="shared" si="53"/>
        <v>55000</v>
      </c>
      <c r="K220" s="245">
        <f t="shared" si="54"/>
        <v>9000</v>
      </c>
      <c r="L220" s="246">
        <f t="shared" si="55"/>
        <v>0.1956521739</v>
      </c>
      <c r="M220" s="247"/>
    </row>
    <row r="221" ht="15.75" customHeight="1">
      <c r="A221" s="239">
        <v>11.0</v>
      </c>
      <c r="B221" s="275" t="s">
        <v>1679</v>
      </c>
      <c r="C221" s="239" t="s">
        <v>109</v>
      </c>
      <c r="D221" s="254">
        <v>0.25</v>
      </c>
      <c r="E221" s="267"/>
      <c r="F221" s="268" t="str">
        <f t="shared" si="51"/>
        <v/>
      </c>
      <c r="G221" s="199">
        <v>10000.0</v>
      </c>
      <c r="H221" s="243">
        <f t="shared" si="52"/>
        <v>2500</v>
      </c>
      <c r="I221" s="200">
        <v>12000.0</v>
      </c>
      <c r="J221" s="244">
        <f t="shared" si="53"/>
        <v>3000</v>
      </c>
      <c r="K221" s="245">
        <f t="shared" si="54"/>
        <v>500</v>
      </c>
      <c r="L221" s="246">
        <f t="shared" si="55"/>
        <v>0.2</v>
      </c>
      <c r="M221" s="247"/>
    </row>
    <row r="222" ht="15.75" customHeight="1">
      <c r="A222" s="248">
        <v>12.0</v>
      </c>
      <c r="B222" s="275" t="s">
        <v>1595</v>
      </c>
      <c r="C222" s="239" t="s">
        <v>109</v>
      </c>
      <c r="D222" s="254">
        <v>1.0</v>
      </c>
      <c r="E222" s="267"/>
      <c r="F222" s="268" t="str">
        <f t="shared" si="51"/>
        <v/>
      </c>
      <c r="G222" s="199">
        <v>10000.0</v>
      </c>
      <c r="H222" s="243">
        <f t="shared" si="52"/>
        <v>10000</v>
      </c>
      <c r="I222" s="200">
        <v>15000.0</v>
      </c>
      <c r="J222" s="244">
        <f t="shared" si="53"/>
        <v>15000</v>
      </c>
      <c r="K222" s="245">
        <f t="shared" si="54"/>
        <v>5000</v>
      </c>
      <c r="L222" s="246">
        <f t="shared" si="55"/>
        <v>0.5</v>
      </c>
      <c r="M222" s="247"/>
    </row>
    <row r="223" ht="15.75" customHeight="1">
      <c r="A223" s="239">
        <v>13.0</v>
      </c>
      <c r="B223" s="275" t="s">
        <v>1574</v>
      </c>
      <c r="C223" s="239" t="s">
        <v>109</v>
      </c>
      <c r="D223" s="254">
        <v>1.0</v>
      </c>
      <c r="E223" s="267"/>
      <c r="F223" s="268" t="str">
        <f t="shared" si="51"/>
        <v/>
      </c>
      <c r="G223" s="199">
        <v>12000.0</v>
      </c>
      <c r="H223" s="243">
        <f t="shared" si="52"/>
        <v>12000</v>
      </c>
      <c r="I223" s="200">
        <v>15000.0</v>
      </c>
      <c r="J223" s="244">
        <f t="shared" si="53"/>
        <v>15000</v>
      </c>
      <c r="K223" s="245">
        <f t="shared" si="54"/>
        <v>3000</v>
      </c>
      <c r="L223" s="246">
        <f t="shared" si="55"/>
        <v>0.25</v>
      </c>
      <c r="M223" s="247"/>
    </row>
    <row r="224" ht="15.75" customHeight="1">
      <c r="A224" s="248">
        <v>14.0</v>
      </c>
      <c r="B224" s="275" t="s">
        <v>1543</v>
      </c>
      <c r="C224" s="239" t="s">
        <v>109</v>
      </c>
      <c r="D224" s="254">
        <v>3.0</v>
      </c>
      <c r="E224" s="267"/>
      <c r="F224" s="268" t="str">
        <f t="shared" si="51"/>
        <v/>
      </c>
      <c r="G224" s="199">
        <v>8000.0</v>
      </c>
      <c r="H224" s="243">
        <f t="shared" si="52"/>
        <v>24000</v>
      </c>
      <c r="I224" s="200">
        <v>10000.0</v>
      </c>
      <c r="J224" s="244">
        <f t="shared" si="53"/>
        <v>30000</v>
      </c>
      <c r="K224" s="245">
        <f t="shared" si="54"/>
        <v>6000</v>
      </c>
      <c r="L224" s="246">
        <f t="shared" si="55"/>
        <v>0.25</v>
      </c>
      <c r="M224" s="247"/>
    </row>
    <row r="225" ht="15.75" customHeight="1">
      <c r="A225" s="239">
        <v>15.0</v>
      </c>
      <c r="B225" s="275" t="s">
        <v>1680</v>
      </c>
      <c r="C225" s="239" t="s">
        <v>109</v>
      </c>
      <c r="D225" s="254">
        <v>1.9</v>
      </c>
      <c r="E225" s="267"/>
      <c r="F225" s="268" t="str">
        <f t="shared" si="51"/>
        <v/>
      </c>
      <c r="G225" s="199">
        <v>17000.0</v>
      </c>
      <c r="H225" s="243">
        <f t="shared" si="52"/>
        <v>32300</v>
      </c>
      <c r="I225" s="200">
        <v>20000.0</v>
      </c>
      <c r="J225" s="244">
        <f t="shared" si="53"/>
        <v>38000</v>
      </c>
      <c r="K225" s="245">
        <f t="shared" si="54"/>
        <v>5700</v>
      </c>
      <c r="L225" s="246">
        <f t="shared" si="55"/>
        <v>0.1764705882</v>
      </c>
      <c r="M225" s="247"/>
    </row>
    <row r="226" ht="15.75" customHeight="1">
      <c r="A226" s="248">
        <v>16.0</v>
      </c>
      <c r="B226" s="276" t="s">
        <v>1936</v>
      </c>
      <c r="C226" s="239" t="s">
        <v>109</v>
      </c>
      <c r="D226" s="254">
        <v>1.0</v>
      </c>
      <c r="E226" s="267"/>
      <c r="F226" s="268" t="str">
        <f t="shared" si="51"/>
        <v/>
      </c>
      <c r="G226" s="199">
        <v>110000.0</v>
      </c>
      <c r="H226" s="243">
        <f t="shared" si="52"/>
        <v>110000</v>
      </c>
      <c r="I226" s="200">
        <v>125000.0</v>
      </c>
      <c r="J226" s="244">
        <f t="shared" si="53"/>
        <v>125000</v>
      </c>
      <c r="K226" s="245">
        <f t="shared" si="54"/>
        <v>15000</v>
      </c>
      <c r="L226" s="246">
        <f t="shared" si="55"/>
        <v>0.1363636364</v>
      </c>
      <c r="M226" s="247"/>
    </row>
    <row r="227" ht="15.75" customHeight="1">
      <c r="A227" s="239">
        <v>17.0</v>
      </c>
      <c r="B227" s="275" t="s">
        <v>1655</v>
      </c>
      <c r="C227" s="239" t="s">
        <v>109</v>
      </c>
      <c r="D227" s="254">
        <v>1.0</v>
      </c>
      <c r="E227" s="267"/>
      <c r="F227" s="268" t="str">
        <f t="shared" si="51"/>
        <v/>
      </c>
      <c r="G227" s="199">
        <v>18500.0</v>
      </c>
      <c r="H227" s="243">
        <f t="shared" si="52"/>
        <v>18500</v>
      </c>
      <c r="I227" s="200">
        <v>20000.0</v>
      </c>
      <c r="J227" s="244">
        <f t="shared" si="53"/>
        <v>20000</v>
      </c>
      <c r="K227" s="245">
        <f t="shared" si="54"/>
        <v>1500</v>
      </c>
      <c r="L227" s="246">
        <f t="shared" si="55"/>
        <v>0.08108108108</v>
      </c>
      <c r="M227" s="247"/>
    </row>
    <row r="228" ht="15.75" customHeight="1">
      <c r="A228" s="248">
        <v>18.0</v>
      </c>
      <c r="B228" s="276" t="s">
        <v>1681</v>
      </c>
      <c r="C228" s="278" t="s">
        <v>1579</v>
      </c>
      <c r="D228" s="254">
        <v>36.0</v>
      </c>
      <c r="E228" s="267"/>
      <c r="F228" s="268" t="str">
        <f t="shared" si="51"/>
        <v/>
      </c>
      <c r="G228" s="199">
        <v>21250.0</v>
      </c>
      <c r="H228" s="243">
        <f t="shared" si="52"/>
        <v>765000</v>
      </c>
      <c r="I228" s="200">
        <v>23500.0</v>
      </c>
      <c r="J228" s="244">
        <f t="shared" si="53"/>
        <v>846000</v>
      </c>
      <c r="K228" s="245">
        <f t="shared" si="54"/>
        <v>81000</v>
      </c>
      <c r="L228" s="246">
        <f t="shared" si="55"/>
        <v>0.1058823529</v>
      </c>
      <c r="M228" s="247"/>
    </row>
    <row r="229" ht="15.75" customHeight="1">
      <c r="A229" s="239">
        <v>19.0</v>
      </c>
      <c r="B229" s="275" t="s">
        <v>1945</v>
      </c>
      <c r="C229" s="239" t="s">
        <v>109</v>
      </c>
      <c r="D229" s="254">
        <v>3.0</v>
      </c>
      <c r="E229" s="267"/>
      <c r="F229" s="268" t="str">
        <f t="shared" si="51"/>
        <v/>
      </c>
      <c r="G229" s="199">
        <v>15000.0</v>
      </c>
      <c r="H229" s="243">
        <f t="shared" si="52"/>
        <v>45000</v>
      </c>
      <c r="I229" s="200">
        <v>15000.0</v>
      </c>
      <c r="J229" s="244">
        <f t="shared" si="53"/>
        <v>45000</v>
      </c>
      <c r="K229" s="245">
        <f t="shared" si="54"/>
        <v>0</v>
      </c>
      <c r="L229" s="246">
        <f t="shared" si="55"/>
        <v>0</v>
      </c>
      <c r="M229" s="247"/>
    </row>
    <row r="230" ht="15.75" customHeight="1">
      <c r="A230" s="248">
        <v>20.0</v>
      </c>
      <c r="B230" s="276" t="s">
        <v>1946</v>
      </c>
      <c r="C230" s="239" t="s">
        <v>109</v>
      </c>
      <c r="D230" s="254">
        <v>4.0</v>
      </c>
      <c r="E230" s="267"/>
      <c r="F230" s="268" t="str">
        <f t="shared" si="51"/>
        <v/>
      </c>
      <c r="G230" s="199">
        <v>21625.0</v>
      </c>
      <c r="H230" s="243">
        <f t="shared" si="52"/>
        <v>86500</v>
      </c>
      <c r="I230" s="200">
        <v>21625.0</v>
      </c>
      <c r="J230" s="244">
        <f t="shared" si="53"/>
        <v>86500</v>
      </c>
      <c r="K230" s="245">
        <f t="shared" si="54"/>
        <v>0</v>
      </c>
      <c r="L230" s="246">
        <f t="shared" si="55"/>
        <v>0</v>
      </c>
      <c r="M230" s="247"/>
    </row>
    <row r="231" ht="15.75" customHeight="1">
      <c r="A231" s="355" t="s">
        <v>1682</v>
      </c>
      <c r="B231" s="356"/>
      <c r="C231" s="259"/>
      <c r="D231" s="356"/>
      <c r="E231" s="257"/>
      <c r="F231" s="258">
        <f>SUMIF(F211:F230,"&lt;&gt;",F211:F230)</f>
        <v>0</v>
      </c>
      <c r="G231" s="317"/>
      <c r="H231" s="260">
        <f>SUMIF(H211:H230,"&lt;&gt;",H211:H230)</f>
        <v>15046750</v>
      </c>
      <c r="I231" s="327"/>
      <c r="J231" s="260">
        <f>SUMIF(J211:J230,"&lt;&gt;",J211:J230)</f>
        <v>16016400</v>
      </c>
      <c r="K231" s="261">
        <f t="shared" si="54"/>
        <v>969650</v>
      </c>
      <c r="L231" s="262">
        <f t="shared" si="55"/>
        <v>0.06444248758</v>
      </c>
      <c r="M231" s="257"/>
    </row>
    <row r="232" ht="15.75" customHeight="1"/>
    <row r="233" ht="15.75" customHeight="1">
      <c r="A233" s="273" t="s">
        <v>1895</v>
      </c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</row>
    <row r="234" ht="15.75" customHeight="1">
      <c r="A234" s="229" t="s">
        <v>1509</v>
      </c>
      <c r="B234" s="229" t="s">
        <v>1510</v>
      </c>
      <c r="C234" s="302" t="s">
        <v>1511</v>
      </c>
      <c r="D234" s="302" t="s">
        <v>1614</v>
      </c>
      <c r="E234" s="303" t="s">
        <v>1615</v>
      </c>
      <c r="F234" s="304"/>
      <c r="G234" s="305" t="s">
        <v>1616</v>
      </c>
      <c r="H234" s="304"/>
      <c r="I234" s="306" t="s">
        <v>1617</v>
      </c>
      <c r="J234" s="304"/>
      <c r="K234" s="307" t="s">
        <v>1618</v>
      </c>
      <c r="L234" s="304"/>
      <c r="M234" s="302" t="s">
        <v>1619</v>
      </c>
    </row>
    <row r="235" ht="15.75" customHeight="1">
      <c r="A235" s="234" t="s">
        <v>1509</v>
      </c>
      <c r="B235" s="234" t="s">
        <v>1510</v>
      </c>
      <c r="C235" s="234" t="s">
        <v>1511</v>
      </c>
      <c r="D235" s="234" t="s">
        <v>1614</v>
      </c>
      <c r="E235" s="235" t="s">
        <v>1620</v>
      </c>
      <c r="F235" s="235" t="s">
        <v>1621</v>
      </c>
      <c r="G235" s="236" t="s">
        <v>1622</v>
      </c>
      <c r="H235" s="236" t="s">
        <v>1623</v>
      </c>
      <c r="I235" s="237" t="s">
        <v>1624</v>
      </c>
      <c r="J235" s="237" t="s">
        <v>1625</v>
      </c>
      <c r="K235" s="238" t="s">
        <v>1626</v>
      </c>
      <c r="L235" s="238" t="s">
        <v>1627</v>
      </c>
      <c r="M235" s="234" t="s">
        <v>1619</v>
      </c>
    </row>
    <row r="236" ht="15.75" customHeight="1">
      <c r="A236" s="239">
        <v>1.0</v>
      </c>
      <c r="B236" s="275" t="s">
        <v>1527</v>
      </c>
      <c r="C236" s="239" t="s">
        <v>109</v>
      </c>
      <c r="D236" s="254">
        <v>125.0</v>
      </c>
      <c r="E236" s="267"/>
      <c r="F236" s="268" t="str">
        <f t="shared" ref="F236:F254" si="56">IF(E236&lt;&gt;"",D236*E236,"")</f>
        <v/>
      </c>
      <c r="G236" s="199">
        <v>14500.0</v>
      </c>
      <c r="H236" s="243">
        <f t="shared" ref="H236:H253" si="57">IF(G236&lt;&gt;"",D236*G236,"")</f>
        <v>1812500</v>
      </c>
      <c r="I236" s="200">
        <v>15700.0</v>
      </c>
      <c r="J236" s="244">
        <f t="shared" ref="J236:J254" si="58">IF(I236&lt;&gt;"",D236*I236,"")</f>
        <v>1962500</v>
      </c>
      <c r="K236" s="245">
        <f t="shared" ref="K236:K255" si="59">IF(J236&lt;&gt;"",IF(H236&lt;&gt;"",J236-H236,IF(F236&lt;&gt;"",J236-F236,"")),"")</f>
        <v>150000</v>
      </c>
      <c r="L236" s="246">
        <f t="shared" ref="L236:L255" si="60">IF(K236&lt;&gt;"",IF(H236&lt;&gt;"",IF(H236&lt;&gt;0,K236/H236,""),IF(F236&lt;&gt;"",IF(F236&lt;&gt;0,K236/F236,""),"")),"")</f>
        <v>0.08275862069</v>
      </c>
      <c r="M236" s="247"/>
    </row>
    <row r="237" ht="15.75" customHeight="1">
      <c r="A237" s="248">
        <v>2.0</v>
      </c>
      <c r="B237" s="276" t="s">
        <v>1947</v>
      </c>
      <c r="C237" s="239" t="s">
        <v>109</v>
      </c>
      <c r="D237" s="254">
        <v>92.4</v>
      </c>
      <c r="E237" s="267"/>
      <c r="F237" s="268" t="str">
        <f t="shared" si="56"/>
        <v/>
      </c>
      <c r="G237" s="199">
        <v>50000.0</v>
      </c>
      <c r="H237" s="243">
        <f t="shared" si="57"/>
        <v>4620000</v>
      </c>
      <c r="I237" s="200">
        <v>53000.0</v>
      </c>
      <c r="J237" s="244">
        <f t="shared" si="58"/>
        <v>4897200</v>
      </c>
      <c r="K237" s="245">
        <f t="shared" si="59"/>
        <v>277200</v>
      </c>
      <c r="L237" s="246">
        <f t="shared" si="60"/>
        <v>0.06</v>
      </c>
      <c r="M237" s="247"/>
    </row>
    <row r="238" ht="15.75" customHeight="1">
      <c r="A238" s="239">
        <v>3.0</v>
      </c>
      <c r="B238" s="275" t="s">
        <v>1344</v>
      </c>
      <c r="C238" s="239" t="s">
        <v>109</v>
      </c>
      <c r="D238" s="254">
        <v>1835.0</v>
      </c>
      <c r="E238" s="267"/>
      <c r="F238" s="268" t="str">
        <f t="shared" si="56"/>
        <v/>
      </c>
      <c r="G238" s="199">
        <v>480.0</v>
      </c>
      <c r="H238" s="243">
        <f t="shared" si="57"/>
        <v>880800</v>
      </c>
      <c r="I238" s="200">
        <v>700.0</v>
      </c>
      <c r="J238" s="244">
        <f t="shared" si="58"/>
        <v>1284500</v>
      </c>
      <c r="K238" s="245">
        <f t="shared" si="59"/>
        <v>403700</v>
      </c>
      <c r="L238" s="246">
        <f t="shared" si="60"/>
        <v>0.4583333333</v>
      </c>
      <c r="M238" s="247"/>
    </row>
    <row r="239" ht="15.75" customHeight="1">
      <c r="A239" s="248">
        <v>4.0</v>
      </c>
      <c r="B239" s="276" t="s">
        <v>1609</v>
      </c>
      <c r="C239" s="239" t="s">
        <v>109</v>
      </c>
      <c r="D239" s="254">
        <v>41.7</v>
      </c>
      <c r="E239" s="267"/>
      <c r="F239" s="268" t="str">
        <f t="shared" si="56"/>
        <v/>
      </c>
      <c r="G239" s="199">
        <v>14000.0</v>
      </c>
      <c r="H239" s="243">
        <f t="shared" si="57"/>
        <v>583800</v>
      </c>
      <c r="I239" s="200">
        <v>17000.0</v>
      </c>
      <c r="J239" s="244">
        <f t="shared" si="58"/>
        <v>708900</v>
      </c>
      <c r="K239" s="245">
        <f t="shared" si="59"/>
        <v>125100</v>
      </c>
      <c r="L239" s="246">
        <f t="shared" si="60"/>
        <v>0.2142857143</v>
      </c>
      <c r="M239" s="247"/>
    </row>
    <row r="240" ht="15.75" customHeight="1">
      <c r="A240" s="239">
        <v>5.0</v>
      </c>
      <c r="B240" s="275" t="s">
        <v>1534</v>
      </c>
      <c r="C240" s="239" t="s">
        <v>109</v>
      </c>
      <c r="D240" s="254">
        <v>31.0</v>
      </c>
      <c r="E240" s="267"/>
      <c r="F240" s="268" t="str">
        <f t="shared" si="56"/>
        <v/>
      </c>
      <c r="G240" s="199">
        <v>13000.0</v>
      </c>
      <c r="H240" s="243">
        <f t="shared" si="57"/>
        <v>403000</v>
      </c>
      <c r="I240" s="200">
        <v>14000.0</v>
      </c>
      <c r="J240" s="244">
        <f t="shared" si="58"/>
        <v>434000</v>
      </c>
      <c r="K240" s="245">
        <f t="shared" si="59"/>
        <v>31000</v>
      </c>
      <c r="L240" s="246">
        <f t="shared" si="60"/>
        <v>0.07692307692</v>
      </c>
      <c r="M240" s="247"/>
    </row>
    <row r="241" ht="15.75" customHeight="1">
      <c r="A241" s="248">
        <v>6.0</v>
      </c>
      <c r="B241" s="275" t="s">
        <v>1605</v>
      </c>
      <c r="C241" s="239" t="s">
        <v>109</v>
      </c>
      <c r="D241" s="254">
        <v>25.0</v>
      </c>
      <c r="E241" s="267"/>
      <c r="F241" s="268" t="str">
        <f t="shared" si="56"/>
        <v/>
      </c>
      <c r="G241" s="199">
        <v>11250.0</v>
      </c>
      <c r="H241" s="243">
        <f t="shared" si="57"/>
        <v>281250</v>
      </c>
      <c r="I241" s="200">
        <v>12000.0</v>
      </c>
      <c r="J241" s="244">
        <f t="shared" si="58"/>
        <v>300000</v>
      </c>
      <c r="K241" s="245">
        <f t="shared" si="59"/>
        <v>18750</v>
      </c>
      <c r="L241" s="246">
        <f t="shared" si="60"/>
        <v>0.06666666667</v>
      </c>
      <c r="M241" s="247"/>
    </row>
    <row r="242" ht="15.75" customHeight="1">
      <c r="A242" s="239">
        <v>7.0</v>
      </c>
      <c r="B242" s="275" t="s">
        <v>1839</v>
      </c>
      <c r="C242" s="239" t="s">
        <v>109</v>
      </c>
      <c r="D242" s="254">
        <v>30.0</v>
      </c>
      <c r="E242" s="267"/>
      <c r="F242" s="268" t="str">
        <f t="shared" si="56"/>
        <v/>
      </c>
      <c r="G242" s="199">
        <v>14000.0</v>
      </c>
      <c r="H242" s="243">
        <f t="shared" si="57"/>
        <v>420000</v>
      </c>
      <c r="I242" s="200">
        <v>16000.0</v>
      </c>
      <c r="J242" s="244">
        <f t="shared" si="58"/>
        <v>480000</v>
      </c>
      <c r="K242" s="245">
        <f t="shared" si="59"/>
        <v>60000</v>
      </c>
      <c r="L242" s="246">
        <f t="shared" si="60"/>
        <v>0.1428571429</v>
      </c>
      <c r="M242" s="247"/>
    </row>
    <row r="243" ht="15.75" customHeight="1">
      <c r="A243" s="248">
        <v>8.0</v>
      </c>
      <c r="B243" s="275" t="s">
        <v>1657</v>
      </c>
      <c r="C243" s="239" t="s">
        <v>109</v>
      </c>
      <c r="D243" s="254">
        <v>3.0</v>
      </c>
      <c r="E243" s="267"/>
      <c r="F243" s="268" t="str">
        <f t="shared" si="56"/>
        <v/>
      </c>
      <c r="G243" s="199">
        <v>47000.0</v>
      </c>
      <c r="H243" s="243">
        <f t="shared" si="57"/>
        <v>141000</v>
      </c>
      <c r="I243" s="200">
        <v>55000.0</v>
      </c>
      <c r="J243" s="244">
        <f t="shared" si="58"/>
        <v>165000</v>
      </c>
      <c r="K243" s="245">
        <f t="shared" si="59"/>
        <v>24000</v>
      </c>
      <c r="L243" s="246">
        <f t="shared" si="60"/>
        <v>0.170212766</v>
      </c>
      <c r="M243" s="247"/>
    </row>
    <row r="244" ht="15.75" customHeight="1">
      <c r="A244" s="239">
        <v>9.0</v>
      </c>
      <c r="B244" s="275" t="s">
        <v>1936</v>
      </c>
      <c r="C244" s="239" t="s">
        <v>109</v>
      </c>
      <c r="D244" s="254">
        <v>2.0</v>
      </c>
      <c r="E244" s="267"/>
      <c r="F244" s="268" t="str">
        <f t="shared" si="56"/>
        <v/>
      </c>
      <c r="G244" s="199">
        <v>110000.0</v>
      </c>
      <c r="H244" s="243">
        <f t="shared" si="57"/>
        <v>220000</v>
      </c>
      <c r="I244" s="200">
        <v>125000.0</v>
      </c>
      <c r="J244" s="244">
        <f t="shared" si="58"/>
        <v>250000</v>
      </c>
      <c r="K244" s="245">
        <f t="shared" si="59"/>
        <v>30000</v>
      </c>
      <c r="L244" s="246">
        <f t="shared" si="60"/>
        <v>0.1363636364</v>
      </c>
      <c r="M244" s="247"/>
    </row>
    <row r="245" ht="15.75" customHeight="1">
      <c r="A245" s="248">
        <v>10.0</v>
      </c>
      <c r="B245" s="275" t="s">
        <v>1543</v>
      </c>
      <c r="C245" s="239" t="s">
        <v>109</v>
      </c>
      <c r="D245" s="254">
        <v>3.0</v>
      </c>
      <c r="E245" s="267"/>
      <c r="F245" s="268" t="str">
        <f t="shared" si="56"/>
        <v/>
      </c>
      <c r="G245" s="199">
        <v>8000.0</v>
      </c>
      <c r="H245" s="243">
        <f t="shared" si="57"/>
        <v>24000</v>
      </c>
      <c r="I245" s="200">
        <v>10000.0</v>
      </c>
      <c r="J245" s="244">
        <f t="shared" si="58"/>
        <v>30000</v>
      </c>
      <c r="K245" s="245">
        <f t="shared" si="59"/>
        <v>6000</v>
      </c>
      <c r="L245" s="246">
        <f t="shared" si="60"/>
        <v>0.25</v>
      </c>
      <c r="M245" s="247"/>
    </row>
    <row r="246" ht="15.75" customHeight="1">
      <c r="A246" s="239">
        <v>11.0</v>
      </c>
      <c r="B246" s="275" t="s">
        <v>1655</v>
      </c>
      <c r="C246" s="239" t="s">
        <v>109</v>
      </c>
      <c r="D246" s="254">
        <v>1.9</v>
      </c>
      <c r="E246" s="267"/>
      <c r="F246" s="268" t="str">
        <f t="shared" si="56"/>
        <v/>
      </c>
      <c r="G246" s="199">
        <v>18500.0</v>
      </c>
      <c r="H246" s="243">
        <f t="shared" si="57"/>
        <v>35150</v>
      </c>
      <c r="I246" s="200">
        <v>20000.0</v>
      </c>
      <c r="J246" s="244">
        <f t="shared" si="58"/>
        <v>38000</v>
      </c>
      <c r="K246" s="245">
        <f t="shared" si="59"/>
        <v>2850</v>
      </c>
      <c r="L246" s="246">
        <f t="shared" si="60"/>
        <v>0.08108108108</v>
      </c>
      <c r="M246" s="247"/>
    </row>
    <row r="247" ht="15.75" customHeight="1">
      <c r="A247" s="248">
        <v>12.0</v>
      </c>
      <c r="B247" s="275" t="s">
        <v>1713</v>
      </c>
      <c r="C247" s="239" t="s">
        <v>109</v>
      </c>
      <c r="D247" s="254">
        <v>0.2</v>
      </c>
      <c r="E247" s="267"/>
      <c r="F247" s="268" t="str">
        <f t="shared" si="56"/>
        <v/>
      </c>
      <c r="G247" s="199">
        <v>140000.0</v>
      </c>
      <c r="H247" s="243">
        <f t="shared" si="57"/>
        <v>28000</v>
      </c>
      <c r="I247" s="200">
        <v>160000.0</v>
      </c>
      <c r="J247" s="244">
        <f t="shared" si="58"/>
        <v>32000</v>
      </c>
      <c r="K247" s="245">
        <f t="shared" si="59"/>
        <v>4000</v>
      </c>
      <c r="L247" s="246">
        <f t="shared" si="60"/>
        <v>0.1428571429</v>
      </c>
      <c r="M247" s="247"/>
    </row>
    <row r="248" ht="15.75" customHeight="1">
      <c r="A248" s="239">
        <v>13.0</v>
      </c>
      <c r="B248" s="275" t="s">
        <v>1948</v>
      </c>
      <c r="C248" s="239" t="s">
        <v>109</v>
      </c>
      <c r="D248" s="254">
        <v>1.0</v>
      </c>
      <c r="E248" s="267"/>
      <c r="F248" s="268" t="str">
        <f t="shared" si="56"/>
        <v/>
      </c>
      <c r="G248" s="199">
        <v>47000.0</v>
      </c>
      <c r="H248" s="243">
        <f t="shared" si="57"/>
        <v>47000</v>
      </c>
      <c r="I248" s="200">
        <v>54000.0</v>
      </c>
      <c r="J248" s="244">
        <f t="shared" si="58"/>
        <v>54000</v>
      </c>
      <c r="K248" s="245">
        <f t="shared" si="59"/>
        <v>7000</v>
      </c>
      <c r="L248" s="246">
        <f t="shared" si="60"/>
        <v>0.1489361702</v>
      </c>
      <c r="M248" s="247"/>
    </row>
    <row r="249" ht="15.75" customHeight="1">
      <c r="A249" s="248">
        <v>14.0</v>
      </c>
      <c r="B249" s="275" t="s">
        <v>1681</v>
      </c>
      <c r="C249" s="239" t="s">
        <v>109</v>
      </c>
      <c r="D249" s="254">
        <v>42.0</v>
      </c>
      <c r="E249" s="267"/>
      <c r="F249" s="268" t="str">
        <f t="shared" si="56"/>
        <v/>
      </c>
      <c r="G249" s="199">
        <v>21500.0</v>
      </c>
      <c r="H249" s="243">
        <f t="shared" si="57"/>
        <v>903000</v>
      </c>
      <c r="I249" s="200">
        <v>24000.0</v>
      </c>
      <c r="J249" s="244">
        <f t="shared" si="58"/>
        <v>1008000</v>
      </c>
      <c r="K249" s="245">
        <f t="shared" si="59"/>
        <v>105000</v>
      </c>
      <c r="L249" s="246">
        <f t="shared" si="60"/>
        <v>0.1162790698</v>
      </c>
      <c r="M249" s="247"/>
    </row>
    <row r="250" ht="15.75" customHeight="1">
      <c r="A250" s="239">
        <v>15.0</v>
      </c>
      <c r="B250" s="275" t="s">
        <v>1112</v>
      </c>
      <c r="C250" s="239" t="s">
        <v>109</v>
      </c>
      <c r="D250" s="254">
        <v>207.6</v>
      </c>
      <c r="E250" s="267"/>
      <c r="F250" s="268" t="str">
        <f t="shared" si="56"/>
        <v/>
      </c>
      <c r="G250" s="199">
        <v>18000.0</v>
      </c>
      <c r="H250" s="243">
        <f t="shared" si="57"/>
        <v>3736800</v>
      </c>
      <c r="I250" s="200">
        <v>20000.0</v>
      </c>
      <c r="J250" s="244">
        <f t="shared" si="58"/>
        <v>4152000</v>
      </c>
      <c r="K250" s="245">
        <f t="shared" si="59"/>
        <v>415200</v>
      </c>
      <c r="L250" s="246">
        <f t="shared" si="60"/>
        <v>0.1111111111</v>
      </c>
      <c r="M250" s="247"/>
    </row>
    <row r="251" ht="15.75" customHeight="1">
      <c r="A251" s="248">
        <v>16.0</v>
      </c>
      <c r="B251" s="276" t="s">
        <v>1727</v>
      </c>
      <c r="C251" s="239" t="s">
        <v>109</v>
      </c>
      <c r="D251" s="254">
        <v>64.0</v>
      </c>
      <c r="E251" s="267"/>
      <c r="F251" s="268" t="str">
        <f t="shared" si="56"/>
        <v/>
      </c>
      <c r="G251" s="199">
        <v>5900.0</v>
      </c>
      <c r="H251" s="243">
        <f t="shared" si="57"/>
        <v>377600</v>
      </c>
      <c r="I251" s="200">
        <v>7500.0</v>
      </c>
      <c r="J251" s="244">
        <f t="shared" si="58"/>
        <v>480000</v>
      </c>
      <c r="K251" s="245">
        <f t="shared" si="59"/>
        <v>102400</v>
      </c>
      <c r="L251" s="246">
        <f t="shared" si="60"/>
        <v>0.2711864407</v>
      </c>
      <c r="M251" s="247"/>
    </row>
    <row r="252" ht="15.75" customHeight="1">
      <c r="A252" s="239">
        <v>17.0</v>
      </c>
      <c r="B252" s="275" t="s">
        <v>1949</v>
      </c>
      <c r="C252" s="239" t="s">
        <v>109</v>
      </c>
      <c r="D252" s="254">
        <v>4.0</v>
      </c>
      <c r="E252" s="267"/>
      <c r="F252" s="268" t="str">
        <f t="shared" si="56"/>
        <v/>
      </c>
      <c r="G252" s="199">
        <v>116000.0</v>
      </c>
      <c r="H252" s="243">
        <f t="shared" si="57"/>
        <v>464000</v>
      </c>
      <c r="I252" s="200">
        <v>116000.0</v>
      </c>
      <c r="J252" s="244">
        <f t="shared" si="58"/>
        <v>464000</v>
      </c>
      <c r="K252" s="245">
        <f t="shared" si="59"/>
        <v>0</v>
      </c>
      <c r="L252" s="246">
        <f t="shared" si="60"/>
        <v>0</v>
      </c>
      <c r="M252" s="247"/>
    </row>
    <row r="253" ht="15.75" customHeight="1">
      <c r="A253" s="248">
        <v>18.0</v>
      </c>
      <c r="B253" s="276" t="s">
        <v>1949</v>
      </c>
      <c r="C253" s="239" t="s">
        <v>109</v>
      </c>
      <c r="D253" s="254">
        <v>1.0</v>
      </c>
      <c r="E253" s="267"/>
      <c r="F253" s="268" t="str">
        <f t="shared" si="56"/>
        <v/>
      </c>
      <c r="G253" s="199">
        <v>194000.0</v>
      </c>
      <c r="H253" s="243">
        <f t="shared" si="57"/>
        <v>194000</v>
      </c>
      <c r="I253" s="200">
        <v>194000.0</v>
      </c>
      <c r="J253" s="244">
        <f t="shared" si="58"/>
        <v>194000</v>
      </c>
      <c r="K253" s="245">
        <f t="shared" si="59"/>
        <v>0</v>
      </c>
      <c r="L253" s="246">
        <f t="shared" si="60"/>
        <v>0</v>
      </c>
      <c r="M253" s="247"/>
    </row>
    <row r="254" ht="15.75" customHeight="1">
      <c r="A254" s="239">
        <v>19.0</v>
      </c>
      <c r="B254" s="275" t="s">
        <v>1950</v>
      </c>
      <c r="C254" s="239" t="s">
        <v>109</v>
      </c>
      <c r="D254" s="254">
        <v>7.5</v>
      </c>
      <c r="E254" s="267"/>
      <c r="F254" s="268" t="str">
        <f t="shared" si="56"/>
        <v/>
      </c>
      <c r="G254" s="199">
        <v>14933.0</v>
      </c>
      <c r="H254" s="357">
        <v>112000.0</v>
      </c>
      <c r="I254" s="200">
        <v>14933.3</v>
      </c>
      <c r="J254" s="244">
        <f t="shared" si="58"/>
        <v>111999.75</v>
      </c>
      <c r="K254" s="245">
        <f t="shared" si="59"/>
        <v>-0.25</v>
      </c>
      <c r="L254" s="246">
        <f t="shared" si="60"/>
        <v>-0.000002232142857</v>
      </c>
      <c r="M254" s="247"/>
    </row>
    <row r="255" ht="15.75" customHeight="1">
      <c r="A255" s="355" t="s">
        <v>1694</v>
      </c>
      <c r="B255" s="356"/>
      <c r="C255" s="259"/>
      <c r="D255" s="356"/>
      <c r="E255" s="257"/>
      <c r="F255" s="258">
        <f>SUMIF(F236:F254,"&lt;&gt;",F236:F254)</f>
        <v>0</v>
      </c>
      <c r="G255" s="317"/>
      <c r="H255" s="260">
        <f>SUMIF(H236:H254,"&lt;&gt;",H236:H254)</f>
        <v>15283900</v>
      </c>
      <c r="I255" s="327"/>
      <c r="J255" s="260">
        <f>SUMIF(J236:J254,"&lt;&gt;",J236:J254)</f>
        <v>17046099.75</v>
      </c>
      <c r="K255" s="261">
        <f t="shared" si="59"/>
        <v>1762199.75</v>
      </c>
      <c r="L255" s="262">
        <f t="shared" si="60"/>
        <v>0.1152977807</v>
      </c>
      <c r="M255" s="257"/>
    </row>
    <row r="256" ht="15.75" customHeight="1"/>
    <row r="257" ht="15.75" customHeight="1">
      <c r="A257" s="273" t="s">
        <v>1951</v>
      </c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</row>
    <row r="258" ht="15.75" customHeight="1">
      <c r="A258" s="229" t="s">
        <v>1509</v>
      </c>
      <c r="B258" s="229" t="s">
        <v>1510</v>
      </c>
      <c r="C258" s="302" t="s">
        <v>1511</v>
      </c>
      <c r="D258" s="302" t="s">
        <v>1614</v>
      </c>
      <c r="E258" s="303" t="s">
        <v>1615</v>
      </c>
      <c r="F258" s="304"/>
      <c r="G258" s="305" t="s">
        <v>1616</v>
      </c>
      <c r="H258" s="304"/>
      <c r="I258" s="306" t="s">
        <v>1617</v>
      </c>
      <c r="J258" s="304"/>
      <c r="K258" s="307" t="s">
        <v>1618</v>
      </c>
      <c r="L258" s="304"/>
      <c r="M258" s="302" t="s">
        <v>1619</v>
      </c>
    </row>
    <row r="259" ht="15.75" customHeight="1">
      <c r="A259" s="234" t="s">
        <v>1509</v>
      </c>
      <c r="B259" s="234" t="s">
        <v>1510</v>
      </c>
      <c r="C259" s="234" t="s">
        <v>1511</v>
      </c>
      <c r="D259" s="234" t="s">
        <v>1614</v>
      </c>
      <c r="E259" s="235" t="s">
        <v>1620</v>
      </c>
      <c r="F259" s="235" t="s">
        <v>1621</v>
      </c>
      <c r="G259" s="236" t="s">
        <v>1622</v>
      </c>
      <c r="H259" s="236" t="s">
        <v>1623</v>
      </c>
      <c r="I259" s="237" t="s">
        <v>1624</v>
      </c>
      <c r="J259" s="237" t="s">
        <v>1625</v>
      </c>
      <c r="K259" s="238" t="s">
        <v>1626</v>
      </c>
      <c r="L259" s="238" t="s">
        <v>1627</v>
      </c>
      <c r="M259" s="234" t="s">
        <v>1619</v>
      </c>
    </row>
    <row r="260" ht="15.75" customHeight="1">
      <c r="A260" s="239">
        <v>1.0</v>
      </c>
      <c r="B260" s="275" t="s">
        <v>1527</v>
      </c>
      <c r="C260" s="239" t="s">
        <v>109</v>
      </c>
      <c r="D260" s="254">
        <v>100.0</v>
      </c>
      <c r="E260" s="267"/>
      <c r="F260" s="268" t="str">
        <f t="shared" ref="F260:F276" si="61">IF(E260&lt;&gt;"",D260*E260,"")</f>
        <v/>
      </c>
      <c r="G260" s="199">
        <v>14500.0</v>
      </c>
      <c r="H260" s="243">
        <f t="shared" ref="H260:H274" si="62">IF(G260&lt;&gt;"",D260*G260,"")</f>
        <v>1450000</v>
      </c>
      <c r="I260" s="200">
        <v>15700.0</v>
      </c>
      <c r="J260" s="244">
        <f t="shared" ref="J260:J274" si="63">IF(I260&lt;&gt;"",D260*I260,"")</f>
        <v>1570000</v>
      </c>
      <c r="K260" s="245">
        <f t="shared" ref="K260:K277" si="64">IF(J260&lt;&gt;"",IF(H260&lt;&gt;"",J260-H260,IF(F260&lt;&gt;"",J260-F260,"")),"")</f>
        <v>120000</v>
      </c>
      <c r="L260" s="246">
        <f t="shared" ref="L260:L277" si="65">IF(K260&lt;&gt;"",IF(H260&lt;&gt;"",IF(H260&lt;&gt;0,K260/H260,""),IF(F260&lt;&gt;"",IF(F260&lt;&gt;0,K260/F260,""),"")),"")</f>
        <v>0.08275862069</v>
      </c>
      <c r="M260" s="247"/>
    </row>
    <row r="261" ht="15.75" customHeight="1">
      <c r="A261" s="248">
        <v>2.0</v>
      </c>
      <c r="B261" s="276" t="s">
        <v>1952</v>
      </c>
      <c r="C261" s="239" t="s">
        <v>109</v>
      </c>
      <c r="D261" s="254">
        <v>260.0</v>
      </c>
      <c r="E261" s="267"/>
      <c r="F261" s="268" t="str">
        <f t="shared" si="61"/>
        <v/>
      </c>
      <c r="G261" s="199">
        <v>26000.0</v>
      </c>
      <c r="H261" s="243">
        <f t="shared" si="62"/>
        <v>6760000</v>
      </c>
      <c r="I261" s="200">
        <v>27000.0</v>
      </c>
      <c r="J261" s="244">
        <f t="shared" si="63"/>
        <v>7020000</v>
      </c>
      <c r="K261" s="245">
        <f t="shared" si="64"/>
        <v>260000</v>
      </c>
      <c r="L261" s="246">
        <f t="shared" si="65"/>
        <v>0.03846153846</v>
      </c>
      <c r="M261" s="247"/>
    </row>
    <row r="262" ht="15.75" customHeight="1">
      <c r="A262" s="239">
        <v>3.0</v>
      </c>
      <c r="B262" s="275" t="s">
        <v>1570</v>
      </c>
      <c r="C262" s="239" t="s">
        <v>109</v>
      </c>
      <c r="D262" s="254">
        <v>47.0</v>
      </c>
      <c r="E262" s="267"/>
      <c r="F262" s="268" t="str">
        <f t="shared" si="61"/>
        <v/>
      </c>
      <c r="G262" s="199">
        <v>7000.0</v>
      </c>
      <c r="H262" s="243">
        <f t="shared" si="62"/>
        <v>329000</v>
      </c>
      <c r="I262" s="200">
        <v>14000.0</v>
      </c>
      <c r="J262" s="244">
        <f t="shared" si="63"/>
        <v>658000</v>
      </c>
      <c r="K262" s="245">
        <f t="shared" si="64"/>
        <v>329000</v>
      </c>
      <c r="L262" s="246">
        <f t="shared" si="65"/>
        <v>1</v>
      </c>
      <c r="M262" s="247"/>
    </row>
    <row r="263" ht="15.75" customHeight="1">
      <c r="A263" s="248">
        <v>4.0</v>
      </c>
      <c r="B263" s="276" t="s">
        <v>1609</v>
      </c>
      <c r="C263" s="239" t="s">
        <v>109</v>
      </c>
      <c r="D263" s="254">
        <v>34.8</v>
      </c>
      <c r="E263" s="267"/>
      <c r="F263" s="268" t="str">
        <f t="shared" si="61"/>
        <v/>
      </c>
      <c r="G263" s="199">
        <v>7000.0</v>
      </c>
      <c r="H263" s="243">
        <f t="shared" si="62"/>
        <v>243600</v>
      </c>
      <c r="I263" s="200">
        <v>17000.0</v>
      </c>
      <c r="J263" s="244">
        <f t="shared" si="63"/>
        <v>591600</v>
      </c>
      <c r="K263" s="245">
        <f t="shared" si="64"/>
        <v>348000</v>
      </c>
      <c r="L263" s="246">
        <f t="shared" si="65"/>
        <v>1.428571429</v>
      </c>
      <c r="M263" s="247"/>
    </row>
    <row r="264" ht="15.75" customHeight="1">
      <c r="A264" s="239">
        <v>5.0</v>
      </c>
      <c r="B264" s="275" t="s">
        <v>1599</v>
      </c>
      <c r="C264" s="239" t="s">
        <v>109</v>
      </c>
      <c r="D264" s="254">
        <v>2070.0</v>
      </c>
      <c r="E264" s="267"/>
      <c r="F264" s="268" t="str">
        <f t="shared" si="61"/>
        <v/>
      </c>
      <c r="G264" s="199">
        <v>560.0</v>
      </c>
      <c r="H264" s="243">
        <f t="shared" si="62"/>
        <v>1159200</v>
      </c>
      <c r="I264" s="200">
        <v>700.0</v>
      </c>
      <c r="J264" s="244">
        <f t="shared" si="63"/>
        <v>1449000</v>
      </c>
      <c r="K264" s="245">
        <f t="shared" si="64"/>
        <v>289800</v>
      </c>
      <c r="L264" s="246">
        <f t="shared" si="65"/>
        <v>0.25</v>
      </c>
      <c r="M264" s="247"/>
    </row>
    <row r="265" ht="15.75" customHeight="1">
      <c r="A265" s="248">
        <v>6.0</v>
      </c>
      <c r="B265" s="275" t="s">
        <v>1543</v>
      </c>
      <c r="C265" s="239" t="s">
        <v>109</v>
      </c>
      <c r="D265" s="254">
        <v>1.5</v>
      </c>
      <c r="E265" s="267"/>
      <c r="F265" s="268" t="str">
        <f t="shared" si="61"/>
        <v/>
      </c>
      <c r="G265" s="199">
        <v>8000.0</v>
      </c>
      <c r="H265" s="243">
        <f t="shared" si="62"/>
        <v>12000</v>
      </c>
      <c r="I265" s="200">
        <v>10000.0</v>
      </c>
      <c r="J265" s="244">
        <f t="shared" si="63"/>
        <v>15000</v>
      </c>
      <c r="K265" s="245">
        <f t="shared" si="64"/>
        <v>3000</v>
      </c>
      <c r="L265" s="246">
        <f t="shared" si="65"/>
        <v>0.25</v>
      </c>
      <c r="M265" s="247"/>
    </row>
    <row r="266" ht="15.75" customHeight="1">
      <c r="A266" s="239">
        <v>7.0</v>
      </c>
      <c r="B266" s="275" t="s">
        <v>1953</v>
      </c>
      <c r="C266" s="239" t="s">
        <v>109</v>
      </c>
      <c r="D266" s="254">
        <v>1.0</v>
      </c>
      <c r="E266" s="267"/>
      <c r="F266" s="268" t="str">
        <f t="shared" si="61"/>
        <v/>
      </c>
      <c r="G266" s="199">
        <v>95000.0</v>
      </c>
      <c r="H266" s="243">
        <f t="shared" si="62"/>
        <v>95000</v>
      </c>
      <c r="I266" s="200">
        <v>105000.0</v>
      </c>
      <c r="J266" s="244">
        <f t="shared" si="63"/>
        <v>105000</v>
      </c>
      <c r="K266" s="245">
        <f t="shared" si="64"/>
        <v>10000</v>
      </c>
      <c r="L266" s="246">
        <f t="shared" si="65"/>
        <v>0.1052631579</v>
      </c>
      <c r="M266" s="247"/>
    </row>
    <row r="267" ht="15.75" customHeight="1">
      <c r="A267" s="248">
        <v>8.0</v>
      </c>
      <c r="B267" s="275" t="s">
        <v>1655</v>
      </c>
      <c r="C267" s="239" t="s">
        <v>109</v>
      </c>
      <c r="D267" s="254">
        <v>1.9</v>
      </c>
      <c r="E267" s="267"/>
      <c r="F267" s="268" t="str">
        <f t="shared" si="61"/>
        <v/>
      </c>
      <c r="G267" s="199">
        <v>18500.0</v>
      </c>
      <c r="H267" s="243">
        <f t="shared" si="62"/>
        <v>35150</v>
      </c>
      <c r="I267" s="200">
        <v>20000.0</v>
      </c>
      <c r="J267" s="244">
        <f t="shared" si="63"/>
        <v>38000</v>
      </c>
      <c r="K267" s="245">
        <f t="shared" si="64"/>
        <v>2850</v>
      </c>
      <c r="L267" s="246">
        <f t="shared" si="65"/>
        <v>0.08108108108</v>
      </c>
      <c r="M267" s="247"/>
    </row>
    <row r="268" ht="15.75" customHeight="1">
      <c r="A268" s="239">
        <v>9.0</v>
      </c>
      <c r="B268" s="275" t="s">
        <v>1640</v>
      </c>
      <c r="C268" s="239" t="s">
        <v>109</v>
      </c>
      <c r="D268" s="254">
        <v>2.0</v>
      </c>
      <c r="E268" s="267"/>
      <c r="F268" s="268" t="str">
        <f t="shared" si="61"/>
        <v/>
      </c>
      <c r="G268" s="199">
        <v>45078.0</v>
      </c>
      <c r="H268" s="243">
        <f t="shared" si="62"/>
        <v>90156</v>
      </c>
      <c r="I268" s="200">
        <v>54000.0</v>
      </c>
      <c r="J268" s="244">
        <f t="shared" si="63"/>
        <v>108000</v>
      </c>
      <c r="K268" s="245">
        <f t="shared" si="64"/>
        <v>17844</v>
      </c>
      <c r="L268" s="246">
        <f t="shared" si="65"/>
        <v>0.1979235991</v>
      </c>
      <c r="M268" s="247"/>
    </row>
    <row r="269" ht="15.75" customHeight="1">
      <c r="A269" s="248">
        <v>10.0</v>
      </c>
      <c r="B269" s="275" t="s">
        <v>1935</v>
      </c>
      <c r="C269" s="239" t="s">
        <v>109</v>
      </c>
      <c r="D269" s="254">
        <v>1.5</v>
      </c>
      <c r="E269" s="267"/>
      <c r="F269" s="268" t="str">
        <f t="shared" si="61"/>
        <v/>
      </c>
      <c r="G269" s="199">
        <v>45000.0</v>
      </c>
      <c r="H269" s="243">
        <f t="shared" si="62"/>
        <v>67500</v>
      </c>
      <c r="I269" s="200">
        <v>36000.0</v>
      </c>
      <c r="J269" s="244">
        <f t="shared" si="63"/>
        <v>54000</v>
      </c>
      <c r="K269" s="245">
        <f t="shared" si="64"/>
        <v>-13500</v>
      </c>
      <c r="L269" s="246">
        <f t="shared" si="65"/>
        <v>-0.2</v>
      </c>
      <c r="M269" s="247"/>
    </row>
    <row r="270" ht="15.75" customHeight="1">
      <c r="A270" s="239">
        <v>11.0</v>
      </c>
      <c r="B270" s="275" t="s">
        <v>1681</v>
      </c>
      <c r="C270" s="278" t="s">
        <v>1689</v>
      </c>
      <c r="D270" s="254">
        <v>24.0</v>
      </c>
      <c r="E270" s="267"/>
      <c r="F270" s="268" t="str">
        <f t="shared" si="61"/>
        <v/>
      </c>
      <c r="G270" s="199">
        <v>21500.0</v>
      </c>
      <c r="H270" s="243">
        <f t="shared" si="62"/>
        <v>516000</v>
      </c>
      <c r="I270" s="200">
        <v>24000.0</v>
      </c>
      <c r="J270" s="244">
        <f t="shared" si="63"/>
        <v>576000</v>
      </c>
      <c r="K270" s="245">
        <f t="shared" si="64"/>
        <v>60000</v>
      </c>
      <c r="L270" s="246">
        <f t="shared" si="65"/>
        <v>0.1162790698</v>
      </c>
      <c r="M270" s="247"/>
    </row>
    <row r="271" ht="15.75" customHeight="1">
      <c r="A271" s="248">
        <v>12.0</v>
      </c>
      <c r="B271" s="275" t="s">
        <v>1803</v>
      </c>
      <c r="C271" s="239" t="s">
        <v>109</v>
      </c>
      <c r="D271" s="254">
        <v>0.2</v>
      </c>
      <c r="E271" s="267"/>
      <c r="F271" s="268" t="str">
        <f t="shared" si="61"/>
        <v/>
      </c>
      <c r="G271" s="199">
        <v>48000.0</v>
      </c>
      <c r="H271" s="243">
        <f t="shared" si="62"/>
        <v>9600</v>
      </c>
      <c r="I271" s="200">
        <v>55000.0</v>
      </c>
      <c r="J271" s="244">
        <f t="shared" si="63"/>
        <v>11000</v>
      </c>
      <c r="K271" s="245">
        <f t="shared" si="64"/>
        <v>1400</v>
      </c>
      <c r="L271" s="246">
        <f t="shared" si="65"/>
        <v>0.1458333333</v>
      </c>
      <c r="M271" s="247"/>
    </row>
    <row r="272" ht="15.75" customHeight="1">
      <c r="A272" s="239">
        <v>13.0</v>
      </c>
      <c r="B272" s="275" t="s">
        <v>1634</v>
      </c>
      <c r="C272" s="278" t="s">
        <v>69</v>
      </c>
      <c r="D272" s="254">
        <v>2070.0</v>
      </c>
      <c r="E272" s="267"/>
      <c r="F272" s="268" t="str">
        <f t="shared" si="61"/>
        <v/>
      </c>
      <c r="G272" s="199">
        <v>2000.0</v>
      </c>
      <c r="H272" s="243">
        <f t="shared" si="62"/>
        <v>4140000</v>
      </c>
      <c r="I272" s="200">
        <v>2000.0</v>
      </c>
      <c r="J272" s="244">
        <f t="shared" si="63"/>
        <v>4140000</v>
      </c>
      <c r="K272" s="245">
        <f t="shared" si="64"/>
        <v>0</v>
      </c>
      <c r="L272" s="246">
        <f t="shared" si="65"/>
        <v>0</v>
      </c>
      <c r="M272" s="247"/>
    </row>
    <row r="273" ht="15.75" customHeight="1">
      <c r="A273" s="248">
        <v>14.0</v>
      </c>
      <c r="B273" s="275" t="s">
        <v>1680</v>
      </c>
      <c r="C273" s="239" t="s">
        <v>109</v>
      </c>
      <c r="D273" s="254">
        <v>1.0</v>
      </c>
      <c r="E273" s="267"/>
      <c r="F273" s="268" t="str">
        <f t="shared" si="61"/>
        <v/>
      </c>
      <c r="G273" s="199">
        <v>17000.0</v>
      </c>
      <c r="H273" s="243">
        <f t="shared" si="62"/>
        <v>17000</v>
      </c>
      <c r="I273" s="200">
        <v>20000.0</v>
      </c>
      <c r="J273" s="244">
        <f t="shared" si="63"/>
        <v>20000</v>
      </c>
      <c r="K273" s="245">
        <f t="shared" si="64"/>
        <v>3000</v>
      </c>
      <c r="L273" s="246">
        <f t="shared" si="65"/>
        <v>0.1764705882</v>
      </c>
      <c r="M273" s="247"/>
    </row>
    <row r="274" ht="15.75" customHeight="1">
      <c r="A274" s="239">
        <v>15.0</v>
      </c>
      <c r="B274" s="275" t="s">
        <v>1643</v>
      </c>
      <c r="C274" s="278" t="s">
        <v>1676</v>
      </c>
      <c r="D274" s="254">
        <v>1.0</v>
      </c>
      <c r="E274" s="267"/>
      <c r="F274" s="268" t="str">
        <f t="shared" si="61"/>
        <v/>
      </c>
      <c r="G274" s="199">
        <v>190000.0</v>
      </c>
      <c r="H274" s="243">
        <f t="shared" si="62"/>
        <v>190000</v>
      </c>
      <c r="I274" s="200">
        <v>210000.0</v>
      </c>
      <c r="J274" s="244">
        <f t="shared" si="63"/>
        <v>210000</v>
      </c>
      <c r="K274" s="245">
        <f t="shared" si="64"/>
        <v>20000</v>
      </c>
      <c r="L274" s="246">
        <f t="shared" si="65"/>
        <v>0.1052631579</v>
      </c>
      <c r="M274" s="247"/>
    </row>
    <row r="275" ht="15.75" customHeight="1">
      <c r="A275" s="248">
        <v>16.0</v>
      </c>
      <c r="B275" s="276" t="s">
        <v>1954</v>
      </c>
      <c r="C275" s="278" t="s">
        <v>1824</v>
      </c>
      <c r="D275" s="254">
        <v>3.0</v>
      </c>
      <c r="E275" s="267"/>
      <c r="F275" s="268" t="str">
        <f t="shared" si="61"/>
        <v/>
      </c>
      <c r="G275" s="199">
        <v>34667.0</v>
      </c>
      <c r="H275" s="357">
        <v>104000.0</v>
      </c>
      <c r="I275" s="200">
        <v>34667.0</v>
      </c>
      <c r="J275" s="358">
        <v>104000.0</v>
      </c>
      <c r="K275" s="245">
        <f t="shared" si="64"/>
        <v>0</v>
      </c>
      <c r="L275" s="246">
        <f t="shared" si="65"/>
        <v>0</v>
      </c>
      <c r="M275" s="247"/>
    </row>
    <row r="276" ht="15.75" customHeight="1">
      <c r="A276" s="239">
        <v>17.0</v>
      </c>
      <c r="B276" s="275" t="s">
        <v>1955</v>
      </c>
      <c r="C276" s="278" t="s">
        <v>1824</v>
      </c>
      <c r="D276" s="254">
        <v>3.0</v>
      </c>
      <c r="E276" s="267"/>
      <c r="F276" s="268" t="str">
        <f t="shared" si="61"/>
        <v/>
      </c>
      <c r="G276" s="199">
        <v>21667.0</v>
      </c>
      <c r="H276" s="357">
        <v>65000.0</v>
      </c>
      <c r="I276" s="200">
        <v>21667.0</v>
      </c>
      <c r="J276" s="358">
        <v>65000.0</v>
      </c>
      <c r="K276" s="245">
        <f t="shared" si="64"/>
        <v>0</v>
      </c>
      <c r="L276" s="246">
        <f t="shared" si="65"/>
        <v>0</v>
      </c>
      <c r="M276" s="247"/>
    </row>
    <row r="277" ht="15.75" customHeight="1">
      <c r="A277" s="355" t="s">
        <v>1698</v>
      </c>
      <c r="B277" s="356"/>
      <c r="C277" s="259"/>
      <c r="D277" s="356"/>
      <c r="E277" s="257"/>
      <c r="F277" s="258">
        <f>SUMIF(F260:F276,"&lt;&gt;",F260:F276)</f>
        <v>0</v>
      </c>
      <c r="G277" s="317"/>
      <c r="H277" s="260">
        <f>SUMIF(H260:H276,"&lt;&gt;",H260:H276)</f>
        <v>15283206</v>
      </c>
      <c r="I277" s="327"/>
      <c r="J277" s="260">
        <f>SUMIF(J260:J276,"&lt;&gt;",J260:J276)</f>
        <v>16734600</v>
      </c>
      <c r="K277" s="261">
        <f t="shared" si="64"/>
        <v>1451394</v>
      </c>
      <c r="L277" s="262">
        <f t="shared" si="65"/>
        <v>0.09496659274</v>
      </c>
      <c r="M277" s="257"/>
    </row>
    <row r="278" ht="15.75" customHeight="1"/>
    <row r="279" ht="15.75" customHeight="1">
      <c r="A279" s="273" t="s">
        <v>1914</v>
      </c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</row>
    <row r="280" ht="15.75" customHeight="1">
      <c r="A280" s="229" t="s">
        <v>1509</v>
      </c>
      <c r="B280" s="229" t="s">
        <v>1510</v>
      </c>
      <c r="C280" s="302" t="s">
        <v>1511</v>
      </c>
      <c r="D280" s="302" t="s">
        <v>1614</v>
      </c>
      <c r="E280" s="303" t="s">
        <v>1615</v>
      </c>
      <c r="F280" s="304"/>
      <c r="G280" s="305" t="s">
        <v>1616</v>
      </c>
      <c r="H280" s="304"/>
      <c r="I280" s="306" t="s">
        <v>1617</v>
      </c>
      <c r="J280" s="304"/>
      <c r="K280" s="307" t="s">
        <v>1618</v>
      </c>
      <c r="L280" s="304"/>
      <c r="M280" s="302" t="s">
        <v>1619</v>
      </c>
    </row>
    <row r="281" ht="15.75" customHeight="1">
      <c r="A281" s="234" t="s">
        <v>1509</v>
      </c>
      <c r="B281" s="234" t="s">
        <v>1510</v>
      </c>
      <c r="C281" s="234" t="s">
        <v>1511</v>
      </c>
      <c r="D281" s="234" t="s">
        <v>1614</v>
      </c>
      <c r="E281" s="235" t="s">
        <v>1620</v>
      </c>
      <c r="F281" s="235" t="s">
        <v>1621</v>
      </c>
      <c r="G281" s="236" t="s">
        <v>1622</v>
      </c>
      <c r="H281" s="236" t="s">
        <v>1623</v>
      </c>
      <c r="I281" s="237" t="s">
        <v>1624</v>
      </c>
      <c r="J281" s="237" t="s">
        <v>1625</v>
      </c>
      <c r="K281" s="238" t="s">
        <v>1626</v>
      </c>
      <c r="L281" s="238" t="s">
        <v>1627</v>
      </c>
      <c r="M281" s="234" t="s">
        <v>1619</v>
      </c>
    </row>
    <row r="282" ht="15.75" customHeight="1">
      <c r="A282" s="239">
        <v>1.0</v>
      </c>
      <c r="B282" s="275" t="s">
        <v>1527</v>
      </c>
      <c r="C282" s="239" t="s">
        <v>109</v>
      </c>
      <c r="D282" s="254">
        <v>100.0</v>
      </c>
      <c r="E282" s="267"/>
      <c r="F282" s="268" t="str">
        <f t="shared" ref="F282:F297" si="66">IF(E282&lt;&gt;"",D282*E282,"")</f>
        <v/>
      </c>
      <c r="G282" s="199">
        <v>14500.0</v>
      </c>
      <c r="H282" s="243">
        <f t="shared" ref="H282:H301" si="67">IF(G282&lt;&gt;"",D282*G282,"")</f>
        <v>1450000</v>
      </c>
      <c r="I282" s="200">
        <v>15700.0</v>
      </c>
      <c r="J282" s="244">
        <f t="shared" ref="J282:J301" si="68">IF(I282&lt;&gt;"",D282*I282,"")</f>
        <v>1570000</v>
      </c>
      <c r="K282" s="245">
        <f t="shared" ref="K282:K302" si="69">IF(J282&lt;&gt;"",IF(H282&lt;&gt;"",J282-H282,IF(F282&lt;&gt;"",J282-F282,"")),"")</f>
        <v>120000</v>
      </c>
      <c r="L282" s="246">
        <f t="shared" ref="L282:L302" si="70">IF(K282&lt;&gt;"",IF(H282&lt;&gt;"",IF(H282&lt;&gt;0,K282/H282,""),IF(F282&lt;&gt;"",IF(F282&lt;&gt;0,K282/F282,""),"")),"")</f>
        <v>0.08275862069</v>
      </c>
      <c r="M282" s="247"/>
    </row>
    <row r="283" ht="15.75" customHeight="1">
      <c r="A283" s="248">
        <v>2.0</v>
      </c>
      <c r="B283" s="276" t="s">
        <v>1956</v>
      </c>
      <c r="C283" s="239" t="s">
        <v>109</v>
      </c>
      <c r="D283" s="254">
        <v>94.0</v>
      </c>
      <c r="E283" s="267"/>
      <c r="F283" s="268" t="str">
        <f t="shared" si="66"/>
        <v/>
      </c>
      <c r="G283" s="199">
        <v>43000.0</v>
      </c>
      <c r="H283" s="243">
        <f t="shared" si="67"/>
        <v>4042000</v>
      </c>
      <c r="I283" s="200">
        <v>49000.0</v>
      </c>
      <c r="J283" s="244">
        <f t="shared" si="68"/>
        <v>4606000</v>
      </c>
      <c r="K283" s="245">
        <f t="shared" si="69"/>
        <v>564000</v>
      </c>
      <c r="L283" s="246">
        <f t="shared" si="70"/>
        <v>0.1395348837</v>
      </c>
      <c r="M283" s="247"/>
    </row>
    <row r="284" ht="15.75" customHeight="1">
      <c r="A284" s="239">
        <v>3.0</v>
      </c>
      <c r="B284" s="275" t="s">
        <v>1599</v>
      </c>
      <c r="C284" s="278" t="s">
        <v>69</v>
      </c>
      <c r="D284" s="254">
        <v>1830.0</v>
      </c>
      <c r="E284" s="267"/>
      <c r="F284" s="268" t="str">
        <f t="shared" si="66"/>
        <v/>
      </c>
      <c r="G284" s="199">
        <v>480.0</v>
      </c>
      <c r="H284" s="243">
        <f t="shared" si="67"/>
        <v>878400</v>
      </c>
      <c r="I284" s="200">
        <v>700.0</v>
      </c>
      <c r="J284" s="244">
        <f t="shared" si="68"/>
        <v>1281000</v>
      </c>
      <c r="K284" s="245">
        <f t="shared" si="69"/>
        <v>402600</v>
      </c>
      <c r="L284" s="246">
        <f t="shared" si="70"/>
        <v>0.4583333333</v>
      </c>
      <c r="M284" s="247"/>
    </row>
    <row r="285" ht="15.75" customHeight="1">
      <c r="A285" s="248">
        <v>4.0</v>
      </c>
      <c r="B285" s="276" t="s">
        <v>1363</v>
      </c>
      <c r="C285" s="239" t="s">
        <v>109</v>
      </c>
      <c r="D285" s="254">
        <v>64.0</v>
      </c>
      <c r="E285" s="267"/>
      <c r="F285" s="268" t="str">
        <f t="shared" si="66"/>
        <v/>
      </c>
      <c r="G285" s="199">
        <v>28000.0</v>
      </c>
      <c r="H285" s="243">
        <f t="shared" si="67"/>
        <v>1792000</v>
      </c>
      <c r="I285" s="200">
        <v>34000.0</v>
      </c>
      <c r="J285" s="244">
        <f t="shared" si="68"/>
        <v>2176000</v>
      </c>
      <c r="K285" s="245">
        <f t="shared" si="69"/>
        <v>384000</v>
      </c>
      <c r="L285" s="246">
        <f t="shared" si="70"/>
        <v>0.2142857143</v>
      </c>
      <c r="M285" s="247"/>
    </row>
    <row r="286" ht="15.75" customHeight="1">
      <c r="A286" s="239">
        <v>5.0</v>
      </c>
      <c r="B286" s="275" t="s">
        <v>1549</v>
      </c>
      <c r="C286" s="239" t="s">
        <v>109</v>
      </c>
      <c r="D286" s="254">
        <v>186.2</v>
      </c>
      <c r="E286" s="267"/>
      <c r="F286" s="268" t="str">
        <f t="shared" si="66"/>
        <v/>
      </c>
      <c r="G286" s="199">
        <v>25000.0</v>
      </c>
      <c r="H286" s="243">
        <f t="shared" si="67"/>
        <v>4655000</v>
      </c>
      <c r="I286" s="200">
        <v>27500.0</v>
      </c>
      <c r="J286" s="244">
        <f t="shared" si="68"/>
        <v>5120500</v>
      </c>
      <c r="K286" s="245">
        <f t="shared" si="69"/>
        <v>465500</v>
      </c>
      <c r="L286" s="246">
        <f t="shared" si="70"/>
        <v>0.1</v>
      </c>
      <c r="M286" s="247"/>
    </row>
    <row r="287" ht="15.75" customHeight="1">
      <c r="A287" s="248">
        <v>6.0</v>
      </c>
      <c r="B287" s="275" t="s">
        <v>1634</v>
      </c>
      <c r="C287" s="278" t="s">
        <v>69</v>
      </c>
      <c r="D287" s="254">
        <v>1260.0</v>
      </c>
      <c r="E287" s="267"/>
      <c r="F287" s="268" t="str">
        <f t="shared" si="66"/>
        <v/>
      </c>
      <c r="G287" s="199">
        <v>1800.0</v>
      </c>
      <c r="H287" s="243">
        <f t="shared" si="67"/>
        <v>2268000</v>
      </c>
      <c r="I287" s="200">
        <v>2000.0</v>
      </c>
      <c r="J287" s="244">
        <f t="shared" si="68"/>
        <v>2520000</v>
      </c>
      <c r="K287" s="245">
        <f t="shared" si="69"/>
        <v>252000</v>
      </c>
      <c r="L287" s="246">
        <f t="shared" si="70"/>
        <v>0.1111111111</v>
      </c>
      <c r="M287" s="247"/>
    </row>
    <row r="288" ht="15.75" customHeight="1">
      <c r="A288" s="239">
        <v>7.0</v>
      </c>
      <c r="B288" s="275" t="s">
        <v>1605</v>
      </c>
      <c r="C288" s="239" t="s">
        <v>109</v>
      </c>
      <c r="D288" s="254">
        <v>50.0</v>
      </c>
      <c r="E288" s="267"/>
      <c r="F288" s="268" t="str">
        <f t="shared" si="66"/>
        <v/>
      </c>
      <c r="G288" s="199">
        <v>11500.0</v>
      </c>
      <c r="H288" s="243">
        <f t="shared" si="67"/>
        <v>575000</v>
      </c>
      <c r="I288" s="200">
        <v>12000.0</v>
      </c>
      <c r="J288" s="244">
        <f t="shared" si="68"/>
        <v>600000</v>
      </c>
      <c r="K288" s="245">
        <f t="shared" si="69"/>
        <v>25000</v>
      </c>
      <c r="L288" s="246">
        <f t="shared" si="70"/>
        <v>0.04347826087</v>
      </c>
      <c r="M288" s="247"/>
    </row>
    <row r="289" ht="15.75" customHeight="1">
      <c r="A289" s="248">
        <v>8.0</v>
      </c>
      <c r="B289" s="275" t="s">
        <v>1936</v>
      </c>
      <c r="C289" s="239" t="s">
        <v>109</v>
      </c>
      <c r="D289" s="254">
        <v>2.0</v>
      </c>
      <c r="E289" s="267"/>
      <c r="F289" s="268" t="str">
        <f t="shared" si="66"/>
        <v/>
      </c>
      <c r="G289" s="199">
        <v>110000.0</v>
      </c>
      <c r="H289" s="243">
        <f t="shared" si="67"/>
        <v>220000</v>
      </c>
      <c r="I289" s="200">
        <v>125000.0</v>
      </c>
      <c r="J289" s="244">
        <f t="shared" si="68"/>
        <v>250000</v>
      </c>
      <c r="K289" s="245">
        <f t="shared" si="69"/>
        <v>30000</v>
      </c>
      <c r="L289" s="246">
        <f t="shared" si="70"/>
        <v>0.1363636364</v>
      </c>
      <c r="M289" s="247"/>
    </row>
    <row r="290" ht="15.75" customHeight="1">
      <c r="A290" s="239">
        <v>9.0</v>
      </c>
      <c r="B290" s="275" t="s">
        <v>1543</v>
      </c>
      <c r="C290" s="239" t="s">
        <v>109</v>
      </c>
      <c r="D290" s="254">
        <v>3.0</v>
      </c>
      <c r="E290" s="267"/>
      <c r="F290" s="268" t="str">
        <f t="shared" si="66"/>
        <v/>
      </c>
      <c r="G290" s="199">
        <v>8000.0</v>
      </c>
      <c r="H290" s="243">
        <f t="shared" si="67"/>
        <v>24000</v>
      </c>
      <c r="I290" s="200">
        <v>10000.0</v>
      </c>
      <c r="J290" s="244">
        <f t="shared" si="68"/>
        <v>30000</v>
      </c>
      <c r="K290" s="245">
        <f t="shared" si="69"/>
        <v>6000</v>
      </c>
      <c r="L290" s="246">
        <f t="shared" si="70"/>
        <v>0.25</v>
      </c>
      <c r="M290" s="247"/>
    </row>
    <row r="291" ht="15.75" customHeight="1">
      <c r="A291" s="248">
        <v>10.0</v>
      </c>
      <c r="B291" s="275" t="s">
        <v>1655</v>
      </c>
      <c r="C291" s="239" t="s">
        <v>109</v>
      </c>
      <c r="D291" s="254">
        <v>1.9</v>
      </c>
      <c r="E291" s="267"/>
      <c r="F291" s="268" t="str">
        <f t="shared" si="66"/>
        <v/>
      </c>
      <c r="G291" s="199">
        <v>18500.0</v>
      </c>
      <c r="H291" s="243">
        <f t="shared" si="67"/>
        <v>35150</v>
      </c>
      <c r="I291" s="200">
        <v>20000.0</v>
      </c>
      <c r="J291" s="244">
        <f t="shared" si="68"/>
        <v>38000</v>
      </c>
      <c r="K291" s="245">
        <f t="shared" si="69"/>
        <v>2850</v>
      </c>
      <c r="L291" s="246">
        <f t="shared" si="70"/>
        <v>0.08108108108</v>
      </c>
      <c r="M291" s="247"/>
    </row>
    <row r="292" ht="15.75" customHeight="1">
      <c r="A292" s="239">
        <v>11.0</v>
      </c>
      <c r="B292" s="275" t="s">
        <v>1577</v>
      </c>
      <c r="C292" s="239" t="s">
        <v>109</v>
      </c>
      <c r="D292" s="254">
        <v>1.0</v>
      </c>
      <c r="E292" s="267"/>
      <c r="F292" s="268" t="str">
        <f t="shared" si="66"/>
        <v/>
      </c>
      <c r="G292" s="199">
        <v>25000.0</v>
      </c>
      <c r="H292" s="243">
        <f t="shared" si="67"/>
        <v>25000</v>
      </c>
      <c r="I292" s="200">
        <v>26000.0</v>
      </c>
      <c r="J292" s="244">
        <f t="shared" si="68"/>
        <v>26000</v>
      </c>
      <c r="K292" s="245">
        <f t="shared" si="69"/>
        <v>1000</v>
      </c>
      <c r="L292" s="246">
        <f t="shared" si="70"/>
        <v>0.04</v>
      </c>
      <c r="M292" s="247"/>
    </row>
    <row r="293" ht="15.75" customHeight="1">
      <c r="A293" s="248">
        <v>12.0</v>
      </c>
      <c r="B293" s="275" t="s">
        <v>1522</v>
      </c>
      <c r="C293" s="239" t="s">
        <v>109</v>
      </c>
      <c r="D293" s="254">
        <v>2.9</v>
      </c>
      <c r="E293" s="267"/>
      <c r="F293" s="268" t="str">
        <f t="shared" si="66"/>
        <v/>
      </c>
      <c r="G293" s="199">
        <v>33000.0</v>
      </c>
      <c r="H293" s="243">
        <f t="shared" si="67"/>
        <v>95700</v>
      </c>
      <c r="I293" s="200">
        <v>35000.0</v>
      </c>
      <c r="J293" s="244">
        <f t="shared" si="68"/>
        <v>101500</v>
      </c>
      <c r="K293" s="245">
        <f t="shared" si="69"/>
        <v>5800</v>
      </c>
      <c r="L293" s="246">
        <f t="shared" si="70"/>
        <v>0.06060606061</v>
      </c>
      <c r="M293" s="247"/>
    </row>
    <row r="294" ht="15.75" customHeight="1">
      <c r="A294" s="239">
        <v>13.0</v>
      </c>
      <c r="B294" s="275" t="s">
        <v>1640</v>
      </c>
      <c r="C294" s="239" t="s">
        <v>109</v>
      </c>
      <c r="D294" s="254">
        <v>1.0</v>
      </c>
      <c r="E294" s="267"/>
      <c r="F294" s="268" t="str">
        <f t="shared" si="66"/>
        <v/>
      </c>
      <c r="G294" s="199">
        <v>35000.0</v>
      </c>
      <c r="H294" s="243">
        <f t="shared" si="67"/>
        <v>35000</v>
      </c>
      <c r="I294" s="200">
        <v>36000.0</v>
      </c>
      <c r="J294" s="244">
        <f t="shared" si="68"/>
        <v>36000</v>
      </c>
      <c r="K294" s="245">
        <f t="shared" si="69"/>
        <v>1000</v>
      </c>
      <c r="L294" s="246">
        <f t="shared" si="70"/>
        <v>0.02857142857</v>
      </c>
      <c r="M294" s="247"/>
    </row>
    <row r="295" ht="15.75" customHeight="1">
      <c r="A295" s="248">
        <v>14.0</v>
      </c>
      <c r="B295" s="275" t="s">
        <v>1935</v>
      </c>
      <c r="C295" s="239" t="s">
        <v>109</v>
      </c>
      <c r="D295" s="254">
        <v>1.0</v>
      </c>
      <c r="E295" s="267"/>
      <c r="F295" s="268" t="str">
        <f t="shared" si="66"/>
        <v/>
      </c>
      <c r="G295" s="199">
        <v>45000.0</v>
      </c>
      <c r="H295" s="243">
        <f t="shared" si="67"/>
        <v>45000</v>
      </c>
      <c r="I295" s="200">
        <v>54000.0</v>
      </c>
      <c r="J295" s="244">
        <f t="shared" si="68"/>
        <v>54000</v>
      </c>
      <c r="K295" s="245">
        <f t="shared" si="69"/>
        <v>9000</v>
      </c>
      <c r="L295" s="246">
        <f t="shared" si="70"/>
        <v>0.2</v>
      </c>
      <c r="M295" s="247"/>
    </row>
    <row r="296" ht="15.75" customHeight="1">
      <c r="A296" s="239">
        <v>15.0</v>
      </c>
      <c r="B296" s="275" t="s">
        <v>1846</v>
      </c>
      <c r="C296" s="278" t="s">
        <v>1557</v>
      </c>
      <c r="D296" s="254">
        <v>1.0</v>
      </c>
      <c r="E296" s="267"/>
      <c r="F296" s="268" t="str">
        <f t="shared" si="66"/>
        <v/>
      </c>
      <c r="G296" s="199">
        <v>52000.0</v>
      </c>
      <c r="H296" s="243">
        <f t="shared" si="67"/>
        <v>52000</v>
      </c>
      <c r="I296" s="200">
        <v>55000.0</v>
      </c>
      <c r="J296" s="244">
        <f t="shared" si="68"/>
        <v>55000</v>
      </c>
      <c r="K296" s="245">
        <f t="shared" si="69"/>
        <v>3000</v>
      </c>
      <c r="L296" s="246">
        <f t="shared" si="70"/>
        <v>0.05769230769</v>
      </c>
      <c r="M296" s="247"/>
    </row>
    <row r="297" ht="15.75" customHeight="1">
      <c r="A297" s="248">
        <v>16.0</v>
      </c>
      <c r="B297" s="276" t="s">
        <v>1681</v>
      </c>
      <c r="C297" s="278" t="s">
        <v>633</v>
      </c>
      <c r="D297" s="254">
        <v>48.0</v>
      </c>
      <c r="E297" s="267"/>
      <c r="F297" s="268" t="str">
        <f t="shared" si="66"/>
        <v/>
      </c>
      <c r="G297" s="199">
        <v>21500.0</v>
      </c>
      <c r="H297" s="243">
        <f t="shared" si="67"/>
        <v>1032000</v>
      </c>
      <c r="I297" s="200">
        <v>24000.0</v>
      </c>
      <c r="J297" s="244">
        <f t="shared" si="68"/>
        <v>1152000</v>
      </c>
      <c r="K297" s="245">
        <f t="shared" si="69"/>
        <v>120000</v>
      </c>
      <c r="L297" s="246">
        <f t="shared" si="70"/>
        <v>0.1162790698</v>
      </c>
      <c r="M297" s="247"/>
    </row>
    <row r="298" ht="15.75" customHeight="1">
      <c r="A298" s="239">
        <v>17.0</v>
      </c>
      <c r="B298" s="275" t="s">
        <v>1643</v>
      </c>
      <c r="C298" s="278" t="s">
        <v>1824</v>
      </c>
      <c r="D298" s="254">
        <v>1.0</v>
      </c>
      <c r="E298" s="267"/>
      <c r="F298" s="268"/>
      <c r="G298" s="199">
        <v>48000.0</v>
      </c>
      <c r="H298" s="243">
        <f t="shared" si="67"/>
        <v>48000</v>
      </c>
      <c r="I298" s="200">
        <v>51000.0</v>
      </c>
      <c r="J298" s="244">
        <f t="shared" si="68"/>
        <v>51000</v>
      </c>
      <c r="K298" s="245">
        <f t="shared" si="69"/>
        <v>3000</v>
      </c>
      <c r="L298" s="246">
        <f t="shared" si="70"/>
        <v>0.0625</v>
      </c>
      <c r="M298" s="247"/>
    </row>
    <row r="299" ht="15.75" customHeight="1">
      <c r="A299" s="248">
        <v>18.0</v>
      </c>
      <c r="B299" s="275" t="s">
        <v>1957</v>
      </c>
      <c r="C299" s="278" t="s">
        <v>69</v>
      </c>
      <c r="D299" s="254">
        <v>1255.0</v>
      </c>
      <c r="E299" s="267"/>
      <c r="F299" s="268"/>
      <c r="G299" s="199">
        <v>2800.0</v>
      </c>
      <c r="H299" s="243">
        <f t="shared" si="67"/>
        <v>3514000</v>
      </c>
      <c r="I299" s="200">
        <v>3800.0</v>
      </c>
      <c r="J299" s="244">
        <f t="shared" si="68"/>
        <v>4769000</v>
      </c>
      <c r="K299" s="245">
        <f t="shared" si="69"/>
        <v>1255000</v>
      </c>
      <c r="L299" s="246">
        <f t="shared" si="70"/>
        <v>0.3571428571</v>
      </c>
      <c r="M299" s="247"/>
    </row>
    <row r="300" ht="15.75" customHeight="1">
      <c r="A300" s="239">
        <v>19.0</v>
      </c>
      <c r="B300" s="275" t="s">
        <v>1596</v>
      </c>
      <c r="C300" s="278" t="s">
        <v>1799</v>
      </c>
      <c r="D300" s="254">
        <v>35.0</v>
      </c>
      <c r="E300" s="267"/>
      <c r="F300" s="268"/>
      <c r="G300" s="199">
        <v>116000.0</v>
      </c>
      <c r="H300" s="243">
        <f t="shared" si="67"/>
        <v>4060000</v>
      </c>
      <c r="I300" s="200">
        <v>129600.0</v>
      </c>
      <c r="J300" s="244">
        <f t="shared" si="68"/>
        <v>4536000</v>
      </c>
      <c r="K300" s="245">
        <f t="shared" si="69"/>
        <v>476000</v>
      </c>
      <c r="L300" s="246">
        <f t="shared" si="70"/>
        <v>0.1172413793</v>
      </c>
      <c r="M300" s="247"/>
    </row>
    <row r="301" ht="15.75" customHeight="1">
      <c r="A301" s="278">
        <v>20.0</v>
      </c>
      <c r="B301" s="275" t="s">
        <v>1230</v>
      </c>
      <c r="C301" s="239" t="s">
        <v>109</v>
      </c>
      <c r="D301" s="254">
        <v>5.0</v>
      </c>
      <c r="E301" s="267"/>
      <c r="F301" s="268" t="str">
        <f>IF(E301&lt;&gt;"",D301*E301,"")</f>
        <v/>
      </c>
      <c r="G301" s="199">
        <v>14000.0</v>
      </c>
      <c r="H301" s="243">
        <f t="shared" si="67"/>
        <v>70000</v>
      </c>
      <c r="I301" s="200">
        <v>18000.0</v>
      </c>
      <c r="J301" s="244">
        <f t="shared" si="68"/>
        <v>90000</v>
      </c>
      <c r="K301" s="245">
        <f t="shared" si="69"/>
        <v>20000</v>
      </c>
      <c r="L301" s="246">
        <f t="shared" si="70"/>
        <v>0.2857142857</v>
      </c>
      <c r="M301" s="247"/>
    </row>
    <row r="302" ht="18.0" customHeight="1">
      <c r="A302" s="355" t="s">
        <v>1701</v>
      </c>
      <c r="B302" s="356"/>
      <c r="C302" s="259"/>
      <c r="D302" s="356"/>
      <c r="E302" s="257"/>
      <c r="F302" s="258">
        <f>SUMIF(F282:F301,"&lt;&gt;",F282:F301)</f>
        <v>0</v>
      </c>
      <c r="G302" s="317"/>
      <c r="H302" s="260">
        <f>SUMIF(H282:H301,"&lt;&gt;",H282:H301)</f>
        <v>24916250</v>
      </c>
      <c r="I302" s="327"/>
      <c r="J302" s="260">
        <f>SUMIF(J282:J301,"&lt;&gt;",J282:J301)</f>
        <v>29062000</v>
      </c>
      <c r="K302" s="261">
        <f t="shared" si="69"/>
        <v>4145750</v>
      </c>
      <c r="L302" s="262">
        <f t="shared" si="70"/>
        <v>0.1663873978</v>
      </c>
      <c r="M302" s="257"/>
    </row>
    <row r="303" ht="15.75" customHeight="1"/>
    <row r="304" ht="15.75" customHeight="1">
      <c r="A304" s="273" t="s">
        <v>1702</v>
      </c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</row>
    <row r="305" ht="15.75" customHeight="1">
      <c r="A305" s="229" t="s">
        <v>1509</v>
      </c>
      <c r="B305" s="229" t="s">
        <v>1510</v>
      </c>
      <c r="C305" s="302" t="s">
        <v>1511</v>
      </c>
      <c r="D305" s="302" t="s">
        <v>1614</v>
      </c>
      <c r="E305" s="303" t="s">
        <v>1615</v>
      </c>
      <c r="F305" s="304"/>
      <c r="G305" s="305" t="s">
        <v>1616</v>
      </c>
      <c r="H305" s="304"/>
      <c r="I305" s="306" t="s">
        <v>1617</v>
      </c>
      <c r="J305" s="304"/>
      <c r="K305" s="307" t="s">
        <v>1618</v>
      </c>
      <c r="L305" s="304"/>
      <c r="M305" s="302" t="s">
        <v>1619</v>
      </c>
    </row>
    <row r="306" ht="15.75" customHeight="1">
      <c r="A306" s="234" t="s">
        <v>1509</v>
      </c>
      <c r="B306" s="234" t="s">
        <v>1510</v>
      </c>
      <c r="C306" s="234" t="s">
        <v>1511</v>
      </c>
      <c r="D306" s="234" t="s">
        <v>1614</v>
      </c>
      <c r="E306" s="235" t="s">
        <v>1620</v>
      </c>
      <c r="F306" s="235" t="s">
        <v>1621</v>
      </c>
      <c r="G306" s="236" t="s">
        <v>1622</v>
      </c>
      <c r="H306" s="236" t="s">
        <v>1623</v>
      </c>
      <c r="I306" s="237" t="s">
        <v>1624</v>
      </c>
      <c r="J306" s="237" t="s">
        <v>1625</v>
      </c>
      <c r="K306" s="238" t="s">
        <v>1626</v>
      </c>
      <c r="L306" s="238" t="s">
        <v>1627</v>
      </c>
      <c r="M306" s="234" t="s">
        <v>1619</v>
      </c>
    </row>
    <row r="307" ht="15.75" customHeight="1">
      <c r="A307" s="239">
        <v>1.0</v>
      </c>
      <c r="B307" s="275" t="s">
        <v>1527</v>
      </c>
      <c r="C307" s="239" t="s">
        <v>109</v>
      </c>
      <c r="D307" s="254">
        <v>25.0</v>
      </c>
      <c r="E307" s="267"/>
      <c r="F307" s="268" t="str">
        <f t="shared" ref="F307:F317" si="71">IF(E307&lt;&gt;"",D307*E307,"")</f>
        <v/>
      </c>
      <c r="G307" s="199">
        <v>14500.0</v>
      </c>
      <c r="H307" s="243">
        <f t="shared" ref="H307:H317" si="72">IF(G307&lt;&gt;"",D307*G307,"")</f>
        <v>362500</v>
      </c>
      <c r="I307" s="200">
        <v>15700.0</v>
      </c>
      <c r="J307" s="244">
        <f t="shared" ref="J307:J317" si="73">IF(I307&lt;&gt;"",D307*I307,"")</f>
        <v>392500</v>
      </c>
      <c r="K307" s="245">
        <f t="shared" ref="K307:K318" si="74">IF(J307&lt;&gt;"",IF(H307&lt;&gt;"",J307-H307,IF(F307&lt;&gt;"",J307-F307,"")),"")</f>
        <v>30000</v>
      </c>
      <c r="L307" s="246">
        <f t="shared" ref="L307:L318" si="75">IF(K307&lt;&gt;"",IF(H307&lt;&gt;"",IF(H307&lt;&gt;0,K307/H307,""),IF(F307&lt;&gt;"",IF(F307&lt;&gt;0,K307/F307,""),"")),"")</f>
        <v>0.08275862069</v>
      </c>
      <c r="M307" s="247"/>
    </row>
    <row r="308" ht="15.75" customHeight="1">
      <c r="A308" s="248">
        <v>2.0</v>
      </c>
      <c r="B308" s="276" t="s">
        <v>1116</v>
      </c>
      <c r="C308" s="239" t="s">
        <v>109</v>
      </c>
      <c r="D308" s="254">
        <v>25.0</v>
      </c>
      <c r="E308" s="267"/>
      <c r="F308" s="268" t="str">
        <f t="shared" si="71"/>
        <v/>
      </c>
      <c r="G308" s="199">
        <v>31000.0</v>
      </c>
      <c r="H308" s="243">
        <f t="shared" si="72"/>
        <v>775000</v>
      </c>
      <c r="I308" s="200">
        <v>33000.0</v>
      </c>
      <c r="J308" s="244">
        <f t="shared" si="73"/>
        <v>825000</v>
      </c>
      <c r="K308" s="245">
        <f t="shared" si="74"/>
        <v>50000</v>
      </c>
      <c r="L308" s="246">
        <f t="shared" si="75"/>
        <v>0.06451612903</v>
      </c>
      <c r="M308" s="247"/>
    </row>
    <row r="309" ht="15.75" customHeight="1">
      <c r="A309" s="239">
        <v>3.0</v>
      </c>
      <c r="B309" s="275" t="s">
        <v>1344</v>
      </c>
      <c r="C309" s="239" t="s">
        <v>109</v>
      </c>
      <c r="D309" s="254">
        <v>250.0</v>
      </c>
      <c r="E309" s="267"/>
      <c r="F309" s="268" t="str">
        <f t="shared" si="71"/>
        <v/>
      </c>
      <c r="G309" s="199">
        <v>450.0</v>
      </c>
      <c r="H309" s="243">
        <f t="shared" si="72"/>
        <v>112500</v>
      </c>
      <c r="I309" s="200">
        <v>700.0</v>
      </c>
      <c r="J309" s="244">
        <f t="shared" si="73"/>
        <v>175000</v>
      </c>
      <c r="K309" s="245">
        <f t="shared" si="74"/>
        <v>62500</v>
      </c>
      <c r="L309" s="246">
        <f t="shared" si="75"/>
        <v>0.5555555556</v>
      </c>
      <c r="M309" s="247"/>
    </row>
    <row r="310" ht="15.75" customHeight="1">
      <c r="A310" s="248">
        <v>4.0</v>
      </c>
      <c r="B310" s="276" t="s">
        <v>1607</v>
      </c>
      <c r="C310" s="239" t="s">
        <v>109</v>
      </c>
      <c r="D310" s="254">
        <v>13.0</v>
      </c>
      <c r="E310" s="267"/>
      <c r="F310" s="268" t="str">
        <f t="shared" si="71"/>
        <v/>
      </c>
      <c r="G310" s="199">
        <v>8000.0</v>
      </c>
      <c r="H310" s="243">
        <f t="shared" si="72"/>
        <v>104000</v>
      </c>
      <c r="I310" s="200">
        <v>10000.0</v>
      </c>
      <c r="J310" s="244">
        <f t="shared" si="73"/>
        <v>130000</v>
      </c>
      <c r="K310" s="245">
        <f t="shared" si="74"/>
        <v>26000</v>
      </c>
      <c r="L310" s="246">
        <f t="shared" si="75"/>
        <v>0.25</v>
      </c>
      <c r="M310" s="247"/>
    </row>
    <row r="311" ht="15.75" customHeight="1">
      <c r="A311" s="239">
        <v>5.0</v>
      </c>
      <c r="B311" s="275" t="s">
        <v>1863</v>
      </c>
      <c r="C311" s="239" t="s">
        <v>109</v>
      </c>
      <c r="D311" s="254">
        <v>6.0</v>
      </c>
      <c r="E311" s="267"/>
      <c r="F311" s="268" t="str">
        <f t="shared" si="71"/>
        <v/>
      </c>
      <c r="G311" s="199">
        <v>8000.0</v>
      </c>
      <c r="H311" s="243">
        <f t="shared" si="72"/>
        <v>48000</v>
      </c>
      <c r="I311" s="200">
        <v>13000.0</v>
      </c>
      <c r="J311" s="244">
        <f t="shared" si="73"/>
        <v>78000</v>
      </c>
      <c r="K311" s="245">
        <f t="shared" si="74"/>
        <v>30000</v>
      </c>
      <c r="L311" s="246">
        <f t="shared" si="75"/>
        <v>0.625</v>
      </c>
      <c r="M311" s="247"/>
    </row>
    <row r="312" ht="15.75" customHeight="1">
      <c r="A312" s="248">
        <v>6.0</v>
      </c>
      <c r="B312" s="275" t="s">
        <v>1543</v>
      </c>
      <c r="C312" s="239" t="s">
        <v>109</v>
      </c>
      <c r="D312" s="254">
        <v>3.0</v>
      </c>
      <c r="E312" s="267"/>
      <c r="F312" s="268" t="str">
        <f t="shared" si="71"/>
        <v/>
      </c>
      <c r="G312" s="199">
        <v>8000.0</v>
      </c>
      <c r="H312" s="243">
        <f t="shared" si="72"/>
        <v>24000</v>
      </c>
      <c r="I312" s="200">
        <v>10000.0</v>
      </c>
      <c r="J312" s="244">
        <f t="shared" si="73"/>
        <v>30000</v>
      </c>
      <c r="K312" s="245">
        <f t="shared" si="74"/>
        <v>6000</v>
      </c>
      <c r="L312" s="246">
        <f t="shared" si="75"/>
        <v>0.25</v>
      </c>
      <c r="M312" s="247"/>
    </row>
    <row r="313" ht="15.75" customHeight="1">
      <c r="A313" s="239">
        <v>7.0</v>
      </c>
      <c r="B313" s="275" t="s">
        <v>1958</v>
      </c>
      <c r="C313" s="239" t="s">
        <v>109</v>
      </c>
      <c r="D313" s="254">
        <v>1.0</v>
      </c>
      <c r="E313" s="267"/>
      <c r="F313" s="268" t="str">
        <f t="shared" si="71"/>
        <v/>
      </c>
      <c r="G313" s="199">
        <v>95000.0</v>
      </c>
      <c r="H313" s="243">
        <f t="shared" si="72"/>
        <v>95000</v>
      </c>
      <c r="I313" s="200">
        <v>105000.0</v>
      </c>
      <c r="J313" s="244">
        <f t="shared" si="73"/>
        <v>105000</v>
      </c>
      <c r="K313" s="245">
        <f t="shared" si="74"/>
        <v>10000</v>
      </c>
      <c r="L313" s="246">
        <f t="shared" si="75"/>
        <v>0.1052631579</v>
      </c>
      <c r="M313" s="247"/>
    </row>
    <row r="314" ht="15.75" customHeight="1">
      <c r="A314" s="248">
        <v>8.0</v>
      </c>
      <c r="B314" s="275" t="s">
        <v>1642</v>
      </c>
      <c r="C314" s="239" t="s">
        <v>109</v>
      </c>
      <c r="D314" s="254">
        <v>2.0</v>
      </c>
      <c r="E314" s="267"/>
      <c r="F314" s="268" t="str">
        <f t="shared" si="71"/>
        <v/>
      </c>
      <c r="G314" s="199">
        <v>17000.0</v>
      </c>
      <c r="H314" s="243">
        <f t="shared" si="72"/>
        <v>34000</v>
      </c>
      <c r="I314" s="200">
        <v>17000.0</v>
      </c>
      <c r="J314" s="244">
        <f t="shared" si="73"/>
        <v>34000</v>
      </c>
      <c r="K314" s="245">
        <f t="shared" si="74"/>
        <v>0</v>
      </c>
      <c r="L314" s="246">
        <f t="shared" si="75"/>
        <v>0</v>
      </c>
      <c r="M314" s="247"/>
    </row>
    <row r="315" ht="15.75" customHeight="1">
      <c r="A315" s="239">
        <v>9.0</v>
      </c>
      <c r="B315" s="275" t="s">
        <v>1112</v>
      </c>
      <c r="C315" s="239" t="s">
        <v>109</v>
      </c>
      <c r="D315" s="254">
        <v>28.0</v>
      </c>
      <c r="E315" s="267"/>
      <c r="F315" s="268" t="str">
        <f t="shared" si="71"/>
        <v/>
      </c>
      <c r="G315" s="199">
        <v>19000.0</v>
      </c>
      <c r="H315" s="243">
        <f t="shared" si="72"/>
        <v>532000</v>
      </c>
      <c r="I315" s="200">
        <v>19000.0</v>
      </c>
      <c r="J315" s="244">
        <f t="shared" si="73"/>
        <v>532000</v>
      </c>
      <c r="K315" s="245">
        <f t="shared" si="74"/>
        <v>0</v>
      </c>
      <c r="L315" s="246">
        <f t="shared" si="75"/>
        <v>0</v>
      </c>
      <c r="M315" s="247"/>
    </row>
    <row r="316" ht="15.75" customHeight="1">
      <c r="A316" s="248">
        <v>10.0</v>
      </c>
      <c r="B316" s="275" t="s">
        <v>1959</v>
      </c>
      <c r="C316" s="239" t="s">
        <v>109</v>
      </c>
      <c r="D316" s="254">
        <v>4.0</v>
      </c>
      <c r="E316" s="267"/>
      <c r="F316" s="268" t="str">
        <f t="shared" si="71"/>
        <v/>
      </c>
      <c r="G316" s="199">
        <v>22000.0</v>
      </c>
      <c r="H316" s="243">
        <f t="shared" si="72"/>
        <v>88000</v>
      </c>
      <c r="I316" s="200">
        <v>25000.0</v>
      </c>
      <c r="J316" s="244">
        <f t="shared" si="73"/>
        <v>100000</v>
      </c>
      <c r="K316" s="245">
        <f t="shared" si="74"/>
        <v>12000</v>
      </c>
      <c r="L316" s="246">
        <f t="shared" si="75"/>
        <v>0.1363636364</v>
      </c>
      <c r="M316" s="247"/>
    </row>
    <row r="317" ht="15.75" customHeight="1">
      <c r="A317" s="239">
        <v>11.0</v>
      </c>
      <c r="B317" s="275" t="s">
        <v>1640</v>
      </c>
      <c r="C317" s="278" t="s">
        <v>1689</v>
      </c>
      <c r="D317" s="254">
        <v>1.0</v>
      </c>
      <c r="E317" s="267"/>
      <c r="F317" s="268" t="str">
        <f t="shared" si="71"/>
        <v/>
      </c>
      <c r="G317" s="199">
        <v>45000.0</v>
      </c>
      <c r="H317" s="243">
        <f t="shared" si="72"/>
        <v>45000</v>
      </c>
      <c r="I317" s="200">
        <v>54000.0</v>
      </c>
      <c r="J317" s="244">
        <f t="shared" si="73"/>
        <v>54000</v>
      </c>
      <c r="K317" s="245">
        <f t="shared" si="74"/>
        <v>9000</v>
      </c>
      <c r="L317" s="246">
        <f t="shared" si="75"/>
        <v>0.2</v>
      </c>
      <c r="M317" s="247"/>
    </row>
    <row r="318" ht="15.75" customHeight="1">
      <c r="A318" s="355" t="s">
        <v>1704</v>
      </c>
      <c r="B318" s="356"/>
      <c r="C318" s="359"/>
      <c r="D318" s="356"/>
      <c r="E318" s="257"/>
      <c r="F318" s="258">
        <f>SUMIF(F307:F317,"&lt;&gt;",F307:F317)</f>
        <v>0</v>
      </c>
      <c r="G318" s="317"/>
      <c r="H318" s="260">
        <f>SUMIF(H307:H317,"&lt;&gt;",H307:H317)</f>
        <v>2220000</v>
      </c>
      <c r="I318" s="327"/>
      <c r="J318" s="260">
        <f>SUMIF(J307:J317,"&lt;&gt;",J307:J317)</f>
        <v>2455500</v>
      </c>
      <c r="K318" s="261">
        <f t="shared" si="74"/>
        <v>235500</v>
      </c>
      <c r="L318" s="262">
        <f t="shared" si="75"/>
        <v>0.1060810811</v>
      </c>
      <c r="M318" s="257"/>
    </row>
    <row r="319" ht="15.75" customHeight="1"/>
    <row r="320" ht="15.75" customHeight="1">
      <c r="A320" s="273" t="s">
        <v>1922</v>
      </c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</row>
    <row r="321" ht="15.75" customHeight="1">
      <c r="A321" s="229" t="s">
        <v>1509</v>
      </c>
      <c r="B321" s="229" t="s">
        <v>1510</v>
      </c>
      <c r="C321" s="302" t="s">
        <v>1511</v>
      </c>
      <c r="D321" s="302" t="s">
        <v>1614</v>
      </c>
      <c r="E321" s="303" t="s">
        <v>1615</v>
      </c>
      <c r="F321" s="304"/>
      <c r="G321" s="305" t="s">
        <v>1616</v>
      </c>
      <c r="H321" s="304"/>
      <c r="I321" s="306" t="s">
        <v>1617</v>
      </c>
      <c r="J321" s="304"/>
      <c r="K321" s="307" t="s">
        <v>1618</v>
      </c>
      <c r="L321" s="304"/>
      <c r="M321" s="302" t="s">
        <v>1619</v>
      </c>
    </row>
    <row r="322" ht="15.75" customHeight="1">
      <c r="A322" s="234" t="s">
        <v>1509</v>
      </c>
      <c r="B322" s="234" t="s">
        <v>1510</v>
      </c>
      <c r="C322" s="234" t="s">
        <v>1511</v>
      </c>
      <c r="D322" s="234" t="s">
        <v>1614</v>
      </c>
      <c r="E322" s="235" t="s">
        <v>1620</v>
      </c>
      <c r="F322" s="235" t="s">
        <v>1621</v>
      </c>
      <c r="G322" s="236" t="s">
        <v>1622</v>
      </c>
      <c r="H322" s="236" t="s">
        <v>1623</v>
      </c>
      <c r="I322" s="237" t="s">
        <v>1624</v>
      </c>
      <c r="J322" s="237" t="s">
        <v>1625</v>
      </c>
      <c r="K322" s="238" t="s">
        <v>1626</v>
      </c>
      <c r="L322" s="238" t="s">
        <v>1627</v>
      </c>
      <c r="M322" s="234" t="s">
        <v>1619</v>
      </c>
    </row>
    <row r="323" ht="15.75" customHeight="1">
      <c r="A323" s="239">
        <v>1.0</v>
      </c>
      <c r="B323" s="275" t="s">
        <v>1527</v>
      </c>
      <c r="C323" s="239" t="s">
        <v>109</v>
      </c>
      <c r="D323" s="254">
        <v>100.0</v>
      </c>
      <c r="E323" s="267"/>
      <c r="F323" s="268" t="str">
        <f t="shared" ref="F323:F332" si="76">IF(E323&lt;&gt;"",D323*E323,"")</f>
        <v/>
      </c>
      <c r="G323" s="311">
        <v>14500.0</v>
      </c>
      <c r="H323" s="243">
        <f t="shared" ref="H323:H332" si="77">IF(G323&lt;&gt;"",D323*G323,"")</f>
        <v>1450000</v>
      </c>
      <c r="I323" s="200">
        <v>15700.0</v>
      </c>
      <c r="J323" s="244">
        <f t="shared" ref="J323:J332" si="78">IF(I323&lt;&gt;"",D323*I323,"")</f>
        <v>1570000</v>
      </c>
      <c r="K323" s="245">
        <f t="shared" ref="K323:K333" si="79">IF(J323&lt;&gt;"",IF(H323&lt;&gt;"",J323-H323,IF(F323&lt;&gt;"",J323-F323,"")),"")</f>
        <v>120000</v>
      </c>
      <c r="L323" s="246">
        <f t="shared" ref="L323:L333" si="80">IF(K323&lt;&gt;"",IF(H323&lt;&gt;"",IF(H323&lt;&gt;0,K323/H323,""),IF(F323&lt;&gt;"",IF(F323&lt;&gt;0,K323/F323,""),"")),"")</f>
        <v>0.08275862069</v>
      </c>
      <c r="M323" s="247"/>
    </row>
    <row r="324" ht="15.75" customHeight="1">
      <c r="A324" s="248">
        <v>2.0</v>
      </c>
      <c r="B324" s="276" t="s">
        <v>1960</v>
      </c>
      <c r="C324" s="239" t="s">
        <v>109</v>
      </c>
      <c r="D324" s="254">
        <v>109.0</v>
      </c>
      <c r="E324" s="267"/>
      <c r="F324" s="268" t="str">
        <f t="shared" si="76"/>
        <v/>
      </c>
      <c r="G324" s="311">
        <v>43500.0</v>
      </c>
      <c r="H324" s="243">
        <f t="shared" si="77"/>
        <v>4741500</v>
      </c>
      <c r="I324" s="200">
        <v>48000.0</v>
      </c>
      <c r="J324" s="244">
        <f t="shared" si="78"/>
        <v>5232000</v>
      </c>
      <c r="K324" s="245">
        <f t="shared" si="79"/>
        <v>490500</v>
      </c>
      <c r="L324" s="246">
        <f t="shared" si="80"/>
        <v>0.1034482759</v>
      </c>
      <c r="M324" s="247"/>
    </row>
    <row r="325" ht="15.75" customHeight="1">
      <c r="A325" s="239">
        <v>3.0</v>
      </c>
      <c r="B325" s="275" t="s">
        <v>1690</v>
      </c>
      <c r="C325" s="239" t="s">
        <v>109</v>
      </c>
      <c r="D325" s="254">
        <v>59.8</v>
      </c>
      <c r="E325" s="267"/>
      <c r="F325" s="268" t="str">
        <f t="shared" si="76"/>
        <v/>
      </c>
      <c r="G325" s="311">
        <v>9000.0</v>
      </c>
      <c r="H325" s="243">
        <f t="shared" si="77"/>
        <v>538200</v>
      </c>
      <c r="I325" s="200">
        <v>12000.0</v>
      </c>
      <c r="J325" s="244">
        <f t="shared" si="78"/>
        <v>717600</v>
      </c>
      <c r="K325" s="245">
        <f t="shared" si="79"/>
        <v>179400</v>
      </c>
      <c r="L325" s="246">
        <f t="shared" si="80"/>
        <v>0.3333333333</v>
      </c>
      <c r="M325" s="247"/>
    </row>
    <row r="326" ht="15.75" customHeight="1">
      <c r="A326" s="248">
        <v>4.0</v>
      </c>
      <c r="B326" s="276" t="s">
        <v>1609</v>
      </c>
      <c r="C326" s="239" t="s">
        <v>109</v>
      </c>
      <c r="D326" s="254">
        <v>48.7</v>
      </c>
      <c r="E326" s="267"/>
      <c r="F326" s="268" t="str">
        <f t="shared" si="76"/>
        <v/>
      </c>
      <c r="G326" s="311">
        <v>15500.0</v>
      </c>
      <c r="H326" s="243">
        <f t="shared" si="77"/>
        <v>754850</v>
      </c>
      <c r="I326" s="200">
        <v>17000.0</v>
      </c>
      <c r="J326" s="244">
        <f t="shared" si="78"/>
        <v>827900</v>
      </c>
      <c r="K326" s="245">
        <f t="shared" si="79"/>
        <v>73050</v>
      </c>
      <c r="L326" s="246">
        <f t="shared" si="80"/>
        <v>0.09677419355</v>
      </c>
      <c r="M326" s="247"/>
    </row>
    <row r="327" ht="15.75" customHeight="1">
      <c r="A327" s="239">
        <v>5.0</v>
      </c>
      <c r="B327" s="275" t="s">
        <v>1599</v>
      </c>
      <c r="C327" s="239" t="s">
        <v>109</v>
      </c>
      <c r="D327" s="254">
        <v>2110.0</v>
      </c>
      <c r="E327" s="267"/>
      <c r="F327" s="268" t="str">
        <f t="shared" si="76"/>
        <v/>
      </c>
      <c r="G327" s="199">
        <v>560.0</v>
      </c>
      <c r="H327" s="243">
        <f t="shared" si="77"/>
        <v>1181600</v>
      </c>
      <c r="I327" s="200">
        <v>700.0</v>
      </c>
      <c r="J327" s="244">
        <f t="shared" si="78"/>
        <v>1477000</v>
      </c>
      <c r="K327" s="245">
        <f t="shared" si="79"/>
        <v>295400</v>
      </c>
      <c r="L327" s="246">
        <f t="shared" si="80"/>
        <v>0.25</v>
      </c>
      <c r="M327" s="247"/>
    </row>
    <row r="328" ht="15.75" customHeight="1">
      <c r="A328" s="248">
        <v>6.0</v>
      </c>
      <c r="B328" s="275" t="s">
        <v>1634</v>
      </c>
      <c r="C328" s="239" t="s">
        <v>109</v>
      </c>
      <c r="D328" s="254">
        <v>2110.0</v>
      </c>
      <c r="E328" s="267"/>
      <c r="F328" s="268" t="str">
        <f t="shared" si="76"/>
        <v/>
      </c>
      <c r="G328" s="311">
        <v>1800.0</v>
      </c>
      <c r="H328" s="243">
        <f t="shared" si="77"/>
        <v>3798000</v>
      </c>
      <c r="I328" s="200">
        <v>2000.0</v>
      </c>
      <c r="J328" s="244">
        <f t="shared" si="78"/>
        <v>4220000</v>
      </c>
      <c r="K328" s="245">
        <f t="shared" si="79"/>
        <v>422000</v>
      </c>
      <c r="L328" s="246">
        <f t="shared" si="80"/>
        <v>0.1111111111</v>
      </c>
      <c r="M328" s="247"/>
    </row>
    <row r="329" ht="15.75" customHeight="1">
      <c r="A329" s="239">
        <v>7.0</v>
      </c>
      <c r="B329" s="275" t="s">
        <v>1961</v>
      </c>
      <c r="C329" s="239" t="s">
        <v>109</v>
      </c>
      <c r="D329" s="254">
        <v>2.0</v>
      </c>
      <c r="E329" s="267"/>
      <c r="F329" s="268" t="str">
        <f t="shared" si="76"/>
        <v/>
      </c>
      <c r="G329" s="311">
        <v>42000.0</v>
      </c>
      <c r="H329" s="243">
        <f t="shared" si="77"/>
        <v>84000</v>
      </c>
      <c r="I329" s="200">
        <v>46000.0</v>
      </c>
      <c r="J329" s="244">
        <f t="shared" si="78"/>
        <v>92000</v>
      </c>
      <c r="K329" s="245">
        <f t="shared" si="79"/>
        <v>8000</v>
      </c>
      <c r="L329" s="246">
        <f t="shared" si="80"/>
        <v>0.09523809524</v>
      </c>
      <c r="M329" s="247"/>
    </row>
    <row r="330" ht="15.75" customHeight="1">
      <c r="A330" s="248">
        <v>8.0</v>
      </c>
      <c r="B330" s="275" t="s">
        <v>1680</v>
      </c>
      <c r="C330" s="239" t="s">
        <v>109</v>
      </c>
      <c r="D330" s="254">
        <v>1.0</v>
      </c>
      <c r="E330" s="267"/>
      <c r="F330" s="268" t="str">
        <f t="shared" si="76"/>
        <v/>
      </c>
      <c r="G330" s="311">
        <v>17000.0</v>
      </c>
      <c r="H330" s="243">
        <f t="shared" si="77"/>
        <v>17000</v>
      </c>
      <c r="I330" s="200">
        <v>20000.0</v>
      </c>
      <c r="J330" s="244">
        <f t="shared" si="78"/>
        <v>20000</v>
      </c>
      <c r="K330" s="245">
        <f t="shared" si="79"/>
        <v>3000</v>
      </c>
      <c r="L330" s="246">
        <f t="shared" si="80"/>
        <v>0.1764705882</v>
      </c>
      <c r="M330" s="247"/>
    </row>
    <row r="331" ht="15.75" customHeight="1">
      <c r="A331" s="239">
        <v>9.0</v>
      </c>
      <c r="B331" s="275" t="s">
        <v>1962</v>
      </c>
      <c r="C331" s="278" t="s">
        <v>1824</v>
      </c>
      <c r="D331" s="254">
        <v>2.0</v>
      </c>
      <c r="E331" s="267"/>
      <c r="F331" s="268" t="str">
        <f t="shared" si="76"/>
        <v/>
      </c>
      <c r="G331" s="311">
        <v>48000.0</v>
      </c>
      <c r="H331" s="243">
        <f t="shared" si="77"/>
        <v>96000</v>
      </c>
      <c r="I331" s="200">
        <v>51000.0</v>
      </c>
      <c r="J331" s="244">
        <f t="shared" si="78"/>
        <v>102000</v>
      </c>
      <c r="K331" s="245">
        <f t="shared" si="79"/>
        <v>6000</v>
      </c>
      <c r="L331" s="246">
        <f t="shared" si="80"/>
        <v>0.0625</v>
      </c>
      <c r="M331" s="247"/>
    </row>
    <row r="332" ht="15.75" customHeight="1">
      <c r="A332" s="248">
        <v>10.0</v>
      </c>
      <c r="B332" s="275" t="s">
        <v>1839</v>
      </c>
      <c r="C332" s="239" t="s">
        <v>109</v>
      </c>
      <c r="D332" s="254">
        <v>10.0</v>
      </c>
      <c r="E332" s="267"/>
      <c r="F332" s="268" t="str">
        <f t="shared" si="76"/>
        <v/>
      </c>
      <c r="G332" s="311">
        <v>14000.0</v>
      </c>
      <c r="H332" s="263">
        <f t="shared" si="77"/>
        <v>140000</v>
      </c>
      <c r="I332" s="281">
        <v>16000.0</v>
      </c>
      <c r="J332" s="264">
        <f t="shared" si="78"/>
        <v>160000</v>
      </c>
      <c r="K332" s="245">
        <f t="shared" si="79"/>
        <v>20000</v>
      </c>
      <c r="L332" s="246">
        <f t="shared" si="80"/>
        <v>0.1428571429</v>
      </c>
      <c r="M332" s="247"/>
    </row>
    <row r="333" ht="15.75" customHeight="1">
      <c r="A333" s="355" t="s">
        <v>1708</v>
      </c>
      <c r="B333" s="356"/>
      <c r="C333" s="259"/>
      <c r="D333" s="356"/>
      <c r="E333" s="257"/>
      <c r="F333" s="258">
        <f>SUMIF(F323:F332,"&lt;&gt;",F323:F332)</f>
        <v>0</v>
      </c>
      <c r="G333" s="317"/>
      <c r="H333" s="282">
        <f>SUMIF(H323:H332,"&lt;&gt;",H323:H332)</f>
        <v>12801150</v>
      </c>
      <c r="I333" s="327"/>
      <c r="J333" s="282">
        <f>SUMIF(J323:J332,"&lt;&gt;",J323:J332)</f>
        <v>14418500</v>
      </c>
      <c r="K333" s="261">
        <f t="shared" si="79"/>
        <v>1617350</v>
      </c>
      <c r="L333" s="262">
        <f t="shared" si="80"/>
        <v>0.1263441175</v>
      </c>
      <c r="M333" s="257"/>
    </row>
    <row r="334" ht="15.75" customHeight="1"/>
    <row r="335" ht="15.75" customHeight="1">
      <c r="A335" s="273" t="s">
        <v>1963</v>
      </c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</row>
    <row r="336" ht="15.75" customHeight="1">
      <c r="A336" s="229" t="s">
        <v>1509</v>
      </c>
      <c r="B336" s="229" t="s">
        <v>1510</v>
      </c>
      <c r="C336" s="302" t="s">
        <v>1511</v>
      </c>
      <c r="D336" s="302" t="s">
        <v>1614</v>
      </c>
      <c r="E336" s="303" t="s">
        <v>1615</v>
      </c>
      <c r="F336" s="304"/>
      <c r="G336" s="305" t="s">
        <v>1616</v>
      </c>
      <c r="H336" s="304"/>
      <c r="I336" s="306" t="s">
        <v>1617</v>
      </c>
      <c r="J336" s="304"/>
      <c r="K336" s="307" t="s">
        <v>1618</v>
      </c>
      <c r="L336" s="304"/>
      <c r="M336" s="302" t="s">
        <v>1619</v>
      </c>
    </row>
    <row r="337" ht="15.75" customHeight="1">
      <c r="A337" s="234" t="s">
        <v>1509</v>
      </c>
      <c r="B337" s="234" t="s">
        <v>1510</v>
      </c>
      <c r="C337" s="234" t="s">
        <v>1511</v>
      </c>
      <c r="D337" s="234" t="s">
        <v>1614</v>
      </c>
      <c r="E337" s="235" t="s">
        <v>1620</v>
      </c>
      <c r="F337" s="235" t="s">
        <v>1621</v>
      </c>
      <c r="G337" s="236" t="s">
        <v>1622</v>
      </c>
      <c r="H337" s="236" t="s">
        <v>1623</v>
      </c>
      <c r="I337" s="237" t="s">
        <v>1624</v>
      </c>
      <c r="J337" s="237" t="s">
        <v>1625</v>
      </c>
      <c r="K337" s="238" t="s">
        <v>1626</v>
      </c>
      <c r="L337" s="238" t="s">
        <v>1627</v>
      </c>
      <c r="M337" s="234" t="s">
        <v>1619</v>
      </c>
    </row>
    <row r="338" ht="15.75" customHeight="1">
      <c r="A338" s="239">
        <v>1.0</v>
      </c>
      <c r="B338" s="275" t="s">
        <v>1527</v>
      </c>
      <c r="C338" s="239" t="s">
        <v>109</v>
      </c>
      <c r="D338" s="254">
        <v>100.0</v>
      </c>
      <c r="E338" s="267"/>
      <c r="F338" s="268" t="str">
        <f t="shared" ref="F338:F341" si="81">IF(E338&lt;&gt;"",D338*E338,"")</f>
        <v/>
      </c>
      <c r="G338" s="311">
        <v>14500.0</v>
      </c>
      <c r="H338" s="243">
        <f t="shared" ref="H338:H353" si="82">IF(G338&lt;&gt;"",D338*G338,"")</f>
        <v>1450000</v>
      </c>
      <c r="I338" s="200">
        <v>15700.0</v>
      </c>
      <c r="J338" s="244">
        <f t="shared" ref="J338:J353" si="83">IF(I338&lt;&gt;"",D338*I338,"")</f>
        <v>1570000</v>
      </c>
      <c r="K338" s="245">
        <f t="shared" ref="K338:K354" si="84">IF(J338&lt;&gt;"",IF(H338&lt;&gt;"",J338-H338,IF(F338&lt;&gt;"",J338-F338,"")),"")</f>
        <v>120000</v>
      </c>
      <c r="L338" s="246">
        <f t="shared" ref="L338:L354" si="85">IF(K338&lt;&gt;"",IF(H338&lt;&gt;"",IF(H338&lt;&gt;0,K338/H338,""),IF(F338&lt;&gt;"",IF(F338&lt;&gt;0,K338/F338,""),"")),"")</f>
        <v>0.08275862069</v>
      </c>
      <c r="M338" s="247"/>
    </row>
    <row r="339" ht="15.75" customHeight="1">
      <c r="A339" s="248">
        <v>2.0</v>
      </c>
      <c r="B339" s="276" t="s">
        <v>1600</v>
      </c>
      <c r="C339" s="239" t="s">
        <v>109</v>
      </c>
      <c r="D339" s="254">
        <v>128.0</v>
      </c>
      <c r="E339" s="267"/>
      <c r="F339" s="268" t="str">
        <f t="shared" si="81"/>
        <v/>
      </c>
      <c r="G339" s="311">
        <v>24500.0</v>
      </c>
      <c r="H339" s="243">
        <f t="shared" si="82"/>
        <v>3136000</v>
      </c>
      <c r="I339" s="200">
        <v>28000.0</v>
      </c>
      <c r="J339" s="244">
        <f t="shared" si="83"/>
        <v>3584000</v>
      </c>
      <c r="K339" s="245">
        <f t="shared" si="84"/>
        <v>448000</v>
      </c>
      <c r="L339" s="246">
        <f t="shared" si="85"/>
        <v>0.1428571429</v>
      </c>
      <c r="M339" s="247"/>
    </row>
    <row r="340" ht="15.75" customHeight="1">
      <c r="A340" s="239">
        <v>3.0</v>
      </c>
      <c r="B340" s="275" t="s">
        <v>1601</v>
      </c>
      <c r="C340" s="278" t="s">
        <v>67</v>
      </c>
      <c r="D340" s="254">
        <v>75.0</v>
      </c>
      <c r="E340" s="267"/>
      <c r="F340" s="268" t="str">
        <f t="shared" si="81"/>
        <v/>
      </c>
      <c r="G340" s="311">
        <v>12000.0</v>
      </c>
      <c r="H340" s="243">
        <f t="shared" si="82"/>
        <v>900000</v>
      </c>
      <c r="I340" s="200">
        <v>14000.0</v>
      </c>
      <c r="J340" s="244">
        <f t="shared" si="83"/>
        <v>1050000</v>
      </c>
      <c r="K340" s="245">
        <f t="shared" si="84"/>
        <v>150000</v>
      </c>
      <c r="L340" s="246">
        <f t="shared" si="85"/>
        <v>0.1666666667</v>
      </c>
      <c r="M340" s="247"/>
    </row>
    <row r="341" ht="15.75" customHeight="1">
      <c r="A341" s="239">
        <v>4.0</v>
      </c>
      <c r="B341" s="276" t="s">
        <v>1112</v>
      </c>
      <c r="C341" s="239" t="s">
        <v>109</v>
      </c>
      <c r="D341" s="254">
        <v>208.2</v>
      </c>
      <c r="E341" s="267"/>
      <c r="F341" s="268" t="str">
        <f t="shared" si="81"/>
        <v/>
      </c>
      <c r="G341" s="311">
        <v>18000.0</v>
      </c>
      <c r="H341" s="243">
        <f t="shared" si="82"/>
        <v>3747600</v>
      </c>
      <c r="I341" s="200">
        <v>20000.0</v>
      </c>
      <c r="J341" s="244">
        <f t="shared" si="83"/>
        <v>4164000</v>
      </c>
      <c r="K341" s="245">
        <f t="shared" si="84"/>
        <v>416400</v>
      </c>
      <c r="L341" s="246">
        <f t="shared" si="85"/>
        <v>0.1111111111</v>
      </c>
      <c r="M341" s="247"/>
    </row>
    <row r="342" ht="15.75" customHeight="1">
      <c r="A342" s="248">
        <v>5.0</v>
      </c>
      <c r="B342" s="275" t="s">
        <v>1534</v>
      </c>
      <c r="C342" s="239" t="s">
        <v>109</v>
      </c>
      <c r="D342" s="254">
        <v>41.0</v>
      </c>
      <c r="E342" s="267"/>
      <c r="F342" s="268"/>
      <c r="G342" s="199">
        <v>10000.0</v>
      </c>
      <c r="H342" s="243">
        <f t="shared" si="82"/>
        <v>410000</v>
      </c>
      <c r="I342" s="200">
        <v>14000.0</v>
      </c>
      <c r="J342" s="244">
        <f t="shared" si="83"/>
        <v>574000</v>
      </c>
      <c r="K342" s="245">
        <f t="shared" si="84"/>
        <v>164000</v>
      </c>
      <c r="L342" s="246">
        <f t="shared" si="85"/>
        <v>0.4</v>
      </c>
      <c r="M342" s="247"/>
    </row>
    <row r="343" ht="15.75" customHeight="1">
      <c r="A343" s="239">
        <v>6.0</v>
      </c>
      <c r="B343" s="275" t="s">
        <v>1609</v>
      </c>
      <c r="C343" s="239" t="s">
        <v>109</v>
      </c>
      <c r="D343" s="254">
        <v>31.0</v>
      </c>
      <c r="E343" s="267"/>
      <c r="F343" s="268"/>
      <c r="G343" s="199">
        <v>15000.0</v>
      </c>
      <c r="H343" s="243">
        <f t="shared" si="82"/>
        <v>465000</v>
      </c>
      <c r="I343" s="200">
        <v>17000.0</v>
      </c>
      <c r="J343" s="244">
        <f t="shared" si="83"/>
        <v>527000</v>
      </c>
      <c r="K343" s="245">
        <f t="shared" si="84"/>
        <v>62000</v>
      </c>
      <c r="L343" s="246">
        <f t="shared" si="85"/>
        <v>0.1333333333</v>
      </c>
      <c r="M343" s="247"/>
    </row>
    <row r="344" ht="15.75" customHeight="1">
      <c r="A344" s="239">
        <v>7.0</v>
      </c>
      <c r="B344" s="275" t="s">
        <v>1640</v>
      </c>
      <c r="C344" s="239" t="s">
        <v>109</v>
      </c>
      <c r="D344" s="254">
        <v>2.9</v>
      </c>
      <c r="E344" s="267"/>
      <c r="F344" s="268"/>
      <c r="G344" s="199">
        <v>45000.0</v>
      </c>
      <c r="H344" s="243">
        <f t="shared" si="82"/>
        <v>130500</v>
      </c>
      <c r="I344" s="200">
        <v>54000.0</v>
      </c>
      <c r="J344" s="244">
        <f t="shared" si="83"/>
        <v>156600</v>
      </c>
      <c r="K344" s="245">
        <f t="shared" si="84"/>
        <v>26100</v>
      </c>
      <c r="L344" s="246">
        <f t="shared" si="85"/>
        <v>0.2</v>
      </c>
      <c r="M344" s="247"/>
    </row>
    <row r="345" ht="15.75" customHeight="1">
      <c r="A345" s="248">
        <v>8.0</v>
      </c>
      <c r="B345" s="275" t="s">
        <v>1641</v>
      </c>
      <c r="C345" s="239" t="s">
        <v>109</v>
      </c>
      <c r="D345" s="254">
        <v>2.9</v>
      </c>
      <c r="E345" s="267"/>
      <c r="F345" s="268"/>
      <c r="G345" s="199">
        <v>40000.0</v>
      </c>
      <c r="H345" s="243">
        <f t="shared" si="82"/>
        <v>116000</v>
      </c>
      <c r="I345" s="200">
        <v>45000.0</v>
      </c>
      <c r="J345" s="244">
        <f t="shared" si="83"/>
        <v>130500</v>
      </c>
      <c r="K345" s="245">
        <f t="shared" si="84"/>
        <v>14500</v>
      </c>
      <c r="L345" s="246">
        <f t="shared" si="85"/>
        <v>0.125</v>
      </c>
      <c r="M345" s="247"/>
    </row>
    <row r="346" ht="15.75" customHeight="1">
      <c r="A346" s="239">
        <v>9.0</v>
      </c>
      <c r="B346" s="275" t="s">
        <v>1563</v>
      </c>
      <c r="C346" s="239" t="s">
        <v>109</v>
      </c>
      <c r="D346" s="254">
        <v>0.5</v>
      </c>
      <c r="E346" s="267"/>
      <c r="F346" s="268"/>
      <c r="G346" s="199">
        <v>46000.0</v>
      </c>
      <c r="H346" s="243">
        <f t="shared" si="82"/>
        <v>23000</v>
      </c>
      <c r="I346" s="200">
        <v>55000.0</v>
      </c>
      <c r="J346" s="244">
        <f t="shared" si="83"/>
        <v>27500</v>
      </c>
      <c r="K346" s="245">
        <f t="shared" si="84"/>
        <v>4500</v>
      </c>
      <c r="L346" s="246">
        <f t="shared" si="85"/>
        <v>0.1956521739</v>
      </c>
      <c r="M346" s="247"/>
    </row>
    <row r="347" ht="15.75" customHeight="1">
      <c r="A347" s="239">
        <v>10.0</v>
      </c>
      <c r="B347" s="275" t="s">
        <v>1679</v>
      </c>
      <c r="C347" s="239" t="s">
        <v>109</v>
      </c>
      <c r="D347" s="254">
        <v>0.2</v>
      </c>
      <c r="E347" s="267"/>
      <c r="F347" s="268"/>
      <c r="G347" s="199">
        <v>40000.0</v>
      </c>
      <c r="H347" s="243">
        <f t="shared" si="82"/>
        <v>8000</v>
      </c>
      <c r="I347" s="200">
        <v>30000.0</v>
      </c>
      <c r="J347" s="244">
        <f t="shared" si="83"/>
        <v>6000</v>
      </c>
      <c r="K347" s="245">
        <f t="shared" si="84"/>
        <v>-2000</v>
      </c>
      <c r="L347" s="246">
        <f t="shared" si="85"/>
        <v>-0.25</v>
      </c>
      <c r="M347" s="247"/>
    </row>
    <row r="348" ht="15.75" customHeight="1">
      <c r="A348" s="248">
        <v>11.0</v>
      </c>
      <c r="B348" s="275" t="s">
        <v>1595</v>
      </c>
      <c r="C348" s="239" t="s">
        <v>109</v>
      </c>
      <c r="D348" s="254">
        <v>0.3</v>
      </c>
      <c r="E348" s="267"/>
      <c r="F348" s="268" t="str">
        <f t="shared" ref="F348:F353" si="86">IF(E348&lt;&gt;"",D348*E348,"")</f>
        <v/>
      </c>
      <c r="G348" s="199">
        <v>12500.0</v>
      </c>
      <c r="H348" s="243">
        <f t="shared" si="82"/>
        <v>3750</v>
      </c>
      <c r="I348" s="200">
        <v>15000.0</v>
      </c>
      <c r="J348" s="244">
        <f t="shared" si="83"/>
        <v>4500</v>
      </c>
      <c r="K348" s="245">
        <f t="shared" si="84"/>
        <v>750</v>
      </c>
      <c r="L348" s="246">
        <f t="shared" si="85"/>
        <v>0.2</v>
      </c>
      <c r="M348" s="247"/>
    </row>
    <row r="349" ht="15.75" customHeight="1">
      <c r="A349" s="239">
        <v>12.0</v>
      </c>
      <c r="B349" s="275" t="s">
        <v>1680</v>
      </c>
      <c r="C349" s="239" t="s">
        <v>109</v>
      </c>
      <c r="D349" s="254">
        <v>0.5</v>
      </c>
      <c r="E349" s="267"/>
      <c r="F349" s="268" t="str">
        <f t="shared" si="86"/>
        <v/>
      </c>
      <c r="G349" s="311">
        <v>17000.0</v>
      </c>
      <c r="H349" s="243">
        <f t="shared" si="82"/>
        <v>8500</v>
      </c>
      <c r="I349" s="200">
        <v>20000.0</v>
      </c>
      <c r="J349" s="244">
        <f t="shared" si="83"/>
        <v>10000</v>
      </c>
      <c r="K349" s="245">
        <f t="shared" si="84"/>
        <v>1500</v>
      </c>
      <c r="L349" s="246">
        <f t="shared" si="85"/>
        <v>0.1764705882</v>
      </c>
      <c r="M349" s="247"/>
    </row>
    <row r="350" ht="15.75" customHeight="1">
      <c r="A350" s="239">
        <v>13.0</v>
      </c>
      <c r="B350" s="275" t="s">
        <v>1655</v>
      </c>
      <c r="C350" s="239" t="s">
        <v>109</v>
      </c>
      <c r="D350" s="254">
        <v>1.0</v>
      </c>
      <c r="E350" s="267"/>
      <c r="F350" s="268" t="str">
        <f t="shared" si="86"/>
        <v/>
      </c>
      <c r="G350" s="311">
        <v>18500.0</v>
      </c>
      <c r="H350" s="243">
        <f t="shared" si="82"/>
        <v>18500</v>
      </c>
      <c r="I350" s="200">
        <v>20000.0</v>
      </c>
      <c r="J350" s="244">
        <f t="shared" si="83"/>
        <v>20000</v>
      </c>
      <c r="K350" s="245">
        <f t="shared" si="84"/>
        <v>1500</v>
      </c>
      <c r="L350" s="246">
        <f t="shared" si="85"/>
        <v>0.08108108108</v>
      </c>
      <c r="M350" s="247"/>
    </row>
    <row r="351" ht="15.75" customHeight="1">
      <c r="A351" s="248">
        <v>14.0</v>
      </c>
      <c r="B351" s="275" t="s">
        <v>1964</v>
      </c>
      <c r="C351" s="239" t="s">
        <v>109</v>
      </c>
      <c r="D351" s="254">
        <v>1.0</v>
      </c>
      <c r="E351" s="267"/>
      <c r="F351" s="268" t="str">
        <f t="shared" si="86"/>
        <v/>
      </c>
      <c r="G351" s="311">
        <v>95000.0</v>
      </c>
      <c r="H351" s="243">
        <f t="shared" si="82"/>
        <v>95000</v>
      </c>
      <c r="I351" s="200">
        <v>105000.0</v>
      </c>
      <c r="J351" s="244">
        <f t="shared" si="83"/>
        <v>105000</v>
      </c>
      <c r="K351" s="245">
        <f t="shared" si="84"/>
        <v>10000</v>
      </c>
      <c r="L351" s="246">
        <f t="shared" si="85"/>
        <v>0.1052631579</v>
      </c>
      <c r="M351" s="247"/>
    </row>
    <row r="352" ht="15.75" customHeight="1">
      <c r="A352" s="239">
        <v>15.0</v>
      </c>
      <c r="B352" s="275" t="s">
        <v>1643</v>
      </c>
      <c r="C352" s="278" t="s">
        <v>1676</v>
      </c>
      <c r="D352" s="254">
        <v>1.0</v>
      </c>
      <c r="E352" s="267"/>
      <c r="F352" s="268" t="str">
        <f t="shared" si="86"/>
        <v/>
      </c>
      <c r="G352" s="311">
        <v>190000.0</v>
      </c>
      <c r="H352" s="243">
        <f t="shared" si="82"/>
        <v>190000</v>
      </c>
      <c r="I352" s="200">
        <v>210000.0</v>
      </c>
      <c r="J352" s="244">
        <f t="shared" si="83"/>
        <v>210000</v>
      </c>
      <c r="K352" s="245">
        <f t="shared" si="84"/>
        <v>20000</v>
      </c>
      <c r="L352" s="246">
        <f t="shared" si="85"/>
        <v>0.1052631579</v>
      </c>
      <c r="M352" s="247"/>
    </row>
    <row r="353" ht="15.75" customHeight="1">
      <c r="A353" s="239">
        <v>16.0</v>
      </c>
      <c r="B353" s="275" t="s">
        <v>1681</v>
      </c>
      <c r="C353" s="278" t="s">
        <v>1579</v>
      </c>
      <c r="D353" s="254">
        <v>24.0</v>
      </c>
      <c r="E353" s="267"/>
      <c r="F353" s="268" t="str">
        <f t="shared" si="86"/>
        <v/>
      </c>
      <c r="G353" s="311">
        <v>21750.0</v>
      </c>
      <c r="H353" s="263">
        <f t="shared" si="82"/>
        <v>522000</v>
      </c>
      <c r="I353" s="281">
        <v>24000.0</v>
      </c>
      <c r="J353" s="244">
        <f t="shared" si="83"/>
        <v>576000</v>
      </c>
      <c r="K353" s="245">
        <f t="shared" si="84"/>
        <v>54000</v>
      </c>
      <c r="L353" s="246">
        <f t="shared" si="85"/>
        <v>0.1034482759</v>
      </c>
      <c r="M353" s="247"/>
    </row>
    <row r="354" ht="15.75" customHeight="1">
      <c r="A354" s="355" t="s">
        <v>1715</v>
      </c>
      <c r="B354" s="356"/>
      <c r="C354" s="259"/>
      <c r="D354" s="356"/>
      <c r="E354" s="257"/>
      <c r="F354" s="258">
        <f>SUMIF(F338:F353,"&lt;&gt;",F338:F353)</f>
        <v>0</v>
      </c>
      <c r="G354" s="317"/>
      <c r="H354" s="282">
        <f>SUMIF(H338:H353,"&lt;&gt;",H338:H353)</f>
        <v>11223850</v>
      </c>
      <c r="I354" s="327"/>
      <c r="J354" s="282">
        <f>SUMIF(J338:J353,"&lt;&gt;",J338:J353)</f>
        <v>12715100</v>
      </c>
      <c r="K354" s="261">
        <f t="shared" si="84"/>
        <v>1491250</v>
      </c>
      <c r="L354" s="262">
        <f t="shared" si="85"/>
        <v>0.1328643915</v>
      </c>
      <c r="M354" s="257"/>
    </row>
    <row r="355" ht="15.75" customHeight="1"/>
    <row r="356" ht="15.75" customHeight="1">
      <c r="A356" s="273" t="s">
        <v>1965</v>
      </c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</row>
    <row r="357" ht="15.75" customHeight="1">
      <c r="A357" s="229" t="s">
        <v>1509</v>
      </c>
      <c r="B357" s="229" t="s">
        <v>1510</v>
      </c>
      <c r="C357" s="302" t="s">
        <v>1511</v>
      </c>
      <c r="D357" s="302" t="s">
        <v>1614</v>
      </c>
      <c r="E357" s="303" t="s">
        <v>1615</v>
      </c>
      <c r="F357" s="304"/>
      <c r="G357" s="305" t="s">
        <v>1616</v>
      </c>
      <c r="H357" s="304"/>
      <c r="I357" s="306" t="s">
        <v>1617</v>
      </c>
      <c r="J357" s="304"/>
      <c r="K357" s="307" t="s">
        <v>1618</v>
      </c>
      <c r="L357" s="304"/>
      <c r="M357" s="302" t="s">
        <v>1619</v>
      </c>
    </row>
    <row r="358" ht="15.75" customHeight="1">
      <c r="A358" s="234" t="s">
        <v>1509</v>
      </c>
      <c r="B358" s="234" t="s">
        <v>1510</v>
      </c>
      <c r="C358" s="234" t="s">
        <v>1511</v>
      </c>
      <c r="D358" s="234" t="s">
        <v>1614</v>
      </c>
      <c r="E358" s="235" t="s">
        <v>1620</v>
      </c>
      <c r="F358" s="235" t="s">
        <v>1621</v>
      </c>
      <c r="G358" s="236" t="s">
        <v>1622</v>
      </c>
      <c r="H358" s="236" t="s">
        <v>1623</v>
      </c>
      <c r="I358" s="237" t="s">
        <v>1624</v>
      </c>
      <c r="J358" s="237" t="s">
        <v>1625</v>
      </c>
      <c r="K358" s="238" t="s">
        <v>1626</v>
      </c>
      <c r="L358" s="238" t="s">
        <v>1627</v>
      </c>
      <c r="M358" s="234" t="s">
        <v>1619</v>
      </c>
    </row>
    <row r="359" ht="15.75" customHeight="1">
      <c r="A359" s="239">
        <v>1.0</v>
      </c>
      <c r="B359" s="275" t="s">
        <v>1527</v>
      </c>
      <c r="C359" s="239" t="s">
        <v>109</v>
      </c>
      <c r="D359" s="254">
        <v>120.5</v>
      </c>
      <c r="E359" s="267"/>
      <c r="F359" s="268" t="str">
        <f t="shared" ref="F359:F362" si="87">IF(E359&lt;&gt;"",D359*E359,"")</f>
        <v/>
      </c>
      <c r="G359" s="311">
        <v>14500.0</v>
      </c>
      <c r="H359" s="243">
        <f t="shared" ref="H359:H375" si="88">IF(G359&lt;&gt;"",D359*G359,"")</f>
        <v>1747250</v>
      </c>
      <c r="I359" s="200">
        <v>15700.0</v>
      </c>
      <c r="J359" s="244">
        <f t="shared" ref="J359:J375" si="89">IF(I359&lt;&gt;"",D359*I359,"")</f>
        <v>1891850</v>
      </c>
      <c r="K359" s="245">
        <f t="shared" ref="K359:K377" si="90">IF(J359&lt;&gt;"",IF(H359&lt;&gt;"",J359-H359,IF(F359&lt;&gt;"",J359-F359,"")),"")</f>
        <v>144600</v>
      </c>
      <c r="L359" s="246">
        <f t="shared" ref="L359:L377" si="91">IF(K359&lt;&gt;"",IF(H359&lt;&gt;"",IF(H359&lt;&gt;0,K359/H359,""),IF(F359&lt;&gt;"",IF(F359&lt;&gt;0,K359/F359,""),"")),"")</f>
        <v>0.08275862069</v>
      </c>
      <c r="M359" s="247"/>
    </row>
    <row r="360" ht="15.75" customHeight="1">
      <c r="A360" s="248">
        <v>2.0</v>
      </c>
      <c r="B360" s="276" t="s">
        <v>1956</v>
      </c>
      <c r="C360" s="239" t="s">
        <v>109</v>
      </c>
      <c r="D360" s="254">
        <v>103.0</v>
      </c>
      <c r="E360" s="267"/>
      <c r="F360" s="268" t="str">
        <f t="shared" si="87"/>
        <v/>
      </c>
      <c r="G360" s="311">
        <v>33000.0</v>
      </c>
      <c r="H360" s="243">
        <f t="shared" si="88"/>
        <v>3399000</v>
      </c>
      <c r="I360" s="200">
        <v>48000.0</v>
      </c>
      <c r="J360" s="244">
        <f t="shared" si="89"/>
        <v>4944000</v>
      </c>
      <c r="K360" s="245">
        <f t="shared" si="90"/>
        <v>1545000</v>
      </c>
      <c r="L360" s="246">
        <f t="shared" si="91"/>
        <v>0.4545454545</v>
      </c>
      <c r="M360" s="247"/>
    </row>
    <row r="361" ht="15.75" customHeight="1">
      <c r="A361" s="239">
        <v>3.0</v>
      </c>
      <c r="B361" s="275" t="s">
        <v>1966</v>
      </c>
      <c r="C361" s="239" t="s">
        <v>109</v>
      </c>
      <c r="D361" s="254">
        <v>23.8</v>
      </c>
      <c r="E361" s="267"/>
      <c r="F361" s="268" t="str">
        <f t="shared" si="87"/>
        <v/>
      </c>
      <c r="G361" s="311">
        <v>19000.0</v>
      </c>
      <c r="H361" s="243">
        <f t="shared" si="88"/>
        <v>452200</v>
      </c>
      <c r="I361" s="200">
        <v>26000.0</v>
      </c>
      <c r="J361" s="244">
        <f t="shared" si="89"/>
        <v>618800</v>
      </c>
      <c r="K361" s="245">
        <f t="shared" si="90"/>
        <v>166600</v>
      </c>
      <c r="L361" s="246">
        <f t="shared" si="91"/>
        <v>0.3684210526</v>
      </c>
      <c r="M361" s="247"/>
    </row>
    <row r="362" ht="15.75" customHeight="1">
      <c r="A362" s="239">
        <v>4.0</v>
      </c>
      <c r="B362" s="276" t="s">
        <v>1534</v>
      </c>
      <c r="C362" s="239" t="s">
        <v>109</v>
      </c>
      <c r="D362" s="254">
        <v>58.6</v>
      </c>
      <c r="E362" s="267"/>
      <c r="F362" s="268" t="str">
        <f t="shared" si="87"/>
        <v/>
      </c>
      <c r="G362" s="311">
        <v>10000.0</v>
      </c>
      <c r="H362" s="243">
        <f t="shared" si="88"/>
        <v>586000</v>
      </c>
      <c r="I362" s="200">
        <v>13000.0</v>
      </c>
      <c r="J362" s="244">
        <f t="shared" si="89"/>
        <v>761800</v>
      </c>
      <c r="K362" s="245">
        <f t="shared" si="90"/>
        <v>175800</v>
      </c>
      <c r="L362" s="246">
        <f t="shared" si="91"/>
        <v>0.3</v>
      </c>
      <c r="M362" s="247"/>
    </row>
    <row r="363" ht="15.75" customHeight="1">
      <c r="A363" s="248">
        <v>5.0</v>
      </c>
      <c r="B363" s="275" t="s">
        <v>1605</v>
      </c>
      <c r="C363" s="239" t="s">
        <v>109</v>
      </c>
      <c r="D363" s="254">
        <v>25.0</v>
      </c>
      <c r="E363" s="267"/>
      <c r="F363" s="268"/>
      <c r="G363" s="199">
        <v>11250.0</v>
      </c>
      <c r="H363" s="243">
        <f t="shared" si="88"/>
        <v>281250</v>
      </c>
      <c r="I363" s="200">
        <v>12000.0</v>
      </c>
      <c r="J363" s="244">
        <f t="shared" si="89"/>
        <v>300000</v>
      </c>
      <c r="K363" s="245">
        <f t="shared" si="90"/>
        <v>18750</v>
      </c>
      <c r="L363" s="246">
        <f t="shared" si="91"/>
        <v>0.06666666667</v>
      </c>
      <c r="M363" s="247"/>
    </row>
    <row r="364" ht="15.75" customHeight="1">
      <c r="A364" s="239">
        <v>6.0</v>
      </c>
      <c r="B364" s="275" t="s">
        <v>1964</v>
      </c>
      <c r="C364" s="239" t="s">
        <v>109</v>
      </c>
      <c r="D364" s="254">
        <v>1.0</v>
      </c>
      <c r="E364" s="267"/>
      <c r="F364" s="268"/>
      <c r="G364" s="199">
        <v>95000.0</v>
      </c>
      <c r="H364" s="243">
        <f t="shared" si="88"/>
        <v>95000</v>
      </c>
      <c r="I364" s="200">
        <v>105000.0</v>
      </c>
      <c r="J364" s="244">
        <f t="shared" si="89"/>
        <v>105000</v>
      </c>
      <c r="K364" s="245">
        <f t="shared" si="90"/>
        <v>10000</v>
      </c>
      <c r="L364" s="246">
        <f t="shared" si="91"/>
        <v>0.1052631579</v>
      </c>
      <c r="M364" s="247"/>
    </row>
    <row r="365" ht="15.75" customHeight="1">
      <c r="A365" s="239">
        <v>7.0</v>
      </c>
      <c r="B365" s="275" t="s">
        <v>1543</v>
      </c>
      <c r="C365" s="239" t="s">
        <v>109</v>
      </c>
      <c r="D365" s="254">
        <v>2.0</v>
      </c>
      <c r="E365" s="267"/>
      <c r="F365" s="268"/>
      <c r="G365" s="199">
        <v>8000.0</v>
      </c>
      <c r="H365" s="243">
        <f t="shared" si="88"/>
        <v>16000</v>
      </c>
      <c r="I365" s="200">
        <v>10000.0</v>
      </c>
      <c r="J365" s="244">
        <f t="shared" si="89"/>
        <v>20000</v>
      </c>
      <c r="K365" s="245">
        <f t="shared" si="90"/>
        <v>4000</v>
      </c>
      <c r="L365" s="246">
        <f t="shared" si="91"/>
        <v>0.25</v>
      </c>
      <c r="M365" s="247"/>
    </row>
    <row r="366" ht="15.75" customHeight="1">
      <c r="A366" s="248">
        <v>8.0</v>
      </c>
      <c r="B366" s="275" t="s">
        <v>1655</v>
      </c>
      <c r="C366" s="239" t="s">
        <v>109</v>
      </c>
      <c r="D366" s="254">
        <v>1.9</v>
      </c>
      <c r="E366" s="267"/>
      <c r="F366" s="268"/>
      <c r="G366" s="199">
        <v>18500.0</v>
      </c>
      <c r="H366" s="243">
        <f t="shared" si="88"/>
        <v>35150</v>
      </c>
      <c r="I366" s="200">
        <v>20000.0</v>
      </c>
      <c r="J366" s="244">
        <f t="shared" si="89"/>
        <v>38000</v>
      </c>
      <c r="K366" s="245">
        <f t="shared" si="90"/>
        <v>2850</v>
      </c>
      <c r="L366" s="246">
        <f t="shared" si="91"/>
        <v>0.08108108108</v>
      </c>
      <c r="M366" s="247"/>
    </row>
    <row r="367" ht="15.75" customHeight="1">
      <c r="A367" s="239">
        <v>9.0</v>
      </c>
      <c r="B367" s="275" t="s">
        <v>1681</v>
      </c>
      <c r="C367" s="278" t="s">
        <v>1967</v>
      </c>
      <c r="D367" s="254">
        <v>36.0</v>
      </c>
      <c r="E367" s="267"/>
      <c r="F367" s="268"/>
      <c r="G367" s="199">
        <v>21750.0</v>
      </c>
      <c r="H367" s="243">
        <f t="shared" si="88"/>
        <v>783000</v>
      </c>
      <c r="I367" s="200">
        <v>24000.0</v>
      </c>
      <c r="J367" s="244">
        <f t="shared" si="89"/>
        <v>864000</v>
      </c>
      <c r="K367" s="245">
        <f t="shared" si="90"/>
        <v>81000</v>
      </c>
      <c r="L367" s="246">
        <f t="shared" si="91"/>
        <v>0.1034482759</v>
      </c>
      <c r="M367" s="247"/>
    </row>
    <row r="368" ht="15.75" customHeight="1">
      <c r="A368" s="239">
        <v>10.0</v>
      </c>
      <c r="B368" s="275" t="s">
        <v>1961</v>
      </c>
      <c r="C368" s="239" t="s">
        <v>109</v>
      </c>
      <c r="D368" s="254">
        <v>2.0</v>
      </c>
      <c r="E368" s="267"/>
      <c r="F368" s="268"/>
      <c r="G368" s="199">
        <v>42000.0</v>
      </c>
      <c r="H368" s="243">
        <f t="shared" si="88"/>
        <v>84000</v>
      </c>
      <c r="I368" s="200">
        <v>46000.0</v>
      </c>
      <c r="J368" s="244">
        <f t="shared" si="89"/>
        <v>92000</v>
      </c>
      <c r="K368" s="245">
        <f t="shared" si="90"/>
        <v>8000</v>
      </c>
      <c r="L368" s="246">
        <f t="shared" si="91"/>
        <v>0.09523809524</v>
      </c>
      <c r="M368" s="247"/>
    </row>
    <row r="369" ht="15.75" customHeight="1">
      <c r="A369" s="248">
        <v>11.0</v>
      </c>
      <c r="B369" s="275" t="s">
        <v>1171</v>
      </c>
      <c r="C369" s="239" t="s">
        <v>109</v>
      </c>
      <c r="D369" s="254">
        <v>184.2</v>
      </c>
      <c r="E369" s="267"/>
      <c r="F369" s="268" t="str">
        <f t="shared" ref="F369:F373" si="92">IF(E369&lt;&gt;"",D369*E369,"")</f>
        <v/>
      </c>
      <c r="G369" s="199">
        <v>25000.0</v>
      </c>
      <c r="H369" s="243">
        <f t="shared" si="88"/>
        <v>4605000</v>
      </c>
      <c r="I369" s="200">
        <v>27500.0</v>
      </c>
      <c r="J369" s="244">
        <f t="shared" si="89"/>
        <v>5065500</v>
      </c>
      <c r="K369" s="245">
        <f t="shared" si="90"/>
        <v>460500</v>
      </c>
      <c r="L369" s="246">
        <f t="shared" si="91"/>
        <v>0.1</v>
      </c>
      <c r="M369" s="247"/>
    </row>
    <row r="370" ht="15.75" customHeight="1">
      <c r="A370" s="239">
        <v>12.0</v>
      </c>
      <c r="B370" s="275" t="s">
        <v>1643</v>
      </c>
      <c r="C370" s="278" t="s">
        <v>1676</v>
      </c>
      <c r="D370" s="254">
        <v>1.0</v>
      </c>
      <c r="E370" s="267"/>
      <c r="F370" s="268" t="str">
        <f t="shared" si="92"/>
        <v/>
      </c>
      <c r="G370" s="311">
        <v>190000.0</v>
      </c>
      <c r="H370" s="243">
        <f t="shared" si="88"/>
        <v>190000</v>
      </c>
      <c r="I370" s="200">
        <v>210000.0</v>
      </c>
      <c r="J370" s="244">
        <f t="shared" si="89"/>
        <v>210000</v>
      </c>
      <c r="K370" s="245">
        <f t="shared" si="90"/>
        <v>20000</v>
      </c>
      <c r="L370" s="246">
        <f t="shared" si="91"/>
        <v>0.1052631579</v>
      </c>
      <c r="M370" s="247"/>
    </row>
    <row r="371" ht="15.75" customHeight="1">
      <c r="A371" s="239">
        <v>13.0</v>
      </c>
      <c r="B371" s="275" t="s">
        <v>1601</v>
      </c>
      <c r="C371" s="278" t="s">
        <v>67</v>
      </c>
      <c r="D371" s="254">
        <v>80.0</v>
      </c>
      <c r="E371" s="267"/>
      <c r="F371" s="268" t="str">
        <f t="shared" si="92"/>
        <v/>
      </c>
      <c r="G371" s="311">
        <v>12000.0</v>
      </c>
      <c r="H371" s="243">
        <f t="shared" si="88"/>
        <v>960000</v>
      </c>
      <c r="I371" s="200">
        <v>14000.0</v>
      </c>
      <c r="J371" s="244">
        <f t="shared" si="89"/>
        <v>1120000</v>
      </c>
      <c r="K371" s="245">
        <f t="shared" si="90"/>
        <v>160000</v>
      </c>
      <c r="L371" s="246">
        <f t="shared" si="91"/>
        <v>0.1666666667</v>
      </c>
      <c r="M371" s="247"/>
    </row>
    <row r="372" ht="15.75" customHeight="1">
      <c r="A372" s="248">
        <v>14.0</v>
      </c>
      <c r="B372" s="275" t="s">
        <v>1934</v>
      </c>
      <c r="C372" s="239" t="s">
        <v>109</v>
      </c>
      <c r="D372" s="254">
        <v>1.5</v>
      </c>
      <c r="E372" s="267"/>
      <c r="F372" s="268" t="str">
        <f t="shared" si="92"/>
        <v/>
      </c>
      <c r="G372" s="311">
        <v>32000.0</v>
      </c>
      <c r="H372" s="243">
        <f t="shared" si="88"/>
        <v>48000</v>
      </c>
      <c r="I372" s="200">
        <v>45000.0</v>
      </c>
      <c r="J372" s="244">
        <f t="shared" si="89"/>
        <v>67500</v>
      </c>
      <c r="K372" s="245">
        <f t="shared" si="90"/>
        <v>19500</v>
      </c>
      <c r="L372" s="246">
        <f t="shared" si="91"/>
        <v>0.40625</v>
      </c>
      <c r="M372" s="247"/>
    </row>
    <row r="373" ht="15.75" customHeight="1">
      <c r="A373" s="239">
        <v>15.0</v>
      </c>
      <c r="B373" s="275" t="s">
        <v>1935</v>
      </c>
      <c r="C373" s="239" t="s">
        <v>109</v>
      </c>
      <c r="D373" s="254">
        <v>1.4</v>
      </c>
      <c r="E373" s="267"/>
      <c r="F373" s="268" t="str">
        <f t="shared" si="92"/>
        <v/>
      </c>
      <c r="G373" s="311">
        <v>40000.0</v>
      </c>
      <c r="H373" s="243">
        <f t="shared" si="88"/>
        <v>56000</v>
      </c>
      <c r="I373" s="200">
        <v>40000.0</v>
      </c>
      <c r="J373" s="244">
        <f t="shared" si="89"/>
        <v>56000</v>
      </c>
      <c r="K373" s="245">
        <f t="shared" si="90"/>
        <v>0</v>
      </c>
      <c r="L373" s="246">
        <f t="shared" si="91"/>
        <v>0</v>
      </c>
      <c r="M373" s="247"/>
    </row>
    <row r="374" ht="15.75" customHeight="1">
      <c r="A374" s="248">
        <v>16.0</v>
      </c>
      <c r="B374" s="275" t="s">
        <v>1968</v>
      </c>
      <c r="C374" s="278" t="s">
        <v>1689</v>
      </c>
      <c r="D374" s="254">
        <v>4.0</v>
      </c>
      <c r="E374" s="267"/>
      <c r="F374" s="268"/>
      <c r="G374" s="311">
        <v>21525.0</v>
      </c>
      <c r="H374" s="243">
        <f t="shared" si="88"/>
        <v>86100</v>
      </c>
      <c r="I374" s="281">
        <v>21525.0</v>
      </c>
      <c r="J374" s="244">
        <f t="shared" si="89"/>
        <v>86100</v>
      </c>
      <c r="K374" s="245">
        <f t="shared" si="90"/>
        <v>0</v>
      </c>
      <c r="L374" s="246">
        <f t="shared" si="91"/>
        <v>0</v>
      </c>
      <c r="M374" s="247"/>
    </row>
    <row r="375" ht="15.75" customHeight="1">
      <c r="A375" s="239">
        <v>17.0</v>
      </c>
      <c r="B375" s="275" t="s">
        <v>1968</v>
      </c>
      <c r="C375" s="278" t="s">
        <v>1689</v>
      </c>
      <c r="D375" s="254">
        <v>2.0</v>
      </c>
      <c r="E375" s="267"/>
      <c r="F375" s="268"/>
      <c r="G375" s="311">
        <v>21400.0</v>
      </c>
      <c r="H375" s="243">
        <f t="shared" si="88"/>
        <v>42800</v>
      </c>
      <c r="I375" s="281">
        <v>21400.0</v>
      </c>
      <c r="J375" s="244">
        <f t="shared" si="89"/>
        <v>42800</v>
      </c>
      <c r="K375" s="245">
        <f t="shared" si="90"/>
        <v>0</v>
      </c>
      <c r="L375" s="246">
        <f t="shared" si="91"/>
        <v>0</v>
      </c>
      <c r="M375" s="247"/>
    </row>
    <row r="376" ht="15.75" customHeight="1">
      <c r="A376" s="248">
        <v>18.0</v>
      </c>
      <c r="B376" s="275" t="s">
        <v>1969</v>
      </c>
      <c r="C376" s="239" t="s">
        <v>109</v>
      </c>
      <c r="D376" s="254">
        <v>1.3</v>
      </c>
      <c r="E376" s="267"/>
      <c r="F376" s="268" t="str">
        <f>IF(E376&lt;&gt;"",D376*E376,"")</f>
        <v/>
      </c>
      <c r="G376" s="311">
        <v>21538.0</v>
      </c>
      <c r="H376" s="357">
        <v>28000.0</v>
      </c>
      <c r="I376" s="281">
        <v>21538.0</v>
      </c>
      <c r="J376" s="358">
        <v>28000.0</v>
      </c>
      <c r="K376" s="245">
        <f t="shared" si="90"/>
        <v>0</v>
      </c>
      <c r="L376" s="246">
        <f t="shared" si="91"/>
        <v>0</v>
      </c>
      <c r="M376" s="247"/>
    </row>
    <row r="377" ht="15.75" customHeight="1">
      <c r="A377" s="355" t="s">
        <v>1721</v>
      </c>
      <c r="B377" s="356"/>
      <c r="C377" s="259"/>
      <c r="D377" s="356"/>
      <c r="E377" s="257"/>
      <c r="F377" s="258">
        <f>SUMIF(F359:F376,"&lt;&gt;",F359:F376)</f>
        <v>0</v>
      </c>
      <c r="G377" s="317"/>
      <c r="H377" s="282">
        <f>SUMIF(H359:H376,"&lt;&gt;",H359:H376)</f>
        <v>13494750</v>
      </c>
      <c r="I377" s="327"/>
      <c r="J377" s="282">
        <f>SUMIF(J359:J376,"&lt;&gt;",J359:J376)</f>
        <v>16311350</v>
      </c>
      <c r="K377" s="261">
        <f t="shared" si="90"/>
        <v>2816600</v>
      </c>
      <c r="L377" s="262">
        <f t="shared" si="91"/>
        <v>0.2087182052</v>
      </c>
      <c r="M377" s="257"/>
    </row>
    <row r="378" ht="15.75" customHeight="1"/>
    <row r="379" ht="15.75" customHeight="1">
      <c r="A379" s="273" t="s">
        <v>1970</v>
      </c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</row>
    <row r="380" ht="15.75" customHeight="1">
      <c r="A380" s="229" t="s">
        <v>1509</v>
      </c>
      <c r="B380" s="229" t="s">
        <v>1510</v>
      </c>
      <c r="C380" s="302" t="s">
        <v>1511</v>
      </c>
      <c r="D380" s="302" t="s">
        <v>1614</v>
      </c>
      <c r="E380" s="303" t="s">
        <v>1615</v>
      </c>
      <c r="F380" s="304"/>
      <c r="G380" s="305" t="s">
        <v>1616</v>
      </c>
      <c r="H380" s="304"/>
      <c r="I380" s="306" t="s">
        <v>1617</v>
      </c>
      <c r="J380" s="304"/>
      <c r="K380" s="307" t="s">
        <v>1618</v>
      </c>
      <c r="L380" s="304"/>
      <c r="M380" s="302" t="s">
        <v>1619</v>
      </c>
    </row>
    <row r="381" ht="15.75" customHeight="1">
      <c r="A381" s="234" t="s">
        <v>1509</v>
      </c>
      <c r="B381" s="234" t="s">
        <v>1510</v>
      </c>
      <c r="C381" s="234" t="s">
        <v>1511</v>
      </c>
      <c r="D381" s="234" t="s">
        <v>1614</v>
      </c>
      <c r="E381" s="235" t="s">
        <v>1620</v>
      </c>
      <c r="F381" s="235" t="s">
        <v>1621</v>
      </c>
      <c r="G381" s="236" t="s">
        <v>1622</v>
      </c>
      <c r="H381" s="236" t="s">
        <v>1623</v>
      </c>
      <c r="I381" s="237" t="s">
        <v>1624</v>
      </c>
      <c r="J381" s="237" t="s">
        <v>1625</v>
      </c>
      <c r="K381" s="238" t="s">
        <v>1626</v>
      </c>
      <c r="L381" s="238" t="s">
        <v>1627</v>
      </c>
      <c r="M381" s="234" t="s">
        <v>1619</v>
      </c>
    </row>
    <row r="382" ht="15.75" customHeight="1">
      <c r="A382" s="239">
        <v>1.0</v>
      </c>
      <c r="B382" s="275" t="s">
        <v>1971</v>
      </c>
      <c r="C382" s="278" t="s">
        <v>1583</v>
      </c>
      <c r="D382" s="254">
        <v>171.0</v>
      </c>
      <c r="E382" s="267"/>
      <c r="F382" s="268" t="str">
        <f t="shared" ref="F382:F385" si="93">IF(E382&lt;&gt;"",D382*E382,"")</f>
        <v/>
      </c>
      <c r="G382" s="311">
        <v>12000.0</v>
      </c>
      <c r="H382" s="243">
        <f t="shared" ref="H382:H399" si="94">IF(G382&lt;&gt;"",D382*G382,"")</f>
        <v>2052000</v>
      </c>
      <c r="I382" s="200">
        <v>12000.0</v>
      </c>
      <c r="J382" s="244">
        <f t="shared" ref="J382:J399" si="95">IF(I382&lt;&gt;"",D382*I382,"")</f>
        <v>2052000</v>
      </c>
      <c r="K382" s="245">
        <f t="shared" ref="K382:K400" si="96">IF(J382&lt;&gt;"",IF(H382&lt;&gt;"",J382-H382,IF(F382&lt;&gt;"",J382-F382,"")),"")</f>
        <v>0</v>
      </c>
      <c r="L382" s="246">
        <f t="shared" ref="L382:L400" si="97">IF(K382&lt;&gt;"",IF(H382&lt;&gt;"",IF(H382&lt;&gt;0,K382/H382,""),IF(F382&lt;&gt;"",IF(F382&lt;&gt;0,K382/F382,""),"")),"")</f>
        <v>0</v>
      </c>
      <c r="M382" s="247"/>
    </row>
    <row r="383" ht="15.75" customHeight="1">
      <c r="A383" s="248">
        <v>2.0</v>
      </c>
      <c r="B383" s="276" t="s">
        <v>1600</v>
      </c>
      <c r="C383" s="239" t="s">
        <v>109</v>
      </c>
      <c r="D383" s="254">
        <v>128.0</v>
      </c>
      <c r="E383" s="267"/>
      <c r="F383" s="268" t="str">
        <f t="shared" si="93"/>
        <v/>
      </c>
      <c r="G383" s="311">
        <v>24500.0</v>
      </c>
      <c r="H383" s="243">
        <f t="shared" si="94"/>
        <v>3136000</v>
      </c>
      <c r="I383" s="200">
        <v>28000.0</v>
      </c>
      <c r="J383" s="244">
        <f t="shared" si="95"/>
        <v>3584000</v>
      </c>
      <c r="K383" s="245">
        <f t="shared" si="96"/>
        <v>448000</v>
      </c>
      <c r="L383" s="246">
        <f t="shared" si="97"/>
        <v>0.1428571429</v>
      </c>
      <c r="M383" s="247"/>
    </row>
    <row r="384" ht="15.75" customHeight="1">
      <c r="A384" s="239">
        <v>3.0</v>
      </c>
      <c r="B384" s="275" t="s">
        <v>1116</v>
      </c>
      <c r="C384" s="239" t="s">
        <v>109</v>
      </c>
      <c r="D384" s="254">
        <v>133.0</v>
      </c>
      <c r="E384" s="267"/>
      <c r="F384" s="268" t="str">
        <f t="shared" si="93"/>
        <v/>
      </c>
      <c r="G384" s="311">
        <v>32000.0</v>
      </c>
      <c r="H384" s="243">
        <f t="shared" si="94"/>
        <v>4256000</v>
      </c>
      <c r="I384" s="200">
        <v>35000.0</v>
      </c>
      <c r="J384" s="244">
        <f t="shared" si="95"/>
        <v>4655000</v>
      </c>
      <c r="K384" s="245">
        <f t="shared" si="96"/>
        <v>399000</v>
      </c>
      <c r="L384" s="246">
        <f t="shared" si="97"/>
        <v>0.09375</v>
      </c>
      <c r="M384" s="247"/>
    </row>
    <row r="385" ht="15.75" customHeight="1">
      <c r="A385" s="239">
        <v>4.0</v>
      </c>
      <c r="B385" s="276" t="s">
        <v>1599</v>
      </c>
      <c r="C385" s="278" t="s">
        <v>69</v>
      </c>
      <c r="D385" s="254">
        <v>2515.0</v>
      </c>
      <c r="E385" s="267"/>
      <c r="F385" s="268" t="str">
        <f t="shared" si="93"/>
        <v/>
      </c>
      <c r="G385" s="311">
        <v>560.0</v>
      </c>
      <c r="H385" s="243">
        <f t="shared" si="94"/>
        <v>1408400</v>
      </c>
      <c r="I385" s="200">
        <v>700.0</v>
      </c>
      <c r="J385" s="244">
        <f t="shared" si="95"/>
        <v>1760500</v>
      </c>
      <c r="K385" s="245">
        <f t="shared" si="96"/>
        <v>352100</v>
      </c>
      <c r="L385" s="246">
        <f t="shared" si="97"/>
        <v>0.25</v>
      </c>
      <c r="M385" s="247"/>
    </row>
    <row r="386" ht="15.75" customHeight="1">
      <c r="A386" s="248">
        <v>5.0</v>
      </c>
      <c r="B386" s="275" t="s">
        <v>1607</v>
      </c>
      <c r="C386" s="239" t="s">
        <v>109</v>
      </c>
      <c r="D386" s="254">
        <v>33.0</v>
      </c>
      <c r="E386" s="267"/>
      <c r="F386" s="268"/>
      <c r="G386" s="199">
        <v>8000.0</v>
      </c>
      <c r="H386" s="243">
        <f t="shared" si="94"/>
        <v>264000</v>
      </c>
      <c r="I386" s="200">
        <v>12000.0</v>
      </c>
      <c r="J386" s="244">
        <f t="shared" si="95"/>
        <v>396000</v>
      </c>
      <c r="K386" s="245">
        <f t="shared" si="96"/>
        <v>132000</v>
      </c>
      <c r="L386" s="246">
        <f t="shared" si="97"/>
        <v>0.5</v>
      </c>
      <c r="M386" s="247"/>
    </row>
    <row r="387" ht="15.75" customHeight="1">
      <c r="A387" s="239">
        <v>6.0</v>
      </c>
      <c r="B387" s="275" t="s">
        <v>1594</v>
      </c>
      <c r="C387" s="239" t="s">
        <v>109</v>
      </c>
      <c r="D387" s="254">
        <v>12.0</v>
      </c>
      <c r="E387" s="267"/>
      <c r="F387" s="268"/>
      <c r="G387" s="199">
        <v>30000.0</v>
      </c>
      <c r="H387" s="243">
        <f t="shared" si="94"/>
        <v>360000</v>
      </c>
      <c r="I387" s="200">
        <v>34000.0</v>
      </c>
      <c r="J387" s="244">
        <f t="shared" si="95"/>
        <v>408000</v>
      </c>
      <c r="K387" s="245">
        <f t="shared" si="96"/>
        <v>48000</v>
      </c>
      <c r="L387" s="246">
        <f t="shared" si="97"/>
        <v>0.1333333333</v>
      </c>
      <c r="M387" s="247"/>
    </row>
    <row r="388" ht="15.75" customHeight="1">
      <c r="A388" s="239">
        <v>7.0</v>
      </c>
      <c r="B388" s="275" t="s">
        <v>1591</v>
      </c>
      <c r="C388" s="278" t="s">
        <v>1583</v>
      </c>
      <c r="D388" s="254">
        <v>78.0</v>
      </c>
      <c r="E388" s="267"/>
      <c r="F388" s="268"/>
      <c r="G388" s="199">
        <v>6000.0</v>
      </c>
      <c r="H388" s="243">
        <f t="shared" si="94"/>
        <v>468000</v>
      </c>
      <c r="I388" s="200">
        <v>6500.0</v>
      </c>
      <c r="J388" s="244">
        <f t="shared" si="95"/>
        <v>507000</v>
      </c>
      <c r="K388" s="245">
        <f t="shared" si="96"/>
        <v>39000</v>
      </c>
      <c r="L388" s="246">
        <f t="shared" si="97"/>
        <v>0.08333333333</v>
      </c>
      <c r="M388" s="247"/>
    </row>
    <row r="389" ht="15.75" customHeight="1">
      <c r="A389" s="248">
        <v>8.0</v>
      </c>
      <c r="B389" s="275" t="s">
        <v>1933</v>
      </c>
      <c r="C389" s="239" t="s">
        <v>109</v>
      </c>
      <c r="D389" s="254">
        <v>10.0</v>
      </c>
      <c r="E389" s="267"/>
      <c r="F389" s="268"/>
      <c r="G389" s="199">
        <v>23500.0</v>
      </c>
      <c r="H389" s="243">
        <f t="shared" si="94"/>
        <v>235000</v>
      </c>
      <c r="I389" s="200">
        <v>24500.0</v>
      </c>
      <c r="J389" s="244">
        <f t="shared" si="95"/>
        <v>245000</v>
      </c>
      <c r="K389" s="245">
        <f t="shared" si="96"/>
        <v>10000</v>
      </c>
      <c r="L389" s="246">
        <f t="shared" si="97"/>
        <v>0.04255319149</v>
      </c>
      <c r="M389" s="247"/>
    </row>
    <row r="390" ht="15.75" customHeight="1">
      <c r="A390" s="239">
        <v>9.0</v>
      </c>
      <c r="B390" s="275" t="s">
        <v>1681</v>
      </c>
      <c r="C390" s="278" t="s">
        <v>1579</v>
      </c>
      <c r="D390" s="254">
        <v>24.0</v>
      </c>
      <c r="E390" s="267"/>
      <c r="F390" s="268"/>
      <c r="G390" s="199">
        <v>21750.0</v>
      </c>
      <c r="H390" s="243">
        <f t="shared" si="94"/>
        <v>522000</v>
      </c>
      <c r="I390" s="200">
        <v>24000.0</v>
      </c>
      <c r="J390" s="244">
        <f t="shared" si="95"/>
        <v>576000</v>
      </c>
      <c r="K390" s="245">
        <f t="shared" si="96"/>
        <v>54000</v>
      </c>
      <c r="L390" s="246">
        <f t="shared" si="97"/>
        <v>0.1034482759</v>
      </c>
      <c r="M390" s="247"/>
    </row>
    <row r="391" ht="15.75" customHeight="1">
      <c r="A391" s="239">
        <v>10.0</v>
      </c>
      <c r="B391" s="275" t="s">
        <v>1972</v>
      </c>
      <c r="C391" s="278" t="s">
        <v>69</v>
      </c>
      <c r="D391" s="254">
        <v>1944.0</v>
      </c>
      <c r="E391" s="267"/>
      <c r="F391" s="268"/>
      <c r="G391" s="199">
        <v>3222.0</v>
      </c>
      <c r="H391" s="243">
        <f t="shared" si="94"/>
        <v>6263568</v>
      </c>
      <c r="I391" s="200">
        <v>3600.0</v>
      </c>
      <c r="J391" s="244">
        <f t="shared" si="95"/>
        <v>6998400</v>
      </c>
      <c r="K391" s="245">
        <f t="shared" si="96"/>
        <v>734832</v>
      </c>
      <c r="L391" s="246">
        <f t="shared" si="97"/>
        <v>0.1173184358</v>
      </c>
      <c r="M391" s="247"/>
    </row>
    <row r="392" ht="15.75" customHeight="1">
      <c r="A392" s="248">
        <v>11.0</v>
      </c>
      <c r="B392" s="275" t="s">
        <v>1634</v>
      </c>
      <c r="C392" s="278" t="s">
        <v>69</v>
      </c>
      <c r="D392" s="254">
        <v>3140.0</v>
      </c>
      <c r="E392" s="267"/>
      <c r="F392" s="268" t="str">
        <f t="shared" ref="F392:F396" si="98">IF(E392&lt;&gt;"",D392*E392,"")</f>
        <v/>
      </c>
      <c r="G392" s="199">
        <v>1300.0</v>
      </c>
      <c r="H392" s="243">
        <f t="shared" si="94"/>
        <v>4082000</v>
      </c>
      <c r="I392" s="200">
        <v>1800.0</v>
      </c>
      <c r="J392" s="244">
        <f t="shared" si="95"/>
        <v>5652000</v>
      </c>
      <c r="K392" s="245">
        <f t="shared" si="96"/>
        <v>1570000</v>
      </c>
      <c r="L392" s="246">
        <f t="shared" si="97"/>
        <v>0.3846153846</v>
      </c>
      <c r="M392" s="247"/>
    </row>
    <row r="393" ht="15.75" customHeight="1">
      <c r="A393" s="239">
        <v>12.0</v>
      </c>
      <c r="B393" s="275" t="s">
        <v>1569</v>
      </c>
      <c r="C393" s="239" t="s">
        <v>109</v>
      </c>
      <c r="D393" s="254">
        <v>2.0</v>
      </c>
      <c r="E393" s="267"/>
      <c r="F393" s="268" t="str">
        <f t="shared" si="98"/>
        <v/>
      </c>
      <c r="G393" s="311">
        <v>10000.0</v>
      </c>
      <c r="H393" s="243">
        <f t="shared" si="94"/>
        <v>20000</v>
      </c>
      <c r="I393" s="200">
        <v>18000.0</v>
      </c>
      <c r="J393" s="244">
        <f t="shared" si="95"/>
        <v>36000</v>
      </c>
      <c r="K393" s="245">
        <f t="shared" si="96"/>
        <v>16000</v>
      </c>
      <c r="L393" s="246">
        <f t="shared" si="97"/>
        <v>0.8</v>
      </c>
      <c r="M393" s="247"/>
    </row>
    <row r="394" ht="15.75" customHeight="1">
      <c r="A394" s="239">
        <v>13.0</v>
      </c>
      <c r="B394" s="275" t="s">
        <v>1973</v>
      </c>
      <c r="C394" s="239" t="s">
        <v>109</v>
      </c>
      <c r="D394" s="254">
        <v>1.0</v>
      </c>
      <c r="E394" s="267"/>
      <c r="F394" s="268" t="str">
        <f t="shared" si="98"/>
        <v/>
      </c>
      <c r="G394" s="311">
        <v>32000.0</v>
      </c>
      <c r="H394" s="243">
        <f t="shared" si="94"/>
        <v>32000</v>
      </c>
      <c r="I394" s="200">
        <v>45000.0</v>
      </c>
      <c r="J394" s="244">
        <f t="shared" si="95"/>
        <v>45000</v>
      </c>
      <c r="K394" s="245">
        <f t="shared" si="96"/>
        <v>13000</v>
      </c>
      <c r="L394" s="246">
        <f t="shared" si="97"/>
        <v>0.40625</v>
      </c>
      <c r="M394" s="247"/>
    </row>
    <row r="395" ht="15.75" customHeight="1">
      <c r="A395" s="248">
        <v>14.0</v>
      </c>
      <c r="B395" s="275" t="s">
        <v>1974</v>
      </c>
      <c r="C395" s="239" t="s">
        <v>109</v>
      </c>
      <c r="D395" s="254">
        <v>1.0</v>
      </c>
      <c r="E395" s="267"/>
      <c r="F395" s="268" t="str">
        <f t="shared" si="98"/>
        <v/>
      </c>
      <c r="G395" s="311">
        <v>40000.0</v>
      </c>
      <c r="H395" s="243">
        <f t="shared" si="94"/>
        <v>40000</v>
      </c>
      <c r="I395" s="200">
        <v>40000.0</v>
      </c>
      <c r="J395" s="244">
        <f t="shared" si="95"/>
        <v>40000</v>
      </c>
      <c r="K395" s="245">
        <f t="shared" si="96"/>
        <v>0</v>
      </c>
      <c r="L395" s="246">
        <f t="shared" si="97"/>
        <v>0</v>
      </c>
      <c r="M395" s="247"/>
    </row>
    <row r="396" ht="15.75" customHeight="1">
      <c r="A396" s="239">
        <v>15.0</v>
      </c>
      <c r="B396" s="275" t="s">
        <v>1679</v>
      </c>
      <c r="C396" s="239" t="s">
        <v>109</v>
      </c>
      <c r="D396" s="254">
        <v>0.25</v>
      </c>
      <c r="E396" s="267"/>
      <c r="F396" s="268" t="str">
        <f t="shared" si="98"/>
        <v/>
      </c>
      <c r="G396" s="311">
        <v>10000.0</v>
      </c>
      <c r="H396" s="243">
        <f t="shared" si="94"/>
        <v>2500</v>
      </c>
      <c r="I396" s="200">
        <v>30000.0</v>
      </c>
      <c r="J396" s="244">
        <f t="shared" si="95"/>
        <v>7500</v>
      </c>
      <c r="K396" s="245">
        <f t="shared" si="96"/>
        <v>5000</v>
      </c>
      <c r="L396" s="246">
        <f t="shared" si="97"/>
        <v>2</v>
      </c>
      <c r="M396" s="247"/>
    </row>
    <row r="397" ht="15.75" customHeight="1">
      <c r="A397" s="280">
        <v>16.0</v>
      </c>
      <c r="B397" s="275" t="s">
        <v>1595</v>
      </c>
      <c r="C397" s="278" t="s">
        <v>109</v>
      </c>
      <c r="D397" s="254">
        <v>0.25</v>
      </c>
      <c r="E397" s="267"/>
      <c r="F397" s="268"/>
      <c r="G397" s="311">
        <v>12500.0</v>
      </c>
      <c r="H397" s="243">
        <f t="shared" si="94"/>
        <v>3125</v>
      </c>
      <c r="I397" s="281">
        <v>15000.0</v>
      </c>
      <c r="J397" s="244">
        <f t="shared" si="95"/>
        <v>3750</v>
      </c>
      <c r="K397" s="245">
        <f t="shared" si="96"/>
        <v>625</v>
      </c>
      <c r="L397" s="246">
        <f t="shared" si="97"/>
        <v>0.2</v>
      </c>
      <c r="M397" s="247"/>
    </row>
    <row r="398" ht="15.75" customHeight="1">
      <c r="A398" s="280">
        <v>17.0</v>
      </c>
      <c r="B398" s="275" t="s">
        <v>1574</v>
      </c>
      <c r="C398" s="239" t="s">
        <v>109</v>
      </c>
      <c r="D398" s="254">
        <v>0.5</v>
      </c>
      <c r="E398" s="267"/>
      <c r="F398" s="268"/>
      <c r="G398" s="311">
        <v>12000.0</v>
      </c>
      <c r="H398" s="243">
        <f t="shared" si="94"/>
        <v>6000</v>
      </c>
      <c r="I398" s="281">
        <v>15000.0</v>
      </c>
      <c r="J398" s="244">
        <f t="shared" si="95"/>
        <v>7500</v>
      </c>
      <c r="K398" s="245">
        <f t="shared" si="96"/>
        <v>1500</v>
      </c>
      <c r="L398" s="246">
        <f t="shared" si="97"/>
        <v>0.25</v>
      </c>
      <c r="M398" s="247"/>
    </row>
    <row r="399" ht="15.75" customHeight="1">
      <c r="A399" s="278">
        <v>18.0</v>
      </c>
      <c r="B399" s="275" t="s">
        <v>1975</v>
      </c>
      <c r="C399" s="239" t="s">
        <v>109</v>
      </c>
      <c r="D399" s="254">
        <v>5.0</v>
      </c>
      <c r="E399" s="267"/>
      <c r="F399" s="268"/>
      <c r="G399" s="311">
        <v>12000.0</v>
      </c>
      <c r="H399" s="243">
        <f t="shared" si="94"/>
        <v>60000</v>
      </c>
      <c r="I399" s="281">
        <v>12000.0</v>
      </c>
      <c r="J399" s="244">
        <f t="shared" si="95"/>
        <v>60000</v>
      </c>
      <c r="K399" s="245">
        <f t="shared" si="96"/>
        <v>0</v>
      </c>
      <c r="L399" s="246">
        <f t="shared" si="97"/>
        <v>0</v>
      </c>
      <c r="M399" s="247"/>
    </row>
    <row r="400" ht="15.75" customHeight="1">
      <c r="A400" s="355" t="s">
        <v>1729</v>
      </c>
      <c r="B400" s="356"/>
      <c r="C400" s="259"/>
      <c r="D400" s="356"/>
      <c r="E400" s="257"/>
      <c r="F400" s="258">
        <f>SUMIF(F382:F399,"&lt;&gt;",F382:F399)</f>
        <v>0</v>
      </c>
      <c r="G400" s="317"/>
      <c r="H400" s="282">
        <f>SUMIF(H382:H399,"&lt;&gt;",H382:H399)</f>
        <v>23210593</v>
      </c>
      <c r="I400" s="327"/>
      <c r="J400" s="282">
        <f>SUMIF(J382:J399,"&lt;&gt;",J382:J399)</f>
        <v>27033650</v>
      </c>
      <c r="K400" s="261">
        <f t="shared" si="96"/>
        <v>3823057</v>
      </c>
      <c r="L400" s="262">
        <f t="shared" si="97"/>
        <v>0.1647117331</v>
      </c>
      <c r="M400" s="257"/>
    </row>
    <row r="401" ht="15.75" customHeight="1"/>
    <row r="402" ht="15.75" customHeight="1">
      <c r="A402" s="273" t="s">
        <v>1730</v>
      </c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</row>
    <row r="403" ht="15.75" customHeight="1">
      <c r="A403" s="229" t="s">
        <v>1509</v>
      </c>
      <c r="B403" s="229" t="s">
        <v>1510</v>
      </c>
      <c r="C403" s="302" t="s">
        <v>1511</v>
      </c>
      <c r="D403" s="302" t="s">
        <v>1614</v>
      </c>
      <c r="E403" s="303" t="s">
        <v>1615</v>
      </c>
      <c r="F403" s="304"/>
      <c r="G403" s="305" t="s">
        <v>1616</v>
      </c>
      <c r="H403" s="304"/>
      <c r="I403" s="306" t="s">
        <v>1617</v>
      </c>
      <c r="J403" s="304"/>
      <c r="K403" s="307" t="s">
        <v>1618</v>
      </c>
      <c r="L403" s="304"/>
      <c r="M403" s="302" t="s">
        <v>1619</v>
      </c>
    </row>
    <row r="404" ht="15.75" customHeight="1">
      <c r="A404" s="234" t="s">
        <v>1509</v>
      </c>
      <c r="B404" s="234" t="s">
        <v>1510</v>
      </c>
      <c r="C404" s="234" t="s">
        <v>1511</v>
      </c>
      <c r="D404" s="234" t="s">
        <v>1614</v>
      </c>
      <c r="E404" s="235" t="s">
        <v>1620</v>
      </c>
      <c r="F404" s="235" t="s">
        <v>1621</v>
      </c>
      <c r="G404" s="236" t="s">
        <v>1622</v>
      </c>
      <c r="H404" s="236" t="s">
        <v>1623</v>
      </c>
      <c r="I404" s="237" t="s">
        <v>1624</v>
      </c>
      <c r="J404" s="237" t="s">
        <v>1625</v>
      </c>
      <c r="K404" s="238" t="s">
        <v>1626</v>
      </c>
      <c r="L404" s="238" t="s">
        <v>1627</v>
      </c>
      <c r="M404" s="234" t="s">
        <v>1619</v>
      </c>
    </row>
    <row r="405" ht="15.75" customHeight="1">
      <c r="A405" s="239">
        <v>1.0</v>
      </c>
      <c r="B405" s="275" t="s">
        <v>1657</v>
      </c>
      <c r="C405" s="278" t="s">
        <v>1557</v>
      </c>
      <c r="D405" s="254">
        <v>1.0</v>
      </c>
      <c r="E405" s="267"/>
      <c r="F405" s="268" t="str">
        <f t="shared" ref="F405:F411" si="99">IF(E405&lt;&gt;"",D405*E405,"")</f>
        <v/>
      </c>
      <c r="G405" s="311">
        <v>52000.0</v>
      </c>
      <c r="H405" s="243">
        <f t="shared" ref="H405:H411" si="100">IF(G405&lt;&gt;"",D405*G405,"")</f>
        <v>52000</v>
      </c>
      <c r="I405" s="200">
        <v>55000.0</v>
      </c>
      <c r="J405" s="244">
        <f t="shared" ref="J405:J411" si="101">IF(I405&lt;&gt;"",D405*I405,"")</f>
        <v>55000</v>
      </c>
      <c r="K405" s="245">
        <f t="shared" ref="K405:K412" si="102">IF(J405&lt;&gt;"",IF(H405&lt;&gt;"",J405-H405,IF(F405&lt;&gt;"",J405-F405,"")),"")</f>
        <v>3000</v>
      </c>
      <c r="L405" s="246">
        <f t="shared" ref="L405:L412" si="103">IF(K405&lt;&gt;"",IF(H405&lt;&gt;"",IF(H405&lt;&gt;0,K405/H405,""),IF(F405&lt;&gt;"",IF(F405&lt;&gt;0,K405/F405,""),"")),"")</f>
        <v>0.05769230769</v>
      </c>
      <c r="M405" s="247"/>
    </row>
    <row r="406" ht="15.75" customHeight="1">
      <c r="A406" s="248">
        <v>2.0</v>
      </c>
      <c r="B406" s="276" t="s">
        <v>1976</v>
      </c>
      <c r="C406" s="239" t="s">
        <v>109</v>
      </c>
      <c r="D406" s="254">
        <v>1.0</v>
      </c>
      <c r="E406" s="267"/>
      <c r="F406" s="268" t="str">
        <f t="shared" si="99"/>
        <v/>
      </c>
      <c r="G406" s="311">
        <v>95000.0</v>
      </c>
      <c r="H406" s="243">
        <f t="shared" si="100"/>
        <v>95000</v>
      </c>
      <c r="I406" s="200">
        <v>105000.0</v>
      </c>
      <c r="J406" s="244">
        <f t="shared" si="101"/>
        <v>105000</v>
      </c>
      <c r="K406" s="245">
        <f t="shared" si="102"/>
        <v>10000</v>
      </c>
      <c r="L406" s="246">
        <f t="shared" si="103"/>
        <v>0.1052631579</v>
      </c>
      <c r="M406" s="247"/>
    </row>
    <row r="407" ht="15.75" customHeight="1">
      <c r="A407" s="239">
        <v>3.0</v>
      </c>
      <c r="B407" s="275" t="s">
        <v>1543</v>
      </c>
      <c r="C407" s="239" t="s">
        <v>109</v>
      </c>
      <c r="D407" s="254">
        <v>2.0</v>
      </c>
      <c r="E407" s="267"/>
      <c r="F407" s="268" t="str">
        <f t="shared" si="99"/>
        <v/>
      </c>
      <c r="G407" s="311">
        <v>8000.0</v>
      </c>
      <c r="H407" s="243">
        <f t="shared" si="100"/>
        <v>16000</v>
      </c>
      <c r="I407" s="200">
        <v>10000.0</v>
      </c>
      <c r="J407" s="244">
        <f t="shared" si="101"/>
        <v>20000</v>
      </c>
      <c r="K407" s="245">
        <f t="shared" si="102"/>
        <v>4000</v>
      </c>
      <c r="L407" s="246">
        <f t="shared" si="103"/>
        <v>0.25</v>
      </c>
      <c r="M407" s="247"/>
    </row>
    <row r="408" ht="15.75" customHeight="1">
      <c r="A408" s="248">
        <v>4.0</v>
      </c>
      <c r="B408" s="276" t="s">
        <v>1655</v>
      </c>
      <c r="C408" s="239" t="s">
        <v>109</v>
      </c>
      <c r="D408" s="254">
        <v>2.0</v>
      </c>
      <c r="E408" s="267"/>
      <c r="F408" s="268" t="str">
        <f t="shared" si="99"/>
        <v/>
      </c>
      <c r="G408" s="311">
        <v>18500.0</v>
      </c>
      <c r="H408" s="243">
        <f t="shared" si="100"/>
        <v>37000</v>
      </c>
      <c r="I408" s="200">
        <v>20000.0</v>
      </c>
      <c r="J408" s="244">
        <f t="shared" si="101"/>
        <v>40000</v>
      </c>
      <c r="K408" s="245">
        <f t="shared" si="102"/>
        <v>3000</v>
      </c>
      <c r="L408" s="246">
        <f t="shared" si="103"/>
        <v>0.08108108108</v>
      </c>
      <c r="M408" s="247"/>
    </row>
    <row r="409" ht="15.75" customHeight="1">
      <c r="A409" s="239">
        <v>5.0</v>
      </c>
      <c r="B409" s="275" t="s">
        <v>1977</v>
      </c>
      <c r="C409" s="239" t="s">
        <v>109</v>
      </c>
      <c r="D409" s="254">
        <v>3.0</v>
      </c>
      <c r="E409" s="267"/>
      <c r="F409" s="268" t="str">
        <f t="shared" si="99"/>
        <v/>
      </c>
      <c r="G409" s="199">
        <v>23500.0</v>
      </c>
      <c r="H409" s="243">
        <f t="shared" si="100"/>
        <v>70500</v>
      </c>
      <c r="I409" s="200">
        <v>24500.0</v>
      </c>
      <c r="J409" s="244">
        <f t="shared" si="101"/>
        <v>73500</v>
      </c>
      <c r="K409" s="245">
        <f t="shared" si="102"/>
        <v>3000</v>
      </c>
      <c r="L409" s="246">
        <f t="shared" si="103"/>
        <v>0.04255319149</v>
      </c>
      <c r="M409" s="247"/>
    </row>
    <row r="410" ht="15.75" customHeight="1">
      <c r="A410" s="248">
        <v>6.0</v>
      </c>
      <c r="B410" s="275" t="s">
        <v>1808</v>
      </c>
      <c r="C410" s="239" t="s">
        <v>109</v>
      </c>
      <c r="D410" s="254">
        <v>2.0</v>
      </c>
      <c r="E410" s="267"/>
      <c r="F410" s="268" t="str">
        <f t="shared" si="99"/>
        <v/>
      </c>
      <c r="G410" s="311">
        <v>18500.0</v>
      </c>
      <c r="H410" s="243">
        <f t="shared" si="100"/>
        <v>37000</v>
      </c>
      <c r="I410" s="200">
        <v>25000.0</v>
      </c>
      <c r="J410" s="244">
        <f t="shared" si="101"/>
        <v>50000</v>
      </c>
      <c r="K410" s="245">
        <f t="shared" si="102"/>
        <v>13000</v>
      </c>
      <c r="L410" s="246">
        <f t="shared" si="103"/>
        <v>0.3513513514</v>
      </c>
      <c r="M410" s="247"/>
    </row>
    <row r="411" ht="15.75" customHeight="1">
      <c r="A411" s="239">
        <v>7.0</v>
      </c>
      <c r="B411" s="275" t="s">
        <v>1681</v>
      </c>
      <c r="C411" s="278" t="s">
        <v>1579</v>
      </c>
      <c r="D411" s="254">
        <v>24.0</v>
      </c>
      <c r="E411" s="267"/>
      <c r="F411" s="268" t="str">
        <f t="shared" si="99"/>
        <v/>
      </c>
      <c r="G411" s="311">
        <v>21750.0</v>
      </c>
      <c r="H411" s="243">
        <f t="shared" si="100"/>
        <v>522000</v>
      </c>
      <c r="I411" s="200">
        <v>24000.0</v>
      </c>
      <c r="J411" s="244">
        <f t="shared" si="101"/>
        <v>576000</v>
      </c>
      <c r="K411" s="245">
        <f t="shared" si="102"/>
        <v>54000</v>
      </c>
      <c r="L411" s="246">
        <f t="shared" si="103"/>
        <v>0.1034482759</v>
      </c>
      <c r="M411" s="247"/>
    </row>
    <row r="412" ht="15.75" customHeight="1">
      <c r="A412" s="355" t="s">
        <v>1732</v>
      </c>
      <c r="B412" s="356"/>
      <c r="C412" s="259"/>
      <c r="D412" s="356"/>
      <c r="E412" s="257"/>
      <c r="F412" s="258">
        <f>SUMIF(F405:F411,"&lt;&gt;",F405:F411)</f>
        <v>0</v>
      </c>
      <c r="G412" s="317"/>
      <c r="H412" s="282">
        <f>SUMIF(H405:H411,"&lt;&gt;",H405:H411)</f>
        <v>829500</v>
      </c>
      <c r="I412" s="327"/>
      <c r="J412" s="282">
        <f>SUMIF(J405:J411,"&lt;&gt;",J405:J411)</f>
        <v>919500</v>
      </c>
      <c r="K412" s="261">
        <f t="shared" si="102"/>
        <v>90000</v>
      </c>
      <c r="L412" s="262">
        <f t="shared" si="103"/>
        <v>0.1084990958</v>
      </c>
      <c r="M412" s="257"/>
    </row>
    <row r="413" ht="15.75" customHeight="1"/>
    <row r="414" ht="30.75" customHeight="1">
      <c r="A414" s="328" t="s">
        <v>1978</v>
      </c>
      <c r="B414" s="285"/>
      <c r="C414" s="285"/>
      <c r="D414" s="286"/>
      <c r="E414" s="287"/>
      <c r="F414" s="288">
        <f>F16+F38+F57+F75+F93+F119+F143+F164+F184+F206+F231+F255+F277+F302+F318+F333+F354+F377+F400+F412</f>
        <v>33137663.6</v>
      </c>
      <c r="G414" s="288"/>
      <c r="H414" s="288">
        <f>H16+H38+H57+H75+H93+H119+H143+H164+H184+H206+H231+H255+H277+H302+H318+H333+H354+H377+H400+H412</f>
        <v>267983516</v>
      </c>
      <c r="I414" s="288"/>
      <c r="J414" s="288">
        <f>J16+J38+J57+J75+J93+J119+J143+J164+J184+J206+J231+J255+J277+J302+J318+J333+J354+J377+J400+J412</f>
        <v>309303349.8</v>
      </c>
      <c r="K414" s="289">
        <f>IF(J414&lt;&gt;"",IF(H414&lt;&gt;0,J414-H414,J414-F414),"")</f>
        <v>41319833.75</v>
      </c>
      <c r="L414" s="290">
        <f>IF(K414&lt;&gt;"",IF(H414&lt;&gt;0,K414/H414,IF(F414&lt;&gt;0,K414/F414,"")),"")</f>
        <v>0.1541879679</v>
      </c>
      <c r="M414" s="287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</sheetData>
  <mergeCells count="135">
    <mergeCell ref="A1:M1"/>
    <mergeCell ref="A2:M2"/>
    <mergeCell ref="A3:M3"/>
    <mergeCell ref="A4:M4"/>
    <mergeCell ref="G5:H5"/>
    <mergeCell ref="I5:J5"/>
    <mergeCell ref="K5:L5"/>
    <mergeCell ref="E5:F5"/>
    <mergeCell ref="A16:D16"/>
    <mergeCell ref="A18:M18"/>
    <mergeCell ref="E19:F19"/>
    <mergeCell ref="G19:H19"/>
    <mergeCell ref="I19:J19"/>
    <mergeCell ref="K19:L19"/>
    <mergeCell ref="A38:D38"/>
    <mergeCell ref="A40:M40"/>
    <mergeCell ref="E41:F41"/>
    <mergeCell ref="G41:H41"/>
    <mergeCell ref="I41:J41"/>
    <mergeCell ref="K41:L41"/>
    <mergeCell ref="A57:D57"/>
    <mergeCell ref="A59:M59"/>
    <mergeCell ref="E60:F60"/>
    <mergeCell ref="G60:H60"/>
    <mergeCell ref="I60:J60"/>
    <mergeCell ref="K60:L60"/>
    <mergeCell ref="A75:D75"/>
    <mergeCell ref="A77:M77"/>
    <mergeCell ref="E78:F78"/>
    <mergeCell ref="G78:H78"/>
    <mergeCell ref="I78:J78"/>
    <mergeCell ref="K78:L78"/>
    <mergeCell ref="A93:D93"/>
    <mergeCell ref="A95:M95"/>
    <mergeCell ref="E96:F96"/>
    <mergeCell ref="K96:L96"/>
    <mergeCell ref="G96:H96"/>
    <mergeCell ref="I96:J96"/>
    <mergeCell ref="A121:M121"/>
    <mergeCell ref="E122:F122"/>
    <mergeCell ref="G122:H122"/>
    <mergeCell ref="I122:J122"/>
    <mergeCell ref="K122:L122"/>
    <mergeCell ref="A119:D119"/>
    <mergeCell ref="A143:D143"/>
    <mergeCell ref="A145:M145"/>
    <mergeCell ref="E146:F146"/>
    <mergeCell ref="G146:H146"/>
    <mergeCell ref="I146:J146"/>
    <mergeCell ref="K146:L146"/>
    <mergeCell ref="A320:M320"/>
    <mergeCell ref="E321:F321"/>
    <mergeCell ref="G321:H321"/>
    <mergeCell ref="I321:J321"/>
    <mergeCell ref="K321:L321"/>
    <mergeCell ref="A333:B333"/>
    <mergeCell ref="C333:D333"/>
    <mergeCell ref="A335:M335"/>
    <mergeCell ref="E336:F336"/>
    <mergeCell ref="G336:H336"/>
    <mergeCell ref="I336:J336"/>
    <mergeCell ref="K336:L336"/>
    <mergeCell ref="A354:B354"/>
    <mergeCell ref="C354:D354"/>
    <mergeCell ref="A356:M356"/>
    <mergeCell ref="E357:F357"/>
    <mergeCell ref="G357:H357"/>
    <mergeCell ref="I357:J357"/>
    <mergeCell ref="K357:L357"/>
    <mergeCell ref="A377:B377"/>
    <mergeCell ref="C377:D377"/>
    <mergeCell ref="A402:M402"/>
    <mergeCell ref="E403:F403"/>
    <mergeCell ref="G403:H403"/>
    <mergeCell ref="I403:J403"/>
    <mergeCell ref="K403:L403"/>
    <mergeCell ref="A412:B412"/>
    <mergeCell ref="C412:D412"/>
    <mergeCell ref="A414:D414"/>
    <mergeCell ref="A379:M379"/>
    <mergeCell ref="E380:F380"/>
    <mergeCell ref="G380:H380"/>
    <mergeCell ref="I380:J380"/>
    <mergeCell ref="K380:L380"/>
    <mergeCell ref="A400:B400"/>
    <mergeCell ref="C400:D400"/>
    <mergeCell ref="A164:D164"/>
    <mergeCell ref="A166:M166"/>
    <mergeCell ref="E167:F167"/>
    <mergeCell ref="G167:H167"/>
    <mergeCell ref="I167:J167"/>
    <mergeCell ref="K167:L167"/>
    <mergeCell ref="A184:D184"/>
    <mergeCell ref="A186:M186"/>
    <mergeCell ref="E187:F187"/>
    <mergeCell ref="G187:H187"/>
    <mergeCell ref="I187:J187"/>
    <mergeCell ref="K187:L187"/>
    <mergeCell ref="A206:B206"/>
    <mergeCell ref="C206:D206"/>
    <mergeCell ref="A208:M208"/>
    <mergeCell ref="E209:F209"/>
    <mergeCell ref="G209:H209"/>
    <mergeCell ref="I209:J209"/>
    <mergeCell ref="K209:L209"/>
    <mergeCell ref="A231:B231"/>
    <mergeCell ref="C231:D231"/>
    <mergeCell ref="A233:M233"/>
    <mergeCell ref="E234:F234"/>
    <mergeCell ref="G234:H234"/>
    <mergeCell ref="I234:J234"/>
    <mergeCell ref="K234:L234"/>
    <mergeCell ref="A255:B255"/>
    <mergeCell ref="C255:D255"/>
    <mergeCell ref="A257:M257"/>
    <mergeCell ref="E258:F258"/>
    <mergeCell ref="G258:H258"/>
    <mergeCell ref="I258:J258"/>
    <mergeCell ref="K258:L258"/>
    <mergeCell ref="A277:B277"/>
    <mergeCell ref="C277:D277"/>
    <mergeCell ref="A279:M279"/>
    <mergeCell ref="E280:F280"/>
    <mergeCell ref="G280:H280"/>
    <mergeCell ref="I280:J280"/>
    <mergeCell ref="K280:L280"/>
    <mergeCell ref="A302:B302"/>
    <mergeCell ref="C302:D302"/>
    <mergeCell ref="A304:M304"/>
    <mergeCell ref="E305:F305"/>
    <mergeCell ref="G305:H305"/>
    <mergeCell ref="I305:J305"/>
    <mergeCell ref="K305:L305"/>
    <mergeCell ref="A318:B318"/>
    <mergeCell ref="C318:D318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1930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226" t="s">
        <v>1979</v>
      </c>
      <c r="C7" s="223" t="s">
        <v>1583</v>
      </c>
      <c r="D7" s="227">
        <v>40.0</v>
      </c>
      <c r="E7" s="184"/>
      <c r="F7" s="185" t="str">
        <f>IF(E7&lt;&gt;"",D7*E7,"")</f>
        <v/>
      </c>
      <c r="G7" s="221">
        <v>13000.0</v>
      </c>
      <c r="H7" s="187">
        <f>IF(G7&lt;&gt;"",D7*G7,"")</f>
        <v>520000</v>
      </c>
      <c r="I7" s="222">
        <v>17500.0</v>
      </c>
      <c r="J7" s="219">
        <f>IF(I7&lt;&gt;"",D7*I7,"")</f>
        <v>700000</v>
      </c>
      <c r="K7" s="190">
        <f t="shared" ref="K7:K8" si="1">IF(J7&lt;&gt;"",IF(H7&lt;&gt;"",J7-H7,IF(F7&lt;&gt;"",J7-F7,"")),"")</f>
        <v>180000</v>
      </c>
      <c r="L7" s="191">
        <f t="shared" ref="L7:L8" si="2">IF(K7&lt;&gt;"",IF(H7&lt;&gt;"",IF(H7&lt;&gt;0,K7/H7,""),IF(F7&lt;&gt;"",IF(F7&lt;&gt;0,K7/F7,""),"")),"")</f>
        <v>0.3461538462</v>
      </c>
      <c r="M7" s="192"/>
    </row>
    <row r="8" ht="19.5" customHeight="1">
      <c r="A8" s="205" t="s">
        <v>1628</v>
      </c>
      <c r="B8" s="206"/>
      <c r="C8" s="206"/>
      <c r="D8" s="174"/>
      <c r="E8" s="207"/>
      <c r="F8" s="208">
        <f>SUMIF(F7,"&lt;&gt;",F7)</f>
        <v>0</v>
      </c>
      <c r="G8" s="207"/>
      <c r="H8" s="208">
        <f>SUMIF(H7,"&lt;&gt;",H7)</f>
        <v>520000</v>
      </c>
      <c r="I8" s="209"/>
      <c r="J8" s="210">
        <f>SUMIF(J7,"&lt;&gt;",J7)</f>
        <v>700000</v>
      </c>
      <c r="K8" s="211">
        <f t="shared" si="1"/>
        <v>180000</v>
      </c>
      <c r="L8" s="212">
        <f t="shared" si="2"/>
        <v>0.3461538462</v>
      </c>
      <c r="M8" s="207"/>
    </row>
    <row r="10" ht="21.75" customHeight="1">
      <c r="A10" s="171" t="s">
        <v>1629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ht="19.5" customHeight="1">
      <c r="A11" s="172" t="s">
        <v>1509</v>
      </c>
      <c r="B11" s="172" t="s">
        <v>1510</v>
      </c>
      <c r="C11" s="172" t="s">
        <v>1511</v>
      </c>
      <c r="D11" s="172" t="s">
        <v>1614</v>
      </c>
      <c r="E11" s="173" t="s">
        <v>1615</v>
      </c>
      <c r="F11" s="174"/>
      <c r="G11" s="175" t="s">
        <v>1616</v>
      </c>
      <c r="H11" s="174"/>
      <c r="I11" s="176" t="s">
        <v>1617</v>
      </c>
      <c r="J11" s="174"/>
      <c r="K11" s="177" t="s">
        <v>1618</v>
      </c>
      <c r="L11" s="174"/>
      <c r="M11" s="172" t="s">
        <v>1619</v>
      </c>
    </row>
    <row r="12" ht="27.75" customHeight="1">
      <c r="A12" s="178" t="s">
        <v>1509</v>
      </c>
      <c r="B12" s="178" t="s">
        <v>1510</v>
      </c>
      <c r="C12" s="178" t="s">
        <v>1511</v>
      </c>
      <c r="D12" s="178" t="s">
        <v>1614</v>
      </c>
      <c r="E12" s="179" t="s">
        <v>1620</v>
      </c>
      <c r="F12" s="179" t="s">
        <v>1621</v>
      </c>
      <c r="G12" s="180" t="s">
        <v>1622</v>
      </c>
      <c r="H12" s="180" t="s">
        <v>1623</v>
      </c>
      <c r="I12" s="181" t="s">
        <v>1624</v>
      </c>
      <c r="J12" s="181" t="s">
        <v>1625</v>
      </c>
      <c r="K12" s="182" t="s">
        <v>1626</v>
      </c>
      <c r="L12" s="182" t="s">
        <v>1627</v>
      </c>
      <c r="M12" s="178" t="s">
        <v>1619</v>
      </c>
    </row>
    <row r="13" ht="15.75" customHeight="1">
      <c r="A13" s="159">
        <v>1.0</v>
      </c>
      <c r="B13" s="331" t="s">
        <v>1870</v>
      </c>
      <c r="C13" s="332" t="s">
        <v>1754</v>
      </c>
      <c r="D13" s="213">
        <v>50.0</v>
      </c>
      <c r="E13" s="267"/>
      <c r="F13" s="268" t="str">
        <f t="shared" ref="F13:F20" si="3">IF(E13&lt;&gt;"",D13*E13,"")</f>
        <v/>
      </c>
      <c r="G13" s="186">
        <v>19200.0</v>
      </c>
      <c r="H13" s="243">
        <f t="shared" ref="H13:H20" si="4">IF(G13&lt;&gt;"",D13*G13,"")</f>
        <v>960000</v>
      </c>
      <c r="I13" s="188">
        <v>22500.0</v>
      </c>
      <c r="J13" s="244">
        <f t="shared" ref="J13:J20" si="5">IF(I13&lt;&gt;"",D13*I13,"")</f>
        <v>1125000</v>
      </c>
      <c r="K13" s="245">
        <f t="shared" ref="K13:K21" si="6">IF(J13&lt;&gt;"",IF(H13&lt;&gt;"",J13-H13,IF(F13&lt;&gt;"",J13-F13,"")),"")</f>
        <v>165000</v>
      </c>
      <c r="L13" s="246">
        <f t="shared" ref="L13:L20" si="7">IF(K13&lt;&gt;"",IF(H13&lt;&gt;"",IF(H13&lt;&gt;0,K13/H13,""),IF(F13&lt;&gt;"",IF(F13&lt;&gt;0,K13/F13,""),"")),"")</f>
        <v>0.171875</v>
      </c>
      <c r="M13" s="192"/>
    </row>
    <row r="14" ht="15.75" customHeight="1">
      <c r="A14" s="164">
        <v>2.0</v>
      </c>
      <c r="B14" s="333" t="s">
        <v>1980</v>
      </c>
      <c r="C14" s="334" t="s">
        <v>1583</v>
      </c>
      <c r="D14" s="216">
        <v>5.0</v>
      </c>
      <c r="E14" s="267"/>
      <c r="F14" s="268" t="str">
        <f t="shared" si="3"/>
        <v/>
      </c>
      <c r="G14" s="199">
        <v>58000.0</v>
      </c>
      <c r="H14" s="243">
        <f t="shared" si="4"/>
        <v>290000</v>
      </c>
      <c r="I14" s="188">
        <v>60000.0</v>
      </c>
      <c r="J14" s="244">
        <f t="shared" si="5"/>
        <v>300000</v>
      </c>
      <c r="K14" s="245">
        <f t="shared" si="6"/>
        <v>10000</v>
      </c>
      <c r="L14" s="246">
        <f t="shared" si="7"/>
        <v>0.03448275862</v>
      </c>
      <c r="M14" s="196"/>
    </row>
    <row r="15" ht="15.75" customHeight="1">
      <c r="A15" s="159">
        <v>3.0</v>
      </c>
      <c r="B15" s="331" t="s">
        <v>1981</v>
      </c>
      <c r="C15" s="332" t="s">
        <v>1583</v>
      </c>
      <c r="D15" s="213">
        <v>2.0</v>
      </c>
      <c r="E15" s="267"/>
      <c r="F15" s="268" t="str">
        <f t="shared" si="3"/>
        <v/>
      </c>
      <c r="G15" s="199">
        <v>58000.0</v>
      </c>
      <c r="H15" s="243">
        <f t="shared" si="4"/>
        <v>116000</v>
      </c>
      <c r="I15" s="188">
        <v>60000.0</v>
      </c>
      <c r="J15" s="244">
        <f t="shared" si="5"/>
        <v>120000</v>
      </c>
      <c r="K15" s="245">
        <f t="shared" si="6"/>
        <v>4000</v>
      </c>
      <c r="L15" s="246">
        <f t="shared" si="7"/>
        <v>0.03448275862</v>
      </c>
      <c r="M15" s="192"/>
    </row>
    <row r="16" ht="15.75" customHeight="1">
      <c r="A16" s="164">
        <v>4.0</v>
      </c>
      <c r="B16" s="333" t="s">
        <v>1982</v>
      </c>
      <c r="C16" s="334" t="s">
        <v>1583</v>
      </c>
      <c r="D16" s="216">
        <v>5.0</v>
      </c>
      <c r="E16" s="267"/>
      <c r="F16" s="268" t="str">
        <f t="shared" si="3"/>
        <v/>
      </c>
      <c r="G16" s="186">
        <v>10000.0</v>
      </c>
      <c r="H16" s="243">
        <f t="shared" si="4"/>
        <v>50000</v>
      </c>
      <c r="I16" s="188">
        <v>12000.0</v>
      </c>
      <c r="J16" s="244">
        <f t="shared" si="5"/>
        <v>60000</v>
      </c>
      <c r="K16" s="245">
        <f t="shared" si="6"/>
        <v>10000</v>
      </c>
      <c r="L16" s="246">
        <f t="shared" si="7"/>
        <v>0.2</v>
      </c>
      <c r="M16" s="196"/>
    </row>
    <row r="17" ht="15.75" customHeight="1">
      <c r="A17" s="159">
        <v>5.0</v>
      </c>
      <c r="B17" s="331" t="s">
        <v>1873</v>
      </c>
      <c r="C17" s="332" t="s">
        <v>1904</v>
      </c>
      <c r="D17" s="213">
        <v>5.0</v>
      </c>
      <c r="E17" s="267"/>
      <c r="F17" s="268" t="str">
        <f t="shared" si="3"/>
        <v/>
      </c>
      <c r="G17" s="186">
        <v>15500.0</v>
      </c>
      <c r="H17" s="243">
        <f t="shared" si="4"/>
        <v>77500</v>
      </c>
      <c r="I17" s="188">
        <v>20000.0</v>
      </c>
      <c r="J17" s="244">
        <f t="shared" si="5"/>
        <v>100000</v>
      </c>
      <c r="K17" s="245">
        <f t="shared" si="6"/>
        <v>22500</v>
      </c>
      <c r="L17" s="246">
        <f t="shared" si="7"/>
        <v>0.2903225806</v>
      </c>
      <c r="M17" s="192"/>
    </row>
    <row r="18" ht="15.75" customHeight="1">
      <c r="A18" s="164">
        <v>6.0</v>
      </c>
      <c r="B18" s="333" t="s">
        <v>1983</v>
      </c>
      <c r="C18" s="334" t="s">
        <v>69</v>
      </c>
      <c r="D18" s="216">
        <v>4.0</v>
      </c>
      <c r="E18" s="267"/>
      <c r="F18" s="268" t="str">
        <f t="shared" si="3"/>
        <v/>
      </c>
      <c r="G18" s="186">
        <v>10000.0</v>
      </c>
      <c r="H18" s="243">
        <f t="shared" si="4"/>
        <v>40000</v>
      </c>
      <c r="I18" s="188">
        <v>15000.0</v>
      </c>
      <c r="J18" s="244">
        <f t="shared" si="5"/>
        <v>60000</v>
      </c>
      <c r="K18" s="245">
        <f t="shared" si="6"/>
        <v>20000</v>
      </c>
      <c r="L18" s="246">
        <f t="shared" si="7"/>
        <v>0.5</v>
      </c>
      <c r="M18" s="196"/>
    </row>
    <row r="19" ht="15.75" customHeight="1">
      <c r="A19" s="159">
        <v>7.0</v>
      </c>
      <c r="B19" s="331" t="s">
        <v>1984</v>
      </c>
      <c r="C19" s="332" t="s">
        <v>1583</v>
      </c>
      <c r="D19" s="213">
        <v>2.0</v>
      </c>
      <c r="E19" s="267"/>
      <c r="F19" s="268" t="str">
        <f t="shared" si="3"/>
        <v/>
      </c>
      <c r="G19" s="186">
        <v>96700.0</v>
      </c>
      <c r="H19" s="243">
        <f t="shared" si="4"/>
        <v>193400</v>
      </c>
      <c r="I19" s="188">
        <v>150000.0</v>
      </c>
      <c r="J19" s="244">
        <f t="shared" si="5"/>
        <v>300000</v>
      </c>
      <c r="K19" s="245">
        <f t="shared" si="6"/>
        <v>106600</v>
      </c>
      <c r="L19" s="246">
        <f t="shared" si="7"/>
        <v>0.5511892451</v>
      </c>
      <c r="M19" s="192"/>
    </row>
    <row r="20" ht="15.75" customHeight="1">
      <c r="A20" s="164">
        <v>8.0</v>
      </c>
      <c r="B20" s="333" t="s">
        <v>1985</v>
      </c>
      <c r="C20" s="334" t="s">
        <v>1583</v>
      </c>
      <c r="D20" s="216">
        <v>56.0</v>
      </c>
      <c r="E20" s="267"/>
      <c r="F20" s="268" t="str">
        <f t="shared" si="3"/>
        <v/>
      </c>
      <c r="G20" s="186">
        <v>26500.0</v>
      </c>
      <c r="H20" s="243">
        <f t="shared" si="4"/>
        <v>1484000</v>
      </c>
      <c r="I20" s="188">
        <v>30000.0</v>
      </c>
      <c r="J20" s="244">
        <f t="shared" si="5"/>
        <v>1680000</v>
      </c>
      <c r="K20" s="245">
        <f t="shared" si="6"/>
        <v>196000</v>
      </c>
      <c r="L20" s="246">
        <f t="shared" si="7"/>
        <v>0.1320754717</v>
      </c>
      <c r="M20" s="196"/>
    </row>
    <row r="21" ht="19.5" customHeight="1">
      <c r="A21" s="205" t="s">
        <v>1632</v>
      </c>
      <c r="B21" s="206"/>
      <c r="C21" s="206"/>
      <c r="D21" s="174"/>
      <c r="E21" s="207"/>
      <c r="F21" s="208">
        <f>SUMIF(F13:F20,"&lt;&gt;",F13:F20)</f>
        <v>0</v>
      </c>
      <c r="G21" s="207"/>
      <c r="H21" s="208">
        <f>SUMIF(H13:H20,"&lt;&gt;",H13:H20)</f>
        <v>3210900</v>
      </c>
      <c r="I21" s="207"/>
      <c r="J21" s="208">
        <f>SUMIF(J13:J20,"&lt;&gt;",J13:J20)</f>
        <v>3745000</v>
      </c>
      <c r="K21" s="208">
        <f t="shared" si="6"/>
        <v>534100</v>
      </c>
      <c r="L21" s="212">
        <f>IF(K21&lt;&gt;"",IF(H21&lt;&gt;"",IF(H21&lt;&gt;0,K21/H21,""),IF(F21&lt;&gt;"",IF(F21&lt;&gt;0,K21/F21,""),"")),"")</f>
        <v>0.1663396555</v>
      </c>
      <c r="M21" s="207"/>
    </row>
    <row r="22" ht="15.75" customHeight="1"/>
    <row r="23" ht="21.75" customHeight="1">
      <c r="A23" s="225" t="s">
        <v>1986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ht="19.5" customHeight="1">
      <c r="A24" s="172" t="s">
        <v>1509</v>
      </c>
      <c r="B24" s="172" t="s">
        <v>1510</v>
      </c>
      <c r="C24" s="172" t="s">
        <v>1511</v>
      </c>
      <c r="D24" s="172" t="s">
        <v>1614</v>
      </c>
      <c r="E24" s="173" t="s">
        <v>1615</v>
      </c>
      <c r="F24" s="174"/>
      <c r="G24" s="175" t="s">
        <v>1616</v>
      </c>
      <c r="H24" s="174"/>
      <c r="I24" s="176" t="s">
        <v>1617</v>
      </c>
      <c r="J24" s="174"/>
      <c r="K24" s="177" t="s">
        <v>1618</v>
      </c>
      <c r="L24" s="174"/>
      <c r="M24" s="172" t="s">
        <v>1619</v>
      </c>
    </row>
    <row r="25" ht="27.75" customHeight="1">
      <c r="A25" s="178" t="s">
        <v>1509</v>
      </c>
      <c r="B25" s="178" t="s">
        <v>1510</v>
      </c>
      <c r="C25" s="178" t="s">
        <v>1511</v>
      </c>
      <c r="D25" s="178" t="s">
        <v>1614</v>
      </c>
      <c r="E25" s="179" t="s">
        <v>1620</v>
      </c>
      <c r="F25" s="179" t="s">
        <v>1621</v>
      </c>
      <c r="G25" s="180" t="s">
        <v>1622</v>
      </c>
      <c r="H25" s="180" t="s">
        <v>1623</v>
      </c>
      <c r="I25" s="181" t="s">
        <v>1624</v>
      </c>
      <c r="J25" s="181" t="s">
        <v>1625</v>
      </c>
      <c r="K25" s="182" t="s">
        <v>1626</v>
      </c>
      <c r="L25" s="182" t="s">
        <v>1627</v>
      </c>
      <c r="M25" s="178" t="s">
        <v>1619</v>
      </c>
    </row>
    <row r="26" ht="15.75" customHeight="1">
      <c r="A26" s="159">
        <v>1.0</v>
      </c>
      <c r="B26" s="226" t="s">
        <v>1889</v>
      </c>
      <c r="C26" s="223" t="s">
        <v>1176</v>
      </c>
      <c r="D26" s="227">
        <v>2.0</v>
      </c>
      <c r="E26" s="184"/>
      <c r="F26" s="185" t="str">
        <f t="shared" ref="F26:F27" si="8">IF(E26&lt;&gt;"",D26*E26,"")</f>
        <v/>
      </c>
      <c r="G26" s="221">
        <v>255000.0</v>
      </c>
      <c r="H26" s="187">
        <f t="shared" ref="H26:H27" si="9">IF(G26&lt;&gt;"",D26*G26,"")</f>
        <v>510000</v>
      </c>
      <c r="I26" s="222">
        <v>295000.0</v>
      </c>
      <c r="J26" s="215">
        <f t="shared" ref="J26:J27" si="10">IF(I26&lt;&gt;"",D26*I26,"")</f>
        <v>590000</v>
      </c>
      <c r="K26" s="190">
        <f t="shared" ref="K26:K28" si="11">IF(J26&lt;&gt;"",IF(H26&lt;&gt;"",J26-H26,IF(F26&lt;&gt;"",J26-F26,"")),"")</f>
        <v>80000</v>
      </c>
      <c r="L26" s="191">
        <f t="shared" ref="L26:L28" si="12">IF(K26&lt;&gt;"",IF(H26&lt;&gt;"",IF(H26&lt;&gt;0,K26/H26,""),IF(F26&lt;&gt;"",IF(F26&lt;&gt;0,K26/F26,""),"")),"")</f>
        <v>0.1568627451</v>
      </c>
      <c r="M26" s="192"/>
    </row>
    <row r="27" ht="15.75" customHeight="1">
      <c r="A27" s="164">
        <v>2.0</v>
      </c>
      <c r="B27" s="197" t="s">
        <v>1737</v>
      </c>
      <c r="C27" s="220" t="s">
        <v>1176</v>
      </c>
      <c r="D27" s="198">
        <v>2.0</v>
      </c>
      <c r="E27" s="184"/>
      <c r="F27" s="185" t="str">
        <f t="shared" si="8"/>
        <v/>
      </c>
      <c r="G27" s="221">
        <v>1125000.0</v>
      </c>
      <c r="H27" s="187">
        <f t="shared" si="9"/>
        <v>2250000</v>
      </c>
      <c r="I27" s="222">
        <v>1250000.0</v>
      </c>
      <c r="J27" s="215">
        <f t="shared" si="10"/>
        <v>2500000</v>
      </c>
      <c r="K27" s="194">
        <f t="shared" si="11"/>
        <v>250000</v>
      </c>
      <c r="L27" s="195">
        <f t="shared" si="12"/>
        <v>0.1111111111</v>
      </c>
      <c r="M27" s="196"/>
    </row>
    <row r="28" ht="19.5" customHeight="1">
      <c r="A28" s="205" t="s">
        <v>1635</v>
      </c>
      <c r="B28" s="206"/>
      <c r="C28" s="206"/>
      <c r="D28" s="174"/>
      <c r="E28" s="207"/>
      <c r="F28" s="208">
        <f>SUMIF(F26:F27,"&lt;&gt;",F26:F27)</f>
        <v>0</v>
      </c>
      <c r="G28" s="207"/>
      <c r="H28" s="208">
        <f>SUMIF(H26:H27,"&lt;&gt;",H26:H27)</f>
        <v>2760000</v>
      </c>
      <c r="I28" s="207"/>
      <c r="J28" s="208">
        <f>SUMIF(J26:J27,"&lt;&gt;",J26:J27)</f>
        <v>3090000</v>
      </c>
      <c r="K28" s="208">
        <f t="shared" si="11"/>
        <v>330000</v>
      </c>
      <c r="L28" s="212">
        <f t="shared" si="12"/>
        <v>0.1195652174</v>
      </c>
      <c r="M28" s="207"/>
    </row>
    <row r="29" ht="15.75" customHeight="1"/>
    <row r="30" ht="15.75" customHeight="1">
      <c r="A30" s="225" t="s">
        <v>1633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ht="15.75" customHeight="1">
      <c r="A31" s="172" t="s">
        <v>1509</v>
      </c>
      <c r="B31" s="172" t="s">
        <v>1510</v>
      </c>
      <c r="C31" s="172" t="s">
        <v>1511</v>
      </c>
      <c r="D31" s="172" t="s">
        <v>1614</v>
      </c>
      <c r="E31" s="173" t="s">
        <v>1615</v>
      </c>
      <c r="F31" s="174"/>
      <c r="G31" s="175" t="s">
        <v>1616</v>
      </c>
      <c r="H31" s="174"/>
      <c r="I31" s="176" t="s">
        <v>1617</v>
      </c>
      <c r="J31" s="174"/>
      <c r="K31" s="177" t="s">
        <v>1618</v>
      </c>
      <c r="L31" s="174"/>
      <c r="M31" s="172" t="s">
        <v>1619</v>
      </c>
    </row>
    <row r="32" ht="15.75" customHeight="1">
      <c r="A32" s="178" t="s">
        <v>1509</v>
      </c>
      <c r="B32" s="178" t="s">
        <v>1510</v>
      </c>
      <c r="C32" s="178" t="s">
        <v>1511</v>
      </c>
      <c r="D32" s="178" t="s">
        <v>1614</v>
      </c>
      <c r="E32" s="179" t="s">
        <v>1620</v>
      </c>
      <c r="F32" s="179" t="s">
        <v>1621</v>
      </c>
      <c r="G32" s="180" t="s">
        <v>1622</v>
      </c>
      <c r="H32" s="180" t="s">
        <v>1623</v>
      </c>
      <c r="I32" s="181" t="s">
        <v>1624</v>
      </c>
      <c r="J32" s="181" t="s">
        <v>1625</v>
      </c>
      <c r="K32" s="182" t="s">
        <v>1626</v>
      </c>
      <c r="L32" s="182" t="s">
        <v>1627</v>
      </c>
      <c r="M32" s="178" t="s">
        <v>1619</v>
      </c>
    </row>
    <row r="33" ht="15.75" customHeight="1">
      <c r="A33" s="159">
        <v>1.0</v>
      </c>
      <c r="B33" s="226" t="s">
        <v>1987</v>
      </c>
      <c r="C33" s="223" t="s">
        <v>1176</v>
      </c>
      <c r="D33" s="227">
        <v>2.0</v>
      </c>
      <c r="E33" s="184"/>
      <c r="F33" s="185" t="str">
        <f t="shared" ref="F33:F34" si="13">IF(E33&lt;&gt;"",D33*E33,"")</f>
        <v/>
      </c>
      <c r="G33" s="221">
        <v>30000.0</v>
      </c>
      <c r="H33" s="187">
        <f t="shared" ref="H33:H34" si="14">IF(G33&lt;&gt;"",D33*G33,"")</f>
        <v>60000</v>
      </c>
      <c r="I33" s="222">
        <v>40000.0</v>
      </c>
      <c r="J33" s="215">
        <f t="shared" ref="J33:J34" si="15">IF(I33&lt;&gt;"",D33*I33,"")</f>
        <v>80000</v>
      </c>
      <c r="K33" s="190">
        <f t="shared" ref="K33:K35" si="16">IF(J33&lt;&gt;"",IF(H33&lt;&gt;"",J33-H33,IF(F33&lt;&gt;"",J33-F33,"")),"")</f>
        <v>20000</v>
      </c>
      <c r="L33" s="191">
        <f t="shared" ref="L33:L35" si="17">IF(K33&lt;&gt;"",IF(H33&lt;&gt;"",IF(H33&lt;&gt;0,K33/H33,""),IF(F33&lt;&gt;"",IF(F33&lt;&gt;0,K33/F33,""),"")),"")</f>
        <v>0.3333333333</v>
      </c>
      <c r="M33" s="192"/>
    </row>
    <row r="34" ht="15.75" customHeight="1">
      <c r="A34" s="220">
        <v>1.0</v>
      </c>
      <c r="B34" s="226" t="s">
        <v>1988</v>
      </c>
      <c r="C34" s="220" t="s">
        <v>1176</v>
      </c>
      <c r="D34" s="198">
        <v>2.0</v>
      </c>
      <c r="E34" s="184"/>
      <c r="F34" s="185" t="str">
        <f t="shared" si="13"/>
        <v/>
      </c>
      <c r="G34" s="221">
        <v>15000.0</v>
      </c>
      <c r="H34" s="187">
        <f t="shared" si="14"/>
        <v>30000</v>
      </c>
      <c r="I34" s="222">
        <v>20000.0</v>
      </c>
      <c r="J34" s="219">
        <f t="shared" si="15"/>
        <v>40000</v>
      </c>
      <c r="K34" s="194">
        <f t="shared" si="16"/>
        <v>10000</v>
      </c>
      <c r="L34" s="195">
        <f t="shared" si="17"/>
        <v>0.3333333333</v>
      </c>
      <c r="M34" s="196"/>
    </row>
    <row r="35" ht="15.75" customHeight="1">
      <c r="A35" s="205" t="s">
        <v>1635</v>
      </c>
      <c r="B35" s="206"/>
      <c r="C35" s="206"/>
      <c r="D35" s="174"/>
      <c r="E35" s="207"/>
      <c r="F35" s="208">
        <f>SUMIF(F33:F34,"&lt;&gt;",F33:F34)</f>
        <v>0</v>
      </c>
      <c r="G35" s="207"/>
      <c r="H35" s="208">
        <f>SUMIF(H33:H34,"&lt;&gt;",H33:H34)</f>
        <v>90000</v>
      </c>
      <c r="I35" s="209"/>
      <c r="J35" s="210">
        <f>SUMIF(J33:J34,"&lt;&gt;",J33:J34)</f>
        <v>120000</v>
      </c>
      <c r="K35" s="211">
        <f t="shared" si="16"/>
        <v>30000</v>
      </c>
      <c r="L35" s="212">
        <f t="shared" si="17"/>
        <v>0.3333333333</v>
      </c>
      <c r="M35" s="207"/>
    </row>
    <row r="36" ht="15.75" customHeight="1"/>
    <row r="37" ht="15.75" customHeight="1">
      <c r="A37" s="323"/>
      <c r="B37" s="323"/>
      <c r="C37" s="228" t="s">
        <v>1639</v>
      </c>
      <c r="D37" s="155"/>
      <c r="E37" s="155"/>
      <c r="F37" s="155"/>
      <c r="G37" s="155"/>
      <c r="H37" s="155"/>
      <c r="I37" s="155"/>
      <c r="J37" s="155"/>
      <c r="K37" s="155"/>
      <c r="L37" s="155"/>
      <c r="M37" s="323"/>
    </row>
    <row r="38" ht="15.75" customHeight="1">
      <c r="A38" s="229" t="s">
        <v>1509</v>
      </c>
      <c r="B38" s="229" t="s">
        <v>1510</v>
      </c>
      <c r="C38" s="302" t="s">
        <v>1511</v>
      </c>
      <c r="D38" s="302" t="s">
        <v>1614</v>
      </c>
      <c r="E38" s="303" t="s">
        <v>1615</v>
      </c>
      <c r="F38" s="304"/>
      <c r="G38" s="305" t="s">
        <v>1616</v>
      </c>
      <c r="H38" s="304"/>
      <c r="I38" s="306" t="s">
        <v>1617</v>
      </c>
      <c r="J38" s="304"/>
      <c r="K38" s="307" t="s">
        <v>1618</v>
      </c>
      <c r="L38" s="304"/>
      <c r="M38" s="302" t="s">
        <v>1619</v>
      </c>
    </row>
    <row r="39" ht="15.75" customHeight="1">
      <c r="A39" s="234" t="s">
        <v>1509</v>
      </c>
      <c r="B39" s="234" t="s">
        <v>1510</v>
      </c>
      <c r="C39" s="234" t="s">
        <v>1511</v>
      </c>
      <c r="D39" s="234" t="s">
        <v>1614</v>
      </c>
      <c r="E39" s="235" t="s">
        <v>1620</v>
      </c>
      <c r="F39" s="235" t="s">
        <v>1621</v>
      </c>
      <c r="G39" s="236" t="s">
        <v>1622</v>
      </c>
      <c r="H39" s="236" t="s">
        <v>1623</v>
      </c>
      <c r="I39" s="237" t="s">
        <v>1624</v>
      </c>
      <c r="J39" s="237" t="s">
        <v>1625</v>
      </c>
      <c r="K39" s="238" t="s">
        <v>1626</v>
      </c>
      <c r="L39" s="238" t="s">
        <v>1627</v>
      </c>
      <c r="M39" s="234" t="s">
        <v>1619</v>
      </c>
    </row>
    <row r="40" ht="15.75" customHeight="1">
      <c r="A40" s="248">
        <v>1.0</v>
      </c>
      <c r="B40" s="360" t="s">
        <v>1989</v>
      </c>
      <c r="C40" s="239" t="s">
        <v>1583</v>
      </c>
      <c r="D40" s="213">
        <v>30.0</v>
      </c>
      <c r="E40" s="267"/>
      <c r="F40" s="268" t="str">
        <f t="shared" ref="F40:F41" si="18">IF(E40&lt;&gt;"",D40*E40,"")</f>
        <v/>
      </c>
      <c r="G40" s="186">
        <v>13000.0</v>
      </c>
      <c r="H40" s="243">
        <f t="shared" ref="H40:H41" si="19">IF(G40&lt;&gt;"",D40*G40,"")</f>
        <v>390000</v>
      </c>
      <c r="I40" s="188">
        <v>17500.0</v>
      </c>
      <c r="J40" s="244">
        <f t="shared" ref="J40:J41" si="20">IF(I40&lt;&gt;"",D40*I40,"")</f>
        <v>525000</v>
      </c>
      <c r="K40" s="245">
        <f t="shared" ref="K40:K41" si="21">IF(J40&lt;&gt;"",IF(H40&lt;&gt;"",J40-H40,IF(F40&lt;&gt;"",J40-F40,"")),"")</f>
        <v>135000</v>
      </c>
      <c r="L40" s="246">
        <f t="shared" ref="L40:L41" si="22">IF(K40&lt;&gt;"",IF(H40&lt;&gt;"",IF(H40&lt;&gt;0,K40/H40,""),IF(F40&lt;&gt;"",IF(F40&lt;&gt;0,K40/F40,""),"")),"")</f>
        <v>0.3461538462</v>
      </c>
      <c r="M40" s="247"/>
    </row>
    <row r="41" ht="15.75" customHeight="1">
      <c r="A41" s="239">
        <v>2.0</v>
      </c>
      <c r="B41" s="361" t="s">
        <v>1990</v>
      </c>
      <c r="C41" s="239" t="s">
        <v>261</v>
      </c>
      <c r="D41" s="213">
        <v>1.0</v>
      </c>
      <c r="E41" s="267"/>
      <c r="F41" s="268" t="str">
        <f t="shared" si="18"/>
        <v/>
      </c>
      <c r="G41" s="186">
        <v>1000000.0</v>
      </c>
      <c r="H41" s="243">
        <f t="shared" si="19"/>
        <v>1000000</v>
      </c>
      <c r="I41" s="188">
        <v>1200000.0</v>
      </c>
      <c r="J41" s="244">
        <f t="shared" si="20"/>
        <v>1200000</v>
      </c>
      <c r="K41" s="245">
        <f t="shared" si="21"/>
        <v>200000</v>
      </c>
      <c r="L41" s="246">
        <f t="shared" si="22"/>
        <v>0.2</v>
      </c>
      <c r="M41" s="247"/>
    </row>
    <row r="42" ht="21.0" customHeight="1">
      <c r="A42" s="362" t="s">
        <v>10</v>
      </c>
      <c r="B42" s="206"/>
      <c r="C42" s="206"/>
      <c r="D42" s="174"/>
      <c r="E42" s="257"/>
      <c r="F42" s="258">
        <f>SUMIF(F40:F41,"&lt;&gt;",F40:F41)</f>
        <v>0</v>
      </c>
      <c r="G42" s="257"/>
      <c r="H42" s="258">
        <f>SUMIF(H40:H41,"&lt;&gt;",H40:H41)</f>
        <v>1390000</v>
      </c>
      <c r="I42" s="257"/>
      <c r="J42" s="258">
        <f>SUMIF(J40:J41,"&lt;&gt;",J40:J41)</f>
        <v>1725000</v>
      </c>
      <c r="K42" s="257"/>
      <c r="L42" s="257"/>
      <c r="M42" s="257"/>
    </row>
    <row r="43" ht="15.75" customHeight="1"/>
    <row r="44" ht="15.75" customHeight="1">
      <c r="A44" s="323"/>
      <c r="B44" s="323"/>
      <c r="C44" s="228" t="s">
        <v>1647</v>
      </c>
      <c r="D44" s="155"/>
      <c r="E44" s="155"/>
      <c r="F44" s="155"/>
      <c r="G44" s="155"/>
      <c r="H44" s="155"/>
      <c r="I44" s="155"/>
      <c r="J44" s="155"/>
      <c r="K44" s="155"/>
      <c r="L44" s="155"/>
      <c r="M44" s="323"/>
    </row>
    <row r="45" ht="15.75" customHeight="1">
      <c r="A45" s="229" t="s">
        <v>1509</v>
      </c>
      <c r="B45" s="229" t="s">
        <v>1510</v>
      </c>
      <c r="C45" s="302" t="s">
        <v>1511</v>
      </c>
      <c r="D45" s="302" t="s">
        <v>1614</v>
      </c>
      <c r="E45" s="303" t="s">
        <v>1615</v>
      </c>
      <c r="F45" s="304"/>
      <c r="G45" s="305" t="s">
        <v>1616</v>
      </c>
      <c r="H45" s="304"/>
      <c r="I45" s="306" t="s">
        <v>1617</v>
      </c>
      <c r="J45" s="304"/>
      <c r="K45" s="307" t="s">
        <v>1618</v>
      </c>
      <c r="L45" s="304"/>
      <c r="M45" s="302" t="s">
        <v>1619</v>
      </c>
    </row>
    <row r="46" ht="15.75" customHeight="1">
      <c r="A46" s="234" t="s">
        <v>1509</v>
      </c>
      <c r="B46" s="234" t="s">
        <v>1510</v>
      </c>
      <c r="C46" s="234" t="s">
        <v>1511</v>
      </c>
      <c r="D46" s="234" t="s">
        <v>1614</v>
      </c>
      <c r="E46" s="235" t="s">
        <v>1620</v>
      </c>
      <c r="F46" s="235" t="s">
        <v>1621</v>
      </c>
      <c r="G46" s="236" t="s">
        <v>1622</v>
      </c>
      <c r="H46" s="236" t="s">
        <v>1623</v>
      </c>
      <c r="I46" s="237" t="s">
        <v>1624</v>
      </c>
      <c r="J46" s="237" t="s">
        <v>1625</v>
      </c>
      <c r="K46" s="238" t="s">
        <v>1626</v>
      </c>
      <c r="L46" s="238" t="s">
        <v>1627</v>
      </c>
      <c r="M46" s="234" t="s">
        <v>1619</v>
      </c>
    </row>
    <row r="47" ht="15.75" customHeight="1">
      <c r="A47" s="248">
        <v>1.0</v>
      </c>
      <c r="B47" s="249" t="s">
        <v>1991</v>
      </c>
      <c r="C47" s="239" t="s">
        <v>1676</v>
      </c>
      <c r="D47" s="213">
        <v>2.0</v>
      </c>
      <c r="E47" s="267"/>
      <c r="F47" s="268" t="str">
        <f t="shared" ref="F47:F55" si="23">IF(E47&lt;&gt;"",D47*E47,"")</f>
        <v/>
      </c>
      <c r="G47" s="186">
        <v>53000.0</v>
      </c>
      <c r="H47" s="243">
        <f t="shared" ref="H47:H55" si="24">IF(G47&lt;&gt;"",D47*G47,"")</f>
        <v>106000</v>
      </c>
      <c r="I47" s="188">
        <v>75000.0</v>
      </c>
      <c r="J47" s="244">
        <f t="shared" ref="J47:J55" si="25">IF(I47&lt;&gt;"",D47*I47,"")</f>
        <v>150000</v>
      </c>
      <c r="K47" s="245">
        <f t="shared" ref="K47:K56" si="26">IF(J47&lt;&gt;"",IF(H47&lt;&gt;"",J47-H47,IF(F47&lt;&gt;"",J47-F47,"")),"")</f>
        <v>44000</v>
      </c>
      <c r="L47" s="246">
        <f t="shared" ref="L47:L56" si="27">IF(K47&lt;&gt;"",IF(H47&lt;&gt;"",IF(H47&lt;&gt;0,K47/H47,""),IF(F47&lt;&gt;"",IF(F47&lt;&gt;0,K47/F47,""),"")),"")</f>
        <v>0.4150943396</v>
      </c>
      <c r="M47" s="247"/>
    </row>
    <row r="48" ht="15.75" customHeight="1">
      <c r="A48" s="239">
        <v>2.0</v>
      </c>
      <c r="B48" s="240" t="s">
        <v>1992</v>
      </c>
      <c r="C48" s="239" t="s">
        <v>1583</v>
      </c>
      <c r="D48" s="213">
        <v>6.0</v>
      </c>
      <c r="E48" s="267"/>
      <c r="F48" s="268" t="str">
        <f t="shared" si="23"/>
        <v/>
      </c>
      <c r="G48" s="186">
        <v>27000.0</v>
      </c>
      <c r="H48" s="243">
        <f t="shared" si="24"/>
        <v>162000</v>
      </c>
      <c r="I48" s="188">
        <v>35000.0</v>
      </c>
      <c r="J48" s="244">
        <f t="shared" si="25"/>
        <v>210000</v>
      </c>
      <c r="K48" s="245">
        <f t="shared" si="26"/>
        <v>48000</v>
      </c>
      <c r="L48" s="246">
        <f t="shared" si="27"/>
        <v>0.2962962963</v>
      </c>
      <c r="M48" s="247"/>
    </row>
    <row r="49" ht="15.75" customHeight="1">
      <c r="A49" s="248">
        <v>3.0</v>
      </c>
      <c r="B49" s="249" t="s">
        <v>1993</v>
      </c>
      <c r="C49" s="239" t="s">
        <v>1676</v>
      </c>
      <c r="D49" s="213">
        <v>2.0</v>
      </c>
      <c r="E49" s="267"/>
      <c r="F49" s="268" t="str">
        <f t="shared" si="23"/>
        <v/>
      </c>
      <c r="G49" s="186">
        <v>107000.0</v>
      </c>
      <c r="H49" s="243">
        <f t="shared" si="24"/>
        <v>214000</v>
      </c>
      <c r="I49" s="188">
        <v>125000.0</v>
      </c>
      <c r="J49" s="244">
        <f t="shared" si="25"/>
        <v>250000</v>
      </c>
      <c r="K49" s="245">
        <f t="shared" si="26"/>
        <v>36000</v>
      </c>
      <c r="L49" s="246">
        <f t="shared" si="27"/>
        <v>0.1682242991</v>
      </c>
      <c r="M49" s="247"/>
    </row>
    <row r="50" ht="15.75" customHeight="1">
      <c r="A50" s="239">
        <v>4.0</v>
      </c>
      <c r="B50" s="240" t="s">
        <v>1994</v>
      </c>
      <c r="C50" s="239" t="s">
        <v>1583</v>
      </c>
      <c r="D50" s="213">
        <v>8.0</v>
      </c>
      <c r="E50" s="267"/>
      <c r="F50" s="268" t="str">
        <f t="shared" si="23"/>
        <v/>
      </c>
      <c r="G50" s="186">
        <v>9000.0</v>
      </c>
      <c r="H50" s="243">
        <f t="shared" si="24"/>
        <v>72000</v>
      </c>
      <c r="I50" s="188">
        <v>13000.0</v>
      </c>
      <c r="J50" s="244">
        <f t="shared" si="25"/>
        <v>104000</v>
      </c>
      <c r="K50" s="245">
        <f t="shared" si="26"/>
        <v>32000</v>
      </c>
      <c r="L50" s="246">
        <f t="shared" si="27"/>
        <v>0.4444444444</v>
      </c>
      <c r="M50" s="247"/>
    </row>
    <row r="51" ht="15.75" customHeight="1">
      <c r="A51" s="248">
        <v>5.0</v>
      </c>
      <c r="B51" s="249" t="s">
        <v>1995</v>
      </c>
      <c r="C51" s="239" t="s">
        <v>1583</v>
      </c>
      <c r="D51" s="213">
        <v>2.0</v>
      </c>
      <c r="E51" s="267"/>
      <c r="F51" s="268" t="str">
        <f t="shared" si="23"/>
        <v/>
      </c>
      <c r="G51" s="186">
        <v>9000.0</v>
      </c>
      <c r="H51" s="243">
        <f t="shared" si="24"/>
        <v>18000</v>
      </c>
      <c r="I51" s="188">
        <v>13000.0</v>
      </c>
      <c r="J51" s="244">
        <f t="shared" si="25"/>
        <v>26000</v>
      </c>
      <c r="K51" s="245">
        <f t="shared" si="26"/>
        <v>8000</v>
      </c>
      <c r="L51" s="246">
        <f t="shared" si="27"/>
        <v>0.4444444444</v>
      </c>
      <c r="M51" s="247"/>
    </row>
    <row r="52" ht="15.75" customHeight="1">
      <c r="A52" s="239">
        <v>6.0</v>
      </c>
      <c r="B52" s="240" t="s">
        <v>1873</v>
      </c>
      <c r="C52" s="239" t="s">
        <v>1904</v>
      </c>
      <c r="D52" s="213">
        <v>5.0</v>
      </c>
      <c r="E52" s="267"/>
      <c r="F52" s="268" t="str">
        <f t="shared" si="23"/>
        <v/>
      </c>
      <c r="G52" s="186">
        <v>16000.0</v>
      </c>
      <c r="H52" s="243">
        <f t="shared" si="24"/>
        <v>80000</v>
      </c>
      <c r="I52" s="188">
        <v>20000.0</v>
      </c>
      <c r="J52" s="244">
        <f t="shared" si="25"/>
        <v>100000</v>
      </c>
      <c r="K52" s="245">
        <f t="shared" si="26"/>
        <v>20000</v>
      </c>
      <c r="L52" s="246">
        <f t="shared" si="27"/>
        <v>0.25</v>
      </c>
      <c r="M52" s="247"/>
    </row>
    <row r="53" ht="15.75" customHeight="1">
      <c r="A53" s="248">
        <v>7.0</v>
      </c>
      <c r="B53" s="249" t="s">
        <v>1874</v>
      </c>
      <c r="C53" s="239" t="s">
        <v>1583</v>
      </c>
      <c r="D53" s="213">
        <v>5.0</v>
      </c>
      <c r="E53" s="267"/>
      <c r="F53" s="268" t="str">
        <f t="shared" si="23"/>
        <v/>
      </c>
      <c r="G53" s="186">
        <v>9000.0</v>
      </c>
      <c r="H53" s="243">
        <f t="shared" si="24"/>
        <v>45000</v>
      </c>
      <c r="I53" s="188">
        <v>12000.0</v>
      </c>
      <c r="J53" s="244">
        <f t="shared" si="25"/>
        <v>60000</v>
      </c>
      <c r="K53" s="245">
        <f t="shared" si="26"/>
        <v>15000</v>
      </c>
      <c r="L53" s="246">
        <f t="shared" si="27"/>
        <v>0.3333333333</v>
      </c>
      <c r="M53" s="247"/>
    </row>
    <row r="54" ht="15.75" customHeight="1">
      <c r="A54" s="239">
        <v>8.0</v>
      </c>
      <c r="B54" s="240" t="s">
        <v>1996</v>
      </c>
      <c r="C54" s="239" t="s">
        <v>1583</v>
      </c>
      <c r="D54" s="213">
        <v>5.0</v>
      </c>
      <c r="E54" s="267"/>
      <c r="F54" s="268" t="str">
        <f t="shared" si="23"/>
        <v/>
      </c>
      <c r="G54" s="186">
        <v>85000.0</v>
      </c>
      <c r="H54" s="243">
        <f t="shared" si="24"/>
        <v>425000</v>
      </c>
      <c r="I54" s="188">
        <v>95000.0</v>
      </c>
      <c r="J54" s="244">
        <f t="shared" si="25"/>
        <v>475000</v>
      </c>
      <c r="K54" s="245">
        <f t="shared" si="26"/>
        <v>50000</v>
      </c>
      <c r="L54" s="246">
        <f t="shared" si="27"/>
        <v>0.1176470588</v>
      </c>
      <c r="M54" s="247"/>
    </row>
    <row r="55" ht="15.75" customHeight="1">
      <c r="A55" s="248">
        <v>9.0</v>
      </c>
      <c r="B55" s="249" t="s">
        <v>1997</v>
      </c>
      <c r="C55" s="239" t="s">
        <v>1583</v>
      </c>
      <c r="D55" s="213">
        <v>5.0</v>
      </c>
      <c r="E55" s="267"/>
      <c r="F55" s="268" t="str">
        <f t="shared" si="23"/>
        <v/>
      </c>
      <c r="G55" s="186">
        <v>8500.0</v>
      </c>
      <c r="H55" s="243">
        <f t="shared" si="24"/>
        <v>42500</v>
      </c>
      <c r="I55" s="188">
        <v>10000.0</v>
      </c>
      <c r="J55" s="264">
        <f t="shared" si="25"/>
        <v>50000</v>
      </c>
      <c r="K55" s="245">
        <f t="shared" si="26"/>
        <v>7500</v>
      </c>
      <c r="L55" s="246">
        <f t="shared" si="27"/>
        <v>0.1764705882</v>
      </c>
      <c r="M55" s="247"/>
    </row>
    <row r="56" ht="15.75" customHeight="1">
      <c r="A56" s="272" t="s">
        <v>1998</v>
      </c>
      <c r="B56" s="206"/>
      <c r="C56" s="206"/>
      <c r="D56" s="174"/>
      <c r="E56" s="257"/>
      <c r="F56" s="258">
        <f>SUMIF(F47:F55,"&lt;&gt;",F47:F55)</f>
        <v>0</v>
      </c>
      <c r="G56" s="258"/>
      <c r="H56" s="258">
        <f>SUMIF(H47:H55,"&lt;&gt;",H47:H55)</f>
        <v>1164500</v>
      </c>
      <c r="I56" s="346"/>
      <c r="J56" s="260">
        <f>SUMIF(J47:J55,"&lt;&gt;",J47:J55)</f>
        <v>1425000</v>
      </c>
      <c r="K56" s="261">
        <f t="shared" si="26"/>
        <v>260500</v>
      </c>
      <c r="L56" s="262">
        <f t="shared" si="27"/>
        <v>0.2237011593</v>
      </c>
      <c r="M56" s="257"/>
    </row>
    <row r="57" ht="15.75" customHeight="1">
      <c r="A57" s="266"/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</row>
    <row r="58" ht="15.75" customHeight="1">
      <c r="A58" s="266"/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</row>
    <row r="59" ht="15.75" customHeight="1">
      <c r="A59" s="323"/>
      <c r="B59" s="323"/>
      <c r="C59" s="228" t="s">
        <v>1654</v>
      </c>
      <c r="D59" s="155"/>
      <c r="E59" s="155"/>
      <c r="F59" s="155"/>
      <c r="G59" s="155"/>
      <c r="H59" s="155"/>
      <c r="I59" s="155"/>
      <c r="J59" s="155"/>
      <c r="K59" s="155"/>
      <c r="L59" s="155"/>
      <c r="M59" s="323"/>
    </row>
    <row r="60" ht="15.75" customHeight="1">
      <c r="A60" s="229" t="s">
        <v>1509</v>
      </c>
      <c r="B60" s="229" t="s">
        <v>1510</v>
      </c>
      <c r="C60" s="302" t="s">
        <v>1511</v>
      </c>
      <c r="D60" s="302" t="s">
        <v>1614</v>
      </c>
      <c r="E60" s="303" t="s">
        <v>1615</v>
      </c>
      <c r="F60" s="304"/>
      <c r="G60" s="305" t="s">
        <v>1616</v>
      </c>
      <c r="H60" s="304"/>
      <c r="I60" s="306" t="s">
        <v>1617</v>
      </c>
      <c r="J60" s="304"/>
      <c r="K60" s="307" t="s">
        <v>1618</v>
      </c>
      <c r="L60" s="304"/>
      <c r="M60" s="302" t="s">
        <v>1619</v>
      </c>
    </row>
    <row r="61" ht="15.75" customHeight="1">
      <c r="A61" s="234" t="s">
        <v>1509</v>
      </c>
      <c r="B61" s="234" t="s">
        <v>1510</v>
      </c>
      <c r="C61" s="234" t="s">
        <v>1511</v>
      </c>
      <c r="D61" s="234" t="s">
        <v>1614</v>
      </c>
      <c r="E61" s="235" t="s">
        <v>1620</v>
      </c>
      <c r="F61" s="235" t="s">
        <v>1621</v>
      </c>
      <c r="G61" s="236" t="s">
        <v>1622</v>
      </c>
      <c r="H61" s="236" t="s">
        <v>1623</v>
      </c>
      <c r="I61" s="237" t="s">
        <v>1624</v>
      </c>
      <c r="J61" s="237" t="s">
        <v>1625</v>
      </c>
      <c r="K61" s="238" t="s">
        <v>1626</v>
      </c>
      <c r="L61" s="238" t="s">
        <v>1627</v>
      </c>
      <c r="M61" s="234" t="s">
        <v>1619</v>
      </c>
    </row>
    <row r="62" ht="15.75" customHeight="1">
      <c r="A62" s="248">
        <v>1.0</v>
      </c>
      <c r="B62" s="249" t="s">
        <v>1989</v>
      </c>
      <c r="C62" s="239" t="s">
        <v>1583</v>
      </c>
      <c r="D62" s="213">
        <v>20.0</v>
      </c>
      <c r="E62" s="267"/>
      <c r="F62" s="268" t="str">
        <f t="shared" ref="F62:F63" si="28">IF(E62&lt;&gt;"",D62*E62,"")</f>
        <v/>
      </c>
      <c r="G62" s="186">
        <v>13000.0</v>
      </c>
      <c r="H62" s="243">
        <f t="shared" ref="H62:H63" si="29">IF(G62&lt;&gt;"",D62*G62,"")</f>
        <v>260000</v>
      </c>
      <c r="I62" s="188">
        <v>17500.0</v>
      </c>
      <c r="J62" s="244">
        <f t="shared" ref="J62:J63" si="30">IF(I62&lt;&gt;"",D62*I62,"")</f>
        <v>350000</v>
      </c>
      <c r="K62" s="245">
        <f t="shared" ref="K62:K64" si="31">IF(J62&lt;&gt;"",IF(H62&lt;&gt;"",J62-H62,IF(F62&lt;&gt;"",J62-F62,"")),"")</f>
        <v>90000</v>
      </c>
      <c r="L62" s="246">
        <f t="shared" ref="L62:L64" si="32">IF(K62&lt;&gt;"",IF(H62&lt;&gt;"",IF(H62&lt;&gt;0,K62/H62,""),IF(F62&lt;&gt;"",IF(F62&lt;&gt;0,K62/F62,""),"")),"")</f>
        <v>0.3461538462</v>
      </c>
      <c r="M62" s="247"/>
    </row>
    <row r="63" ht="15.75" customHeight="1">
      <c r="A63" s="239">
        <v>2.0</v>
      </c>
      <c r="B63" s="240" t="s">
        <v>1999</v>
      </c>
      <c r="C63" s="239" t="s">
        <v>109</v>
      </c>
      <c r="D63" s="213">
        <v>5.0</v>
      </c>
      <c r="E63" s="267"/>
      <c r="F63" s="268" t="str">
        <f t="shared" si="28"/>
        <v/>
      </c>
      <c r="G63" s="186">
        <v>10000.0</v>
      </c>
      <c r="H63" s="263">
        <f t="shared" si="29"/>
        <v>50000</v>
      </c>
      <c r="I63" s="188">
        <v>15000.0</v>
      </c>
      <c r="J63" s="264">
        <f t="shared" si="30"/>
        <v>75000</v>
      </c>
      <c r="K63" s="245">
        <f t="shared" si="31"/>
        <v>25000</v>
      </c>
      <c r="L63" s="246">
        <f t="shared" si="32"/>
        <v>0.5</v>
      </c>
      <c r="M63" s="247"/>
    </row>
    <row r="64" ht="15.75" customHeight="1">
      <c r="A64" s="272" t="s">
        <v>2000</v>
      </c>
      <c r="B64" s="206"/>
      <c r="C64" s="206"/>
      <c r="D64" s="174"/>
      <c r="E64" s="257"/>
      <c r="F64" s="258">
        <f>SUMIF(F62:F63,"&lt;&gt;",F62:F63)</f>
        <v>0</v>
      </c>
      <c r="G64" s="317"/>
      <c r="H64" s="260">
        <f>SUMIF(H62:H63,"&lt;&gt;",H62:H63)</f>
        <v>310000</v>
      </c>
      <c r="I64" s="322"/>
      <c r="J64" s="260">
        <f>SUMIF(J62:J63,"&lt;&gt;",J62:J63)</f>
        <v>425000</v>
      </c>
      <c r="K64" s="261">
        <f t="shared" si="31"/>
        <v>115000</v>
      </c>
      <c r="L64" s="262">
        <f t="shared" si="32"/>
        <v>0.3709677419</v>
      </c>
      <c r="M64" s="257"/>
    </row>
    <row r="65" ht="15.75" customHeight="1">
      <c r="A65" s="266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</row>
    <row r="66" ht="15.75" customHeight="1">
      <c r="A66" s="323"/>
      <c r="B66" s="323"/>
      <c r="C66" s="228" t="s">
        <v>1660</v>
      </c>
      <c r="D66" s="155"/>
      <c r="E66" s="155"/>
      <c r="F66" s="155"/>
      <c r="G66" s="155"/>
      <c r="H66" s="155"/>
      <c r="I66" s="155"/>
      <c r="J66" s="155"/>
      <c r="K66" s="155"/>
      <c r="L66" s="155"/>
      <c r="M66" s="323"/>
    </row>
    <row r="67" ht="15.75" customHeight="1">
      <c r="A67" s="229" t="s">
        <v>1509</v>
      </c>
      <c r="B67" s="229" t="s">
        <v>1510</v>
      </c>
      <c r="C67" s="302" t="s">
        <v>1511</v>
      </c>
      <c r="D67" s="302" t="s">
        <v>1614</v>
      </c>
      <c r="E67" s="303" t="s">
        <v>1615</v>
      </c>
      <c r="F67" s="304"/>
      <c r="G67" s="305" t="s">
        <v>1616</v>
      </c>
      <c r="H67" s="304"/>
      <c r="I67" s="306" t="s">
        <v>1617</v>
      </c>
      <c r="J67" s="304"/>
      <c r="K67" s="307" t="s">
        <v>1618</v>
      </c>
      <c r="L67" s="304"/>
      <c r="M67" s="302" t="s">
        <v>1619</v>
      </c>
    </row>
    <row r="68" ht="15.75" customHeight="1">
      <c r="A68" s="234" t="s">
        <v>1509</v>
      </c>
      <c r="B68" s="234" t="s">
        <v>1510</v>
      </c>
      <c r="C68" s="234" t="s">
        <v>1511</v>
      </c>
      <c r="D68" s="234" t="s">
        <v>1614</v>
      </c>
      <c r="E68" s="235" t="s">
        <v>1620</v>
      </c>
      <c r="F68" s="235" t="s">
        <v>1621</v>
      </c>
      <c r="G68" s="236" t="s">
        <v>1622</v>
      </c>
      <c r="H68" s="236" t="s">
        <v>1623</v>
      </c>
      <c r="I68" s="237" t="s">
        <v>1624</v>
      </c>
      <c r="J68" s="237" t="s">
        <v>1625</v>
      </c>
      <c r="K68" s="238" t="s">
        <v>1626</v>
      </c>
      <c r="L68" s="238" t="s">
        <v>1627</v>
      </c>
      <c r="M68" s="234" t="s">
        <v>1619</v>
      </c>
    </row>
    <row r="69" ht="15.75" customHeight="1">
      <c r="A69" s="248">
        <v>1.0</v>
      </c>
      <c r="B69" s="249" t="s">
        <v>1870</v>
      </c>
      <c r="C69" s="239" t="s">
        <v>1754</v>
      </c>
      <c r="D69" s="213">
        <v>50.0</v>
      </c>
      <c r="E69" s="267"/>
      <c r="F69" s="268" t="str">
        <f t="shared" ref="F69:F70" si="33">IF(E69&lt;&gt;"",D69*E69,"")</f>
        <v/>
      </c>
      <c r="G69" s="186">
        <v>19200.0</v>
      </c>
      <c r="H69" s="243">
        <f t="shared" ref="H69:H70" si="34">IF(G69&lt;&gt;"",D69*G69,"")</f>
        <v>960000</v>
      </c>
      <c r="I69" s="188">
        <v>22500.0</v>
      </c>
      <c r="J69" s="244">
        <f t="shared" ref="J69:J70" si="35">IF(I69&lt;&gt;"",D69*I69,"")</f>
        <v>1125000</v>
      </c>
      <c r="K69" s="245">
        <f t="shared" ref="K69:K71" si="36">IF(J69&lt;&gt;"",IF(H69&lt;&gt;"",J69-H69,IF(F69&lt;&gt;"",J69-F69,"")),"")</f>
        <v>165000</v>
      </c>
      <c r="L69" s="246">
        <f t="shared" ref="L69:L71" si="37">IF(K69&lt;&gt;"",IF(H69&lt;&gt;"",IF(H69&lt;&gt;0,K69/H69,""),IF(F69&lt;&gt;"",IF(F69&lt;&gt;0,K69/F69,""),"")),"")</f>
        <v>0.171875</v>
      </c>
      <c r="M69" s="247"/>
    </row>
    <row r="70" ht="15.75" customHeight="1">
      <c r="A70" s="239">
        <v>2.0</v>
      </c>
      <c r="B70" s="240" t="s">
        <v>1737</v>
      </c>
      <c r="C70" s="239" t="s">
        <v>1176</v>
      </c>
      <c r="D70" s="213">
        <v>3.0</v>
      </c>
      <c r="E70" s="267"/>
      <c r="F70" s="268" t="str">
        <f t="shared" si="33"/>
        <v/>
      </c>
      <c r="G70" s="186">
        <v>1125000.0</v>
      </c>
      <c r="H70" s="263">
        <f t="shared" si="34"/>
        <v>3375000</v>
      </c>
      <c r="I70" s="188">
        <v>1250000.0</v>
      </c>
      <c r="J70" s="264">
        <f t="shared" si="35"/>
        <v>3750000</v>
      </c>
      <c r="K70" s="245">
        <f t="shared" si="36"/>
        <v>375000</v>
      </c>
      <c r="L70" s="246">
        <f t="shared" si="37"/>
        <v>0.1111111111</v>
      </c>
      <c r="M70" s="247"/>
    </row>
    <row r="71" ht="15.75" customHeight="1">
      <c r="A71" s="325" t="s">
        <v>2001</v>
      </c>
      <c r="B71" s="206"/>
      <c r="C71" s="206"/>
      <c r="D71" s="174"/>
      <c r="E71" s="257"/>
      <c r="F71" s="258">
        <f>SUMIF(F69:F70,"&lt;&gt;",F69:F70)</f>
        <v>0</v>
      </c>
      <c r="G71" s="317"/>
      <c r="H71" s="260">
        <f>SUMIF(H69:H70,"&lt;&gt;",H69:H70)</f>
        <v>4335000</v>
      </c>
      <c r="I71" s="322"/>
      <c r="J71" s="260">
        <f>SUMIF(J69:J70,"&lt;&gt;",J69:J70)</f>
        <v>4875000</v>
      </c>
      <c r="K71" s="261">
        <f t="shared" si="36"/>
        <v>540000</v>
      </c>
      <c r="L71" s="262">
        <f t="shared" si="37"/>
        <v>0.124567474</v>
      </c>
      <c r="M71" s="257"/>
    </row>
    <row r="72" ht="15.75" customHeight="1">
      <c r="A72" s="266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</row>
    <row r="73" ht="15.75" customHeight="1">
      <c r="A73" s="269"/>
      <c r="C73" s="228" t="s">
        <v>1667</v>
      </c>
      <c r="D73" s="155"/>
      <c r="E73" s="155"/>
      <c r="F73" s="155"/>
      <c r="G73" s="155"/>
      <c r="H73" s="155"/>
      <c r="I73" s="155"/>
      <c r="J73" s="155"/>
      <c r="K73" s="155"/>
      <c r="L73" s="155"/>
      <c r="M73" s="269"/>
    </row>
    <row r="74" ht="15.75" customHeight="1">
      <c r="A74" s="229" t="s">
        <v>1509</v>
      </c>
      <c r="B74" s="229" t="s">
        <v>1510</v>
      </c>
      <c r="C74" s="229" t="s">
        <v>1511</v>
      </c>
      <c r="D74" s="229" t="s">
        <v>1614</v>
      </c>
      <c r="E74" s="230" t="s">
        <v>1615</v>
      </c>
      <c r="F74" s="174"/>
      <c r="G74" s="231" t="s">
        <v>1616</v>
      </c>
      <c r="H74" s="174"/>
      <c r="I74" s="232" t="s">
        <v>1617</v>
      </c>
      <c r="J74" s="174"/>
      <c r="K74" s="233" t="s">
        <v>1618</v>
      </c>
      <c r="L74" s="174"/>
      <c r="M74" s="229" t="s">
        <v>1619</v>
      </c>
    </row>
    <row r="75" ht="15.75" customHeight="1">
      <c r="A75" s="234" t="s">
        <v>1509</v>
      </c>
      <c r="B75" s="234" t="s">
        <v>1510</v>
      </c>
      <c r="C75" s="234" t="s">
        <v>1511</v>
      </c>
      <c r="D75" s="234" t="s">
        <v>1614</v>
      </c>
      <c r="E75" s="235" t="s">
        <v>1620</v>
      </c>
      <c r="F75" s="235" t="s">
        <v>1621</v>
      </c>
      <c r="G75" s="236" t="s">
        <v>1622</v>
      </c>
      <c r="H75" s="236" t="s">
        <v>1623</v>
      </c>
      <c r="I75" s="237" t="s">
        <v>1624</v>
      </c>
      <c r="J75" s="237" t="s">
        <v>1625</v>
      </c>
      <c r="K75" s="238" t="s">
        <v>1626</v>
      </c>
      <c r="L75" s="238" t="s">
        <v>1627</v>
      </c>
      <c r="M75" s="234" t="s">
        <v>1619</v>
      </c>
    </row>
    <row r="76" ht="15.75" customHeight="1">
      <c r="A76" s="248">
        <v>1.0</v>
      </c>
      <c r="B76" s="249" t="s">
        <v>1790</v>
      </c>
      <c r="C76" s="248" t="s">
        <v>1762</v>
      </c>
      <c r="D76" s="270">
        <v>1.0</v>
      </c>
      <c r="E76" s="267"/>
      <c r="F76" s="268" t="str">
        <f t="shared" ref="F76:F77" si="38">IF(E76&lt;&gt;"",D76*E76,"")</f>
        <v/>
      </c>
      <c r="G76" s="186">
        <v>2700000.0</v>
      </c>
      <c r="H76" s="243">
        <f t="shared" ref="H76:H77" si="39">IF(G76&lt;&gt;"",D76*G76,"")</f>
        <v>2700000</v>
      </c>
      <c r="I76" s="188">
        <v>2700000.0</v>
      </c>
      <c r="J76" s="244">
        <f t="shared" ref="J76:J77" si="40">IF(I76&lt;&gt;"",D76*I76,"")</f>
        <v>2700000</v>
      </c>
      <c r="K76" s="245">
        <f t="shared" ref="K76:K78" si="41">IF(J76&lt;&gt;"",IF(H76&lt;&gt;"",J76-H76,IF(F76&lt;&gt;"",J76-F76,"")),"")</f>
        <v>0</v>
      </c>
      <c r="L76" s="246">
        <f t="shared" ref="L76:L78" si="42">IF(K76&lt;&gt;"",IF(H76&lt;&gt;"",IF(H76&lt;&gt;0,K76/H76,""),IF(F76&lt;&gt;"",IF(F76&lt;&gt;0,K76/F76,""),"")),"")</f>
        <v>0</v>
      </c>
      <c r="M76" s="252"/>
    </row>
    <row r="77" ht="15.75" customHeight="1">
      <c r="A77" s="239">
        <v>2.0</v>
      </c>
      <c r="B77" s="249" t="s">
        <v>1790</v>
      </c>
      <c r="C77" s="239" t="s">
        <v>1762</v>
      </c>
      <c r="D77" s="271">
        <v>1.0</v>
      </c>
      <c r="E77" s="267"/>
      <c r="F77" s="268" t="str">
        <f t="shared" si="38"/>
        <v/>
      </c>
      <c r="G77" s="186">
        <v>2700000.0</v>
      </c>
      <c r="H77" s="263">
        <f t="shared" si="39"/>
        <v>2700000</v>
      </c>
      <c r="I77" s="188">
        <v>2700000.0</v>
      </c>
      <c r="J77" s="244">
        <f t="shared" si="40"/>
        <v>2700000</v>
      </c>
      <c r="K77" s="245">
        <f t="shared" si="41"/>
        <v>0</v>
      </c>
      <c r="L77" s="246">
        <f t="shared" si="42"/>
        <v>0</v>
      </c>
      <c r="M77" s="247"/>
    </row>
    <row r="78" ht="15.75" customHeight="1">
      <c r="A78" s="266"/>
      <c r="B78" s="266"/>
      <c r="C78" s="266"/>
      <c r="D78" s="266"/>
      <c r="E78" s="257"/>
      <c r="F78" s="258">
        <f>SUMIF(F76:F77,"&lt;&gt;",F76:F77)</f>
        <v>0</v>
      </c>
      <c r="G78" s="259"/>
      <c r="H78" s="260">
        <f>SUMIF(H76:H77,"&lt;&gt;",H76:H77)</f>
        <v>5400000</v>
      </c>
      <c r="I78" s="265"/>
      <c r="J78" s="260">
        <f>SUMIF(J76:J77,"&lt;&gt;",J76:J77)</f>
        <v>5400000</v>
      </c>
      <c r="K78" s="261">
        <f t="shared" si="41"/>
        <v>0</v>
      </c>
      <c r="L78" s="262">
        <f t="shared" si="42"/>
        <v>0</v>
      </c>
      <c r="M78" s="257"/>
    </row>
    <row r="79" ht="15.75" customHeight="1"/>
    <row r="80" ht="15.75" customHeight="1">
      <c r="A80" s="269"/>
      <c r="C80" s="273" t="s">
        <v>1895</v>
      </c>
      <c r="D80" s="155"/>
      <c r="E80" s="155"/>
      <c r="F80" s="155"/>
      <c r="G80" s="155"/>
      <c r="H80" s="155"/>
      <c r="I80" s="155"/>
      <c r="J80" s="155"/>
      <c r="K80" s="155"/>
      <c r="L80" s="155"/>
      <c r="M80" s="269"/>
    </row>
    <row r="81" ht="15.75" customHeight="1">
      <c r="A81" s="229" t="s">
        <v>1509</v>
      </c>
      <c r="B81" s="229" t="s">
        <v>1510</v>
      </c>
      <c r="C81" s="229" t="s">
        <v>1511</v>
      </c>
      <c r="D81" s="229" t="s">
        <v>1614</v>
      </c>
      <c r="E81" s="230" t="s">
        <v>1615</v>
      </c>
      <c r="F81" s="174"/>
      <c r="G81" s="231" t="s">
        <v>1616</v>
      </c>
      <c r="H81" s="174"/>
      <c r="I81" s="232" t="s">
        <v>1617</v>
      </c>
      <c r="J81" s="174"/>
      <c r="K81" s="233" t="s">
        <v>1618</v>
      </c>
      <c r="L81" s="174"/>
      <c r="M81" s="229" t="s">
        <v>1619</v>
      </c>
    </row>
    <row r="82" ht="15.75" customHeight="1">
      <c r="A82" s="234" t="s">
        <v>1509</v>
      </c>
      <c r="B82" s="234" t="s">
        <v>1510</v>
      </c>
      <c r="C82" s="234" t="s">
        <v>1511</v>
      </c>
      <c r="D82" s="234" t="s">
        <v>1614</v>
      </c>
      <c r="E82" s="235" t="s">
        <v>1620</v>
      </c>
      <c r="F82" s="235" t="s">
        <v>1621</v>
      </c>
      <c r="G82" s="236" t="s">
        <v>1622</v>
      </c>
      <c r="H82" s="236" t="s">
        <v>1623</v>
      </c>
      <c r="I82" s="237" t="s">
        <v>1624</v>
      </c>
      <c r="J82" s="237" t="s">
        <v>1625</v>
      </c>
      <c r="K82" s="238" t="s">
        <v>1626</v>
      </c>
      <c r="L82" s="238" t="s">
        <v>1627</v>
      </c>
      <c r="M82" s="234" t="s">
        <v>1619</v>
      </c>
    </row>
    <row r="83" ht="15.75" customHeight="1">
      <c r="A83" s="248">
        <v>1.0</v>
      </c>
      <c r="B83" s="276" t="s">
        <v>2002</v>
      </c>
      <c r="C83" s="280" t="s">
        <v>1583</v>
      </c>
      <c r="D83" s="309">
        <v>35.0</v>
      </c>
      <c r="E83" s="267"/>
      <c r="F83" s="268" t="str">
        <f t="shared" ref="F83:F84" si="43">IF(E83&lt;&gt;"",D83*E83,"")</f>
        <v/>
      </c>
      <c r="G83" s="311">
        <v>11000.0</v>
      </c>
      <c r="H83" s="243">
        <f t="shared" ref="H83:H84" si="44">IF(G83&lt;&gt;"",D83*G83,"")</f>
        <v>385000</v>
      </c>
      <c r="I83" s="200">
        <v>17500.0</v>
      </c>
      <c r="J83" s="244">
        <f t="shared" ref="J83:J84" si="45">IF(I83&lt;&gt;"",D83*I83,"")</f>
        <v>612500</v>
      </c>
      <c r="K83" s="245">
        <f t="shared" ref="K83:K85" si="46">IF(J83&lt;&gt;"",IF(H83&lt;&gt;"",J83-H83,IF(F83&lt;&gt;"",J83-F83,"")),"")</f>
        <v>227500</v>
      </c>
      <c r="L83" s="246">
        <f t="shared" ref="L83:L85" si="47">IF(K83&lt;&gt;"",IF(H83&lt;&gt;"",IF(H83&lt;&gt;0,K83/H83,""),IF(F83&lt;&gt;"",IF(F83&lt;&gt;0,K83/F83,""),"")),"")</f>
        <v>0.5909090909</v>
      </c>
      <c r="M83" s="252"/>
    </row>
    <row r="84" ht="15.75" customHeight="1">
      <c r="A84" s="239">
        <v>2.0</v>
      </c>
      <c r="B84" s="276" t="s">
        <v>2003</v>
      </c>
      <c r="C84" s="278" t="s">
        <v>1583</v>
      </c>
      <c r="D84" s="274">
        <v>2.0</v>
      </c>
      <c r="E84" s="267"/>
      <c r="F84" s="268" t="str">
        <f t="shared" si="43"/>
        <v/>
      </c>
      <c r="G84" s="311">
        <v>10000.0</v>
      </c>
      <c r="H84" s="263">
        <f t="shared" si="44"/>
        <v>20000</v>
      </c>
      <c r="I84" s="200">
        <v>15000.0</v>
      </c>
      <c r="J84" s="244">
        <f t="shared" si="45"/>
        <v>30000</v>
      </c>
      <c r="K84" s="245">
        <f t="shared" si="46"/>
        <v>10000</v>
      </c>
      <c r="L84" s="246">
        <f t="shared" si="47"/>
        <v>0.5</v>
      </c>
      <c r="M84" s="247"/>
    </row>
    <row r="85" ht="15.75" customHeight="1">
      <c r="A85" s="272" t="s">
        <v>2004</v>
      </c>
      <c r="B85" s="206"/>
      <c r="C85" s="206"/>
      <c r="D85" s="174"/>
      <c r="E85" s="257"/>
      <c r="F85" s="258">
        <f>SUMIF(F83:F84,"&lt;&gt;",F83:F84)</f>
        <v>0</v>
      </c>
      <c r="G85" s="259"/>
      <c r="H85" s="260">
        <f>SUMIF(H83:H84,"&lt;&gt;",H83:H84)</f>
        <v>405000</v>
      </c>
      <c r="I85" s="265"/>
      <c r="J85" s="260">
        <f>SUMIF(J83:J84,"&lt;&gt;",J83:J84)</f>
        <v>642500</v>
      </c>
      <c r="K85" s="261">
        <f t="shared" si="46"/>
        <v>237500</v>
      </c>
      <c r="L85" s="262">
        <f t="shared" si="47"/>
        <v>0.5864197531</v>
      </c>
      <c r="M85" s="257"/>
    </row>
    <row r="86" ht="15.75" customHeight="1"/>
    <row r="87" ht="15.75" customHeight="1">
      <c r="A87" s="269"/>
      <c r="C87" s="273" t="s">
        <v>1951</v>
      </c>
      <c r="D87" s="155"/>
      <c r="E87" s="155"/>
      <c r="F87" s="155"/>
      <c r="G87" s="155"/>
      <c r="H87" s="155"/>
      <c r="I87" s="155"/>
      <c r="J87" s="155"/>
      <c r="K87" s="155"/>
      <c r="L87" s="155"/>
      <c r="M87" s="269"/>
    </row>
    <row r="88" ht="15.75" customHeight="1">
      <c r="A88" s="229" t="s">
        <v>1509</v>
      </c>
      <c r="B88" s="229" t="s">
        <v>1510</v>
      </c>
      <c r="C88" s="229" t="s">
        <v>1511</v>
      </c>
      <c r="D88" s="229" t="s">
        <v>1614</v>
      </c>
      <c r="E88" s="230" t="s">
        <v>1615</v>
      </c>
      <c r="F88" s="174"/>
      <c r="G88" s="231" t="s">
        <v>1616</v>
      </c>
      <c r="H88" s="174"/>
      <c r="I88" s="232" t="s">
        <v>1617</v>
      </c>
      <c r="J88" s="174"/>
      <c r="K88" s="233" t="s">
        <v>1618</v>
      </c>
      <c r="L88" s="174"/>
      <c r="M88" s="229" t="s">
        <v>1619</v>
      </c>
    </row>
    <row r="89" ht="15.75" customHeight="1">
      <c r="A89" s="234" t="s">
        <v>1509</v>
      </c>
      <c r="B89" s="234" t="s">
        <v>1510</v>
      </c>
      <c r="C89" s="234" t="s">
        <v>1511</v>
      </c>
      <c r="D89" s="234" t="s">
        <v>1614</v>
      </c>
      <c r="E89" s="235" t="s">
        <v>1620</v>
      </c>
      <c r="F89" s="235" t="s">
        <v>1621</v>
      </c>
      <c r="G89" s="236" t="s">
        <v>1622</v>
      </c>
      <c r="H89" s="236" t="s">
        <v>1623</v>
      </c>
      <c r="I89" s="237" t="s">
        <v>1624</v>
      </c>
      <c r="J89" s="237" t="s">
        <v>1625</v>
      </c>
      <c r="K89" s="238" t="s">
        <v>1626</v>
      </c>
      <c r="L89" s="238" t="s">
        <v>1627</v>
      </c>
      <c r="M89" s="234" t="s">
        <v>1619</v>
      </c>
    </row>
    <row r="90" ht="15.75" customHeight="1">
      <c r="A90" s="248">
        <v>1.0</v>
      </c>
      <c r="B90" s="276" t="s">
        <v>2005</v>
      </c>
      <c r="C90" s="280" t="s">
        <v>69</v>
      </c>
      <c r="D90" s="309">
        <v>4.0</v>
      </c>
      <c r="E90" s="267"/>
      <c r="F90" s="268" t="str">
        <f>IF(E90&lt;&gt;"",D90*E90,"")</f>
        <v/>
      </c>
      <c r="G90" s="311">
        <v>20000.0</v>
      </c>
      <c r="H90" s="243">
        <f t="shared" ref="H90:H93" si="48">IF(G90&lt;&gt;"",D90*G90,"")</f>
        <v>80000</v>
      </c>
      <c r="I90" s="200">
        <v>27500.0</v>
      </c>
      <c r="J90" s="244">
        <f t="shared" ref="J90:J93" si="49">IF(I90&lt;&gt;"",D90*I90,"")</f>
        <v>110000</v>
      </c>
      <c r="K90" s="245">
        <f t="shared" ref="K90:K94" si="50">IF(J90&lt;&gt;"",IF(H90&lt;&gt;"",J90-H90,IF(F90&lt;&gt;"",J90-F90,"")),"")</f>
        <v>30000</v>
      </c>
      <c r="L90" s="246">
        <f t="shared" ref="L90:L94" si="51">IF(K90&lt;&gt;"",IF(H90&lt;&gt;"",IF(H90&lt;&gt;0,K90/H90,""),IF(F90&lt;&gt;"",IF(F90&lt;&gt;0,K90/F90,""),"")),"")</f>
        <v>0.375</v>
      </c>
      <c r="M90" s="252"/>
    </row>
    <row r="91" ht="15.75" customHeight="1">
      <c r="A91" s="278">
        <v>2.0</v>
      </c>
      <c r="B91" s="276" t="s">
        <v>1746</v>
      </c>
      <c r="C91" s="278" t="s">
        <v>1176</v>
      </c>
      <c r="D91" s="274">
        <v>3.0</v>
      </c>
      <c r="E91" s="267"/>
      <c r="F91" s="268"/>
      <c r="G91" s="311">
        <v>1125000.0</v>
      </c>
      <c r="H91" s="243">
        <f t="shared" si="48"/>
        <v>3375000</v>
      </c>
      <c r="I91" s="200">
        <v>1250000.0</v>
      </c>
      <c r="J91" s="244">
        <f t="shared" si="49"/>
        <v>3750000</v>
      </c>
      <c r="K91" s="245">
        <f t="shared" si="50"/>
        <v>375000</v>
      </c>
      <c r="L91" s="246">
        <f t="shared" si="51"/>
        <v>0.1111111111</v>
      </c>
      <c r="M91" s="247"/>
    </row>
    <row r="92" ht="15.75" customHeight="1">
      <c r="A92" s="278">
        <v>3.0</v>
      </c>
      <c r="B92" s="276" t="s">
        <v>1739</v>
      </c>
      <c r="C92" s="278" t="s">
        <v>109</v>
      </c>
      <c r="D92" s="274">
        <v>2.0</v>
      </c>
      <c r="E92" s="267"/>
      <c r="F92" s="268"/>
      <c r="G92" s="311">
        <v>36000.0</v>
      </c>
      <c r="H92" s="243">
        <f t="shared" si="48"/>
        <v>72000</v>
      </c>
      <c r="I92" s="200">
        <v>45000.0</v>
      </c>
      <c r="J92" s="244">
        <f t="shared" si="49"/>
        <v>90000</v>
      </c>
      <c r="K92" s="245">
        <f t="shared" si="50"/>
        <v>18000</v>
      </c>
      <c r="L92" s="246">
        <f t="shared" si="51"/>
        <v>0.25</v>
      </c>
      <c r="M92" s="247"/>
    </row>
    <row r="93" ht="15.75" customHeight="1">
      <c r="A93" s="278">
        <v>4.0</v>
      </c>
      <c r="B93" s="276" t="s">
        <v>2006</v>
      </c>
      <c r="C93" s="278" t="s">
        <v>1919</v>
      </c>
      <c r="D93" s="274">
        <v>10.0</v>
      </c>
      <c r="E93" s="267"/>
      <c r="F93" s="268" t="str">
        <f>IF(E93&lt;&gt;"",D93*E93,"")</f>
        <v/>
      </c>
      <c r="G93" s="311">
        <v>7200.0</v>
      </c>
      <c r="H93" s="263">
        <f t="shared" si="48"/>
        <v>72000</v>
      </c>
      <c r="I93" s="200">
        <v>10000.0</v>
      </c>
      <c r="J93" s="244">
        <f t="shared" si="49"/>
        <v>100000</v>
      </c>
      <c r="K93" s="245">
        <f t="shared" si="50"/>
        <v>28000</v>
      </c>
      <c r="L93" s="246">
        <f t="shared" si="51"/>
        <v>0.3888888889</v>
      </c>
      <c r="M93" s="247"/>
    </row>
    <row r="94" ht="15.75" customHeight="1">
      <c r="A94" s="272" t="s">
        <v>2007</v>
      </c>
      <c r="B94" s="206"/>
      <c r="C94" s="206"/>
      <c r="D94" s="174"/>
      <c r="E94" s="257"/>
      <c r="F94" s="258">
        <f>SUMIF(F90:F93,"&lt;&gt;",F90:F93)</f>
        <v>0</v>
      </c>
      <c r="G94" s="259"/>
      <c r="H94" s="260">
        <f>SUMIF(H90:H93,"&lt;&gt;",H90:H93)</f>
        <v>3599000</v>
      </c>
      <c r="I94" s="265"/>
      <c r="J94" s="260">
        <f>SUMIF(J90:J93,"&lt;&gt;",J90:J93)</f>
        <v>4050000</v>
      </c>
      <c r="K94" s="261">
        <f t="shared" si="50"/>
        <v>451000</v>
      </c>
      <c r="L94" s="262">
        <f t="shared" si="51"/>
        <v>0.1253125868</v>
      </c>
      <c r="M94" s="257"/>
    </row>
    <row r="95" ht="15.75" customHeight="1"/>
    <row r="96" ht="15.75" customHeight="1">
      <c r="A96" s="269"/>
      <c r="C96" s="273" t="s">
        <v>1914</v>
      </c>
      <c r="D96" s="155"/>
      <c r="E96" s="155"/>
      <c r="F96" s="155"/>
      <c r="G96" s="155"/>
      <c r="H96" s="155"/>
      <c r="I96" s="155"/>
      <c r="J96" s="155"/>
      <c r="K96" s="155"/>
      <c r="L96" s="155"/>
      <c r="M96" s="269"/>
    </row>
    <row r="97" ht="15.75" customHeight="1">
      <c r="A97" s="229" t="s">
        <v>1509</v>
      </c>
      <c r="B97" s="229" t="s">
        <v>1510</v>
      </c>
      <c r="C97" s="229" t="s">
        <v>1511</v>
      </c>
      <c r="D97" s="229" t="s">
        <v>1614</v>
      </c>
      <c r="E97" s="230" t="s">
        <v>1615</v>
      </c>
      <c r="F97" s="174"/>
      <c r="G97" s="231" t="s">
        <v>1616</v>
      </c>
      <c r="H97" s="174"/>
      <c r="I97" s="232" t="s">
        <v>1617</v>
      </c>
      <c r="J97" s="174"/>
      <c r="K97" s="233" t="s">
        <v>1618</v>
      </c>
      <c r="L97" s="174"/>
      <c r="M97" s="229" t="s">
        <v>1619</v>
      </c>
    </row>
    <row r="98" ht="15.75" customHeight="1">
      <c r="A98" s="234" t="s">
        <v>1509</v>
      </c>
      <c r="B98" s="234" t="s">
        <v>1510</v>
      </c>
      <c r="C98" s="234" t="s">
        <v>1511</v>
      </c>
      <c r="D98" s="234" t="s">
        <v>1614</v>
      </c>
      <c r="E98" s="235" t="s">
        <v>1620</v>
      </c>
      <c r="F98" s="235" t="s">
        <v>1621</v>
      </c>
      <c r="G98" s="236" t="s">
        <v>1622</v>
      </c>
      <c r="H98" s="236" t="s">
        <v>1623</v>
      </c>
      <c r="I98" s="237" t="s">
        <v>1624</v>
      </c>
      <c r="J98" s="237" t="s">
        <v>1625</v>
      </c>
      <c r="K98" s="238" t="s">
        <v>1626</v>
      </c>
      <c r="L98" s="238" t="s">
        <v>1627</v>
      </c>
      <c r="M98" s="234" t="s">
        <v>1619</v>
      </c>
    </row>
    <row r="99" ht="15.75" customHeight="1">
      <c r="A99" s="248">
        <v>1.0</v>
      </c>
      <c r="B99" s="276" t="s">
        <v>1870</v>
      </c>
      <c r="C99" s="280" t="s">
        <v>1754</v>
      </c>
      <c r="D99" s="309">
        <v>50.0</v>
      </c>
      <c r="E99" s="267"/>
      <c r="F99" s="268" t="str">
        <f>IF(E99&lt;&gt;"",D99*E99,"")</f>
        <v/>
      </c>
      <c r="G99" s="311">
        <v>19200.0</v>
      </c>
      <c r="H99" s="243">
        <f t="shared" ref="H99:H103" si="52">IF(G99&lt;&gt;"",D99*G99,"")</f>
        <v>960000</v>
      </c>
      <c r="I99" s="200">
        <v>22500.0</v>
      </c>
      <c r="J99" s="244">
        <f t="shared" ref="J99:J103" si="53">IF(I99&lt;&gt;"",D99*I99,"")</f>
        <v>1125000</v>
      </c>
      <c r="K99" s="245">
        <f t="shared" ref="K99:K104" si="54">IF(J99&lt;&gt;"",IF(H99&lt;&gt;"",J99-H99,IF(F99&lt;&gt;"",J99-F99,"")),"")</f>
        <v>165000</v>
      </c>
      <c r="L99" s="246">
        <f t="shared" ref="L99:L104" si="55">IF(K99&lt;&gt;"",IF(H99&lt;&gt;"",IF(H99&lt;&gt;0,K99/H99,""),IF(F99&lt;&gt;"",IF(F99&lt;&gt;0,K99/F99,""),"")),"")</f>
        <v>0.171875</v>
      </c>
      <c r="M99" s="252"/>
    </row>
    <row r="100" ht="15.75" customHeight="1">
      <c r="A100" s="278">
        <v>2.0</v>
      </c>
      <c r="B100" s="276" t="s">
        <v>2008</v>
      </c>
      <c r="C100" s="278" t="s">
        <v>69</v>
      </c>
      <c r="D100" s="274">
        <v>10.0</v>
      </c>
      <c r="E100" s="267"/>
      <c r="F100" s="268"/>
      <c r="G100" s="311">
        <v>3500.0</v>
      </c>
      <c r="H100" s="243">
        <f t="shared" si="52"/>
        <v>35000</v>
      </c>
      <c r="I100" s="200">
        <v>4500.0</v>
      </c>
      <c r="J100" s="244">
        <f t="shared" si="53"/>
        <v>45000</v>
      </c>
      <c r="K100" s="245">
        <f t="shared" si="54"/>
        <v>10000</v>
      </c>
      <c r="L100" s="246">
        <f t="shared" si="55"/>
        <v>0.2857142857</v>
      </c>
      <c r="M100" s="247"/>
    </row>
    <row r="101" ht="15.75" customHeight="1">
      <c r="A101" s="278">
        <v>3.0</v>
      </c>
      <c r="B101" s="276" t="s">
        <v>2009</v>
      </c>
      <c r="C101" s="278" t="s">
        <v>69</v>
      </c>
      <c r="D101" s="274">
        <v>10.0</v>
      </c>
      <c r="E101" s="267"/>
      <c r="F101" s="268"/>
      <c r="G101" s="311">
        <v>2500.0</v>
      </c>
      <c r="H101" s="243">
        <f t="shared" si="52"/>
        <v>25000</v>
      </c>
      <c r="I101" s="200">
        <v>3500.0</v>
      </c>
      <c r="J101" s="244">
        <f t="shared" si="53"/>
        <v>35000</v>
      </c>
      <c r="K101" s="245">
        <f t="shared" si="54"/>
        <v>10000</v>
      </c>
      <c r="L101" s="246">
        <f t="shared" si="55"/>
        <v>0.4</v>
      </c>
      <c r="M101" s="247"/>
    </row>
    <row r="102" ht="15.75" customHeight="1">
      <c r="A102" s="278">
        <v>4.0</v>
      </c>
      <c r="B102" s="276" t="s">
        <v>1997</v>
      </c>
      <c r="C102" s="278" t="s">
        <v>1583</v>
      </c>
      <c r="D102" s="274">
        <v>9.0</v>
      </c>
      <c r="E102" s="267"/>
      <c r="F102" s="268"/>
      <c r="G102" s="311">
        <v>10000.0</v>
      </c>
      <c r="H102" s="243">
        <f t="shared" si="52"/>
        <v>90000</v>
      </c>
      <c r="I102" s="200">
        <v>10000.0</v>
      </c>
      <c r="J102" s="244">
        <f t="shared" si="53"/>
        <v>90000</v>
      </c>
      <c r="K102" s="245">
        <f t="shared" si="54"/>
        <v>0</v>
      </c>
      <c r="L102" s="246">
        <f t="shared" si="55"/>
        <v>0</v>
      </c>
      <c r="M102" s="247"/>
    </row>
    <row r="103" ht="15.75" customHeight="1">
      <c r="A103" s="278">
        <v>5.0</v>
      </c>
      <c r="B103" s="276" t="s">
        <v>2010</v>
      </c>
      <c r="C103" s="278" t="s">
        <v>1583</v>
      </c>
      <c r="D103" s="274">
        <v>2.0</v>
      </c>
      <c r="E103" s="267"/>
      <c r="F103" s="268" t="str">
        <f>IF(E103&lt;&gt;"",D103*E103,"")</f>
        <v/>
      </c>
      <c r="G103" s="311">
        <v>73000.0</v>
      </c>
      <c r="H103" s="243">
        <f t="shared" si="52"/>
        <v>146000</v>
      </c>
      <c r="I103" s="200">
        <v>85000.0</v>
      </c>
      <c r="J103" s="244">
        <f t="shared" si="53"/>
        <v>170000</v>
      </c>
      <c r="K103" s="245">
        <f t="shared" si="54"/>
        <v>24000</v>
      </c>
      <c r="L103" s="246">
        <f t="shared" si="55"/>
        <v>0.1643835616</v>
      </c>
      <c r="M103" s="247"/>
    </row>
    <row r="104" ht="15.75" customHeight="1">
      <c r="A104" s="272" t="s">
        <v>2011</v>
      </c>
      <c r="B104" s="206"/>
      <c r="C104" s="206"/>
      <c r="D104" s="174"/>
      <c r="E104" s="257"/>
      <c r="F104" s="258">
        <f>SUMIF(F99:F103,"&lt;&gt;",F99:F103)</f>
        <v>0</v>
      </c>
      <c r="G104" s="259"/>
      <c r="H104" s="260">
        <f>SUMIF(H99:H103,"&lt;&gt;",H99:H103)</f>
        <v>1256000</v>
      </c>
      <c r="I104" s="265"/>
      <c r="J104" s="260">
        <f>SUMIF(J99:J103,"&lt;&gt;",J99:J103)</f>
        <v>1465000</v>
      </c>
      <c r="K104" s="261">
        <f t="shared" si="54"/>
        <v>209000</v>
      </c>
      <c r="L104" s="262">
        <f t="shared" si="55"/>
        <v>0.1664012739</v>
      </c>
      <c r="M104" s="257"/>
    </row>
    <row r="105" ht="15.75" customHeight="1"/>
    <row r="106" ht="15.75" customHeight="1">
      <c r="A106" s="269"/>
      <c r="C106" s="273" t="s">
        <v>2012</v>
      </c>
      <c r="D106" s="155"/>
      <c r="E106" s="155"/>
      <c r="F106" s="155"/>
      <c r="G106" s="155"/>
      <c r="H106" s="155"/>
      <c r="I106" s="155"/>
      <c r="J106" s="155"/>
      <c r="K106" s="155"/>
      <c r="L106" s="155"/>
      <c r="M106" s="269"/>
    </row>
    <row r="107" ht="15.75" customHeight="1">
      <c r="A107" s="229" t="s">
        <v>1509</v>
      </c>
      <c r="B107" s="229" t="s">
        <v>1510</v>
      </c>
      <c r="C107" s="229" t="s">
        <v>1511</v>
      </c>
      <c r="D107" s="229" t="s">
        <v>1614</v>
      </c>
      <c r="E107" s="230" t="s">
        <v>1615</v>
      </c>
      <c r="F107" s="174"/>
      <c r="G107" s="231" t="s">
        <v>1616</v>
      </c>
      <c r="H107" s="174"/>
      <c r="I107" s="232" t="s">
        <v>1617</v>
      </c>
      <c r="J107" s="174"/>
      <c r="K107" s="233" t="s">
        <v>1618</v>
      </c>
      <c r="L107" s="174"/>
      <c r="M107" s="229" t="s">
        <v>1619</v>
      </c>
    </row>
    <row r="108" ht="15.75" customHeight="1">
      <c r="A108" s="234" t="s">
        <v>1509</v>
      </c>
      <c r="B108" s="234" t="s">
        <v>1510</v>
      </c>
      <c r="C108" s="234" t="s">
        <v>1511</v>
      </c>
      <c r="D108" s="234" t="s">
        <v>1614</v>
      </c>
      <c r="E108" s="235" t="s">
        <v>1620</v>
      </c>
      <c r="F108" s="235" t="s">
        <v>1621</v>
      </c>
      <c r="G108" s="236" t="s">
        <v>1622</v>
      </c>
      <c r="H108" s="236" t="s">
        <v>1623</v>
      </c>
      <c r="I108" s="237" t="s">
        <v>1624</v>
      </c>
      <c r="J108" s="237" t="s">
        <v>1625</v>
      </c>
      <c r="K108" s="238" t="s">
        <v>1626</v>
      </c>
      <c r="L108" s="238" t="s">
        <v>1627</v>
      </c>
      <c r="M108" s="234" t="s">
        <v>1619</v>
      </c>
    </row>
    <row r="109" ht="15.75" customHeight="1">
      <c r="A109" s="248">
        <v>1.0</v>
      </c>
      <c r="B109" s="276" t="s">
        <v>1989</v>
      </c>
      <c r="C109" s="280" t="s">
        <v>1583</v>
      </c>
      <c r="D109" s="309">
        <v>25.0</v>
      </c>
      <c r="E109" s="267"/>
      <c r="F109" s="268" t="str">
        <f>IF(E109&lt;&gt;"",D109*E109,"")</f>
        <v/>
      </c>
      <c r="G109" s="311">
        <v>9500.0</v>
      </c>
      <c r="H109" s="243">
        <f t="shared" ref="H109:H112" si="56">IF(G109&lt;&gt;"",D109*G109,"")</f>
        <v>237500</v>
      </c>
      <c r="I109" s="200">
        <v>17500.0</v>
      </c>
      <c r="J109" s="244">
        <f t="shared" ref="J109:J112" si="57">IF(I109&lt;&gt;"",D109*I109,"")</f>
        <v>437500</v>
      </c>
      <c r="K109" s="245">
        <f t="shared" ref="K109:K113" si="58">IF(J109&lt;&gt;"",IF(H109&lt;&gt;"",J109-H109,IF(F109&lt;&gt;"",J109-F109,"")),"")</f>
        <v>200000</v>
      </c>
      <c r="L109" s="246">
        <f t="shared" ref="L109:L113" si="59">IF(K109&lt;&gt;"",IF(H109&lt;&gt;"",IF(H109&lt;&gt;0,K109/H109,""),IF(F109&lt;&gt;"",IF(F109&lt;&gt;0,K109/F109,""),"")),"")</f>
        <v>0.8421052632</v>
      </c>
      <c r="M109" s="252"/>
    </row>
    <row r="110" ht="15.75" customHeight="1">
      <c r="A110" s="278">
        <v>2.0</v>
      </c>
      <c r="B110" s="276" t="s">
        <v>2013</v>
      </c>
      <c r="C110" s="278" t="s">
        <v>1583</v>
      </c>
      <c r="D110" s="274">
        <v>50.0</v>
      </c>
      <c r="E110" s="267"/>
      <c r="F110" s="268"/>
      <c r="G110" s="311">
        <v>28000.0</v>
      </c>
      <c r="H110" s="243">
        <f t="shared" si="56"/>
        <v>1400000</v>
      </c>
      <c r="I110" s="200">
        <v>35000.0</v>
      </c>
      <c r="J110" s="244">
        <f t="shared" si="57"/>
        <v>1750000</v>
      </c>
      <c r="K110" s="245">
        <f t="shared" si="58"/>
        <v>350000</v>
      </c>
      <c r="L110" s="246">
        <f t="shared" si="59"/>
        <v>0.25</v>
      </c>
      <c r="M110" s="247"/>
    </row>
    <row r="111" ht="15.75" customHeight="1">
      <c r="A111" s="278">
        <v>3.0</v>
      </c>
      <c r="B111" s="276" t="s">
        <v>2014</v>
      </c>
      <c r="C111" s="278" t="s">
        <v>1583</v>
      </c>
      <c r="D111" s="274">
        <v>19.0</v>
      </c>
      <c r="E111" s="267"/>
      <c r="F111" s="268"/>
      <c r="G111" s="311">
        <v>2000.0</v>
      </c>
      <c r="H111" s="243">
        <f t="shared" si="56"/>
        <v>38000</v>
      </c>
      <c r="I111" s="200">
        <v>3500.0</v>
      </c>
      <c r="J111" s="244">
        <f t="shared" si="57"/>
        <v>66500</v>
      </c>
      <c r="K111" s="245">
        <f t="shared" si="58"/>
        <v>28500</v>
      </c>
      <c r="L111" s="246">
        <f t="shared" si="59"/>
        <v>0.75</v>
      </c>
      <c r="M111" s="247"/>
    </row>
    <row r="112" ht="15.75" customHeight="1">
      <c r="A112" s="278">
        <v>4.0</v>
      </c>
      <c r="B112" s="276" t="s">
        <v>2015</v>
      </c>
      <c r="C112" s="278" t="s">
        <v>1583</v>
      </c>
      <c r="D112" s="274">
        <v>6.0</v>
      </c>
      <c r="E112" s="267"/>
      <c r="F112" s="268"/>
      <c r="G112" s="311">
        <v>55000.0</v>
      </c>
      <c r="H112" s="243">
        <f t="shared" si="56"/>
        <v>330000</v>
      </c>
      <c r="I112" s="200">
        <v>70000.0</v>
      </c>
      <c r="J112" s="244">
        <f t="shared" si="57"/>
        <v>420000</v>
      </c>
      <c r="K112" s="245">
        <f t="shared" si="58"/>
        <v>90000</v>
      </c>
      <c r="L112" s="246">
        <f t="shared" si="59"/>
        <v>0.2727272727</v>
      </c>
      <c r="M112" s="247"/>
    </row>
    <row r="113" ht="15.75" customHeight="1">
      <c r="A113" s="272" t="s">
        <v>2016</v>
      </c>
      <c r="B113" s="206"/>
      <c r="C113" s="206"/>
      <c r="D113" s="174"/>
      <c r="E113" s="257"/>
      <c r="F113" s="258">
        <f>SUMIF(F109:F112,"&lt;&gt;",F109:F112)</f>
        <v>0</v>
      </c>
      <c r="G113" s="259"/>
      <c r="H113" s="260">
        <f>SUMIF(H109:H112,"&lt;&gt;",H109:H112)</f>
        <v>2005500</v>
      </c>
      <c r="I113" s="265"/>
      <c r="J113" s="260">
        <f>SUMIF(J109:J112,"&lt;&gt;",J109:J112)</f>
        <v>2674000</v>
      </c>
      <c r="K113" s="261">
        <f t="shared" si="58"/>
        <v>668500</v>
      </c>
      <c r="L113" s="262">
        <f t="shared" si="59"/>
        <v>0.3333333333</v>
      </c>
      <c r="M113" s="257"/>
    </row>
    <row r="114" ht="15.75" customHeight="1"/>
    <row r="115" ht="15.75" customHeight="1">
      <c r="A115" s="269"/>
      <c r="C115" s="273" t="s">
        <v>1965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269"/>
    </row>
    <row r="116" ht="15.75" customHeight="1">
      <c r="A116" s="229" t="s">
        <v>1509</v>
      </c>
      <c r="B116" s="229" t="s">
        <v>1510</v>
      </c>
      <c r="C116" s="229" t="s">
        <v>1511</v>
      </c>
      <c r="D116" s="229" t="s">
        <v>1614</v>
      </c>
      <c r="E116" s="230" t="s">
        <v>1615</v>
      </c>
      <c r="F116" s="174"/>
      <c r="G116" s="231" t="s">
        <v>1616</v>
      </c>
      <c r="H116" s="174"/>
      <c r="I116" s="232" t="s">
        <v>1617</v>
      </c>
      <c r="J116" s="174"/>
      <c r="K116" s="233" t="s">
        <v>1618</v>
      </c>
      <c r="L116" s="174"/>
      <c r="M116" s="229" t="s">
        <v>1619</v>
      </c>
    </row>
    <row r="117" ht="15.75" customHeight="1">
      <c r="A117" s="234" t="s">
        <v>1509</v>
      </c>
      <c r="B117" s="234" t="s">
        <v>1510</v>
      </c>
      <c r="C117" s="234" t="s">
        <v>1511</v>
      </c>
      <c r="D117" s="234" t="s">
        <v>1614</v>
      </c>
      <c r="E117" s="235" t="s">
        <v>1620</v>
      </c>
      <c r="F117" s="235" t="s">
        <v>1621</v>
      </c>
      <c r="G117" s="236" t="s">
        <v>1622</v>
      </c>
      <c r="H117" s="236" t="s">
        <v>1623</v>
      </c>
      <c r="I117" s="237" t="s">
        <v>1624</v>
      </c>
      <c r="J117" s="237" t="s">
        <v>1625</v>
      </c>
      <c r="K117" s="238" t="s">
        <v>1626</v>
      </c>
      <c r="L117" s="238" t="s">
        <v>1627</v>
      </c>
      <c r="M117" s="234" t="s">
        <v>1619</v>
      </c>
    </row>
    <row r="118" ht="15.75" customHeight="1">
      <c r="A118" s="278">
        <v>1.0</v>
      </c>
      <c r="B118" s="276" t="s">
        <v>1746</v>
      </c>
      <c r="C118" s="278" t="s">
        <v>1176</v>
      </c>
      <c r="D118" s="274">
        <v>2.0</v>
      </c>
      <c r="E118" s="267"/>
      <c r="F118" s="268"/>
      <c r="G118" s="311">
        <v>1125000.0</v>
      </c>
      <c r="H118" s="243">
        <f>IF(G118&lt;&gt;"",D118*G118,"")</f>
        <v>2250000</v>
      </c>
      <c r="I118" s="200">
        <v>1350000.0</v>
      </c>
      <c r="J118" s="244">
        <f>IF(I118&lt;&gt;"",D118*I118,"")</f>
        <v>2700000</v>
      </c>
      <c r="K118" s="245">
        <f t="shared" ref="K118:K119" si="60">IF(J118&lt;&gt;"",IF(H118&lt;&gt;"",J118-H118,IF(F118&lt;&gt;"",J118-F118,"")),"")</f>
        <v>450000</v>
      </c>
      <c r="L118" s="246">
        <f t="shared" ref="L118:L119" si="61">IF(K118&lt;&gt;"",IF(H118&lt;&gt;"",IF(H118&lt;&gt;0,K118/H118,""),IF(F118&lt;&gt;"",IF(F118&lt;&gt;0,K118/F118,""),"")),"")</f>
        <v>0.2</v>
      </c>
      <c r="M118" s="247"/>
    </row>
    <row r="119" ht="15.75" customHeight="1">
      <c r="A119" s="272" t="s">
        <v>2017</v>
      </c>
      <c r="B119" s="206"/>
      <c r="C119" s="206"/>
      <c r="D119" s="174"/>
      <c r="E119" s="257"/>
      <c r="F119" s="258">
        <f>SUMIF(F118,"&lt;&gt;",F118)</f>
        <v>0</v>
      </c>
      <c r="G119" s="259"/>
      <c r="H119" s="260">
        <f>SUMIF(H118,"&lt;&gt;",H118)</f>
        <v>2250000</v>
      </c>
      <c r="I119" s="265"/>
      <c r="J119" s="260">
        <f>SUMIF(J118,"&lt;&gt;",J118)</f>
        <v>2700000</v>
      </c>
      <c r="K119" s="261">
        <f t="shared" si="60"/>
        <v>450000</v>
      </c>
      <c r="L119" s="262">
        <f t="shared" si="61"/>
        <v>0.2</v>
      </c>
      <c r="M119" s="257"/>
    </row>
    <row r="120" ht="15.75" customHeight="1"/>
    <row r="121" ht="15.75" customHeight="1">
      <c r="A121" s="363" t="s">
        <v>1789</v>
      </c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</row>
    <row r="122" ht="15.75" customHeight="1">
      <c r="A122" s="364" t="s">
        <v>1509</v>
      </c>
      <c r="B122" s="364" t="s">
        <v>1510</v>
      </c>
      <c r="C122" s="364" t="s">
        <v>1511</v>
      </c>
      <c r="D122" s="364" t="s">
        <v>1614</v>
      </c>
      <c r="E122" s="365" t="s">
        <v>1615</v>
      </c>
      <c r="F122" s="174"/>
      <c r="G122" s="366" t="s">
        <v>1616</v>
      </c>
      <c r="H122" s="174"/>
      <c r="I122" s="367" t="s">
        <v>1617</v>
      </c>
      <c r="J122" s="174"/>
      <c r="K122" s="368" t="s">
        <v>1618</v>
      </c>
      <c r="L122" s="174"/>
      <c r="M122" s="364" t="s">
        <v>1619</v>
      </c>
    </row>
    <row r="123" ht="15.75" customHeight="1">
      <c r="A123" s="369" t="s">
        <v>1509</v>
      </c>
      <c r="B123" s="369" t="s">
        <v>1510</v>
      </c>
      <c r="C123" s="369" t="s">
        <v>1511</v>
      </c>
      <c r="D123" s="369" t="s">
        <v>1614</v>
      </c>
      <c r="E123" s="370" t="s">
        <v>1620</v>
      </c>
      <c r="F123" s="370" t="s">
        <v>1621</v>
      </c>
      <c r="G123" s="371" t="s">
        <v>1622</v>
      </c>
      <c r="H123" s="371" t="s">
        <v>1623</v>
      </c>
      <c r="I123" s="372" t="s">
        <v>1624</v>
      </c>
      <c r="J123" s="372" t="s">
        <v>1625</v>
      </c>
      <c r="K123" s="373" t="s">
        <v>1626</v>
      </c>
      <c r="L123" s="373" t="s">
        <v>1627</v>
      </c>
      <c r="M123" s="369" t="s">
        <v>1619</v>
      </c>
    </row>
    <row r="124" ht="15.75" customHeight="1">
      <c r="A124" s="374">
        <v>1.0</v>
      </c>
      <c r="B124" s="375" t="s">
        <v>1790</v>
      </c>
      <c r="C124" s="374" t="s">
        <v>1762</v>
      </c>
      <c r="D124" s="376">
        <v>1.0</v>
      </c>
      <c r="E124" s="377"/>
      <c r="F124" s="378" t="str">
        <f t="shared" ref="F124:F125" si="62">IF(E124&lt;&gt;"",D124*E124,"")</f>
        <v/>
      </c>
      <c r="G124" s="379">
        <v>2700000.0</v>
      </c>
      <c r="H124" s="380">
        <f t="shared" ref="H124:H125" si="63">IF(G124&lt;&gt;"",D124*G124,"")</f>
        <v>2700000</v>
      </c>
      <c r="I124" s="381">
        <v>2700000.0</v>
      </c>
      <c r="J124" s="382">
        <f t="shared" ref="J124:J125" si="64">IF(I124&lt;&gt;"",D124*I124,"")</f>
        <v>2700000</v>
      </c>
      <c r="K124" s="383">
        <f t="shared" ref="K124:K126" si="65">IF(J124&lt;&gt;"",IF(H124&lt;&gt;"",J124-H124,IF(F124&lt;&gt;"",J124-F124,"")),"")</f>
        <v>0</v>
      </c>
      <c r="L124" s="384">
        <f t="shared" ref="L124:L126" si="66">IF(K124&lt;&gt;"",IF(H124&lt;&gt;"",IF(H124&lt;&gt;0,K124/H124,""),IF(F124&lt;&gt;"",IF(F124&lt;&gt;0,K124/F124,""),"")),"")</f>
        <v>0</v>
      </c>
      <c r="M124" s="385"/>
    </row>
    <row r="125" ht="15.75" customHeight="1">
      <c r="A125" s="386">
        <v>2.0</v>
      </c>
      <c r="B125" s="387" t="s">
        <v>1790</v>
      </c>
      <c r="C125" s="386" t="s">
        <v>1762</v>
      </c>
      <c r="D125" s="388">
        <v>1.0</v>
      </c>
      <c r="E125" s="377"/>
      <c r="F125" s="378" t="str">
        <f t="shared" si="62"/>
        <v/>
      </c>
      <c r="G125" s="379">
        <v>2700000.0</v>
      </c>
      <c r="H125" s="389">
        <f t="shared" si="63"/>
        <v>2700000</v>
      </c>
      <c r="I125" s="381">
        <v>2700000.0</v>
      </c>
      <c r="J125" s="382">
        <f t="shared" si="64"/>
        <v>2700000</v>
      </c>
      <c r="K125" s="383">
        <f t="shared" si="65"/>
        <v>0</v>
      </c>
      <c r="L125" s="384">
        <f t="shared" si="66"/>
        <v>0</v>
      </c>
      <c r="M125" s="390"/>
    </row>
    <row r="126" ht="15.75" customHeight="1">
      <c r="A126" s="391" t="s">
        <v>1791</v>
      </c>
      <c r="B126" s="206"/>
      <c r="C126" s="206"/>
      <c r="D126" s="174"/>
      <c r="E126" s="257"/>
      <c r="F126" s="392">
        <f>SUMIF(F124:F125,"&lt;&gt;",F124:F125)</f>
        <v>0</v>
      </c>
      <c r="G126" s="259"/>
      <c r="H126" s="393">
        <f>SUMIF(H124:H125,"&lt;&gt;",H124:H125)</f>
        <v>5400000</v>
      </c>
      <c r="I126" s="265"/>
      <c r="J126" s="393">
        <f>SUMIF(J124:J125,"&lt;&gt;",J124:J125)</f>
        <v>5400000</v>
      </c>
      <c r="K126" s="394">
        <f t="shared" si="65"/>
        <v>0</v>
      </c>
      <c r="L126" s="395">
        <f t="shared" si="66"/>
        <v>0</v>
      </c>
      <c r="M126" s="257"/>
    </row>
    <row r="127" ht="15.75" customHeight="1"/>
    <row r="128" ht="15.75" customHeight="1">
      <c r="A128" s="273" t="s">
        <v>1970</v>
      </c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</row>
    <row r="129" ht="15.75" customHeight="1">
      <c r="A129" s="229" t="s">
        <v>1509</v>
      </c>
      <c r="B129" s="229" t="s">
        <v>1510</v>
      </c>
      <c r="C129" s="229" t="s">
        <v>1511</v>
      </c>
      <c r="D129" s="229" t="s">
        <v>1614</v>
      </c>
      <c r="E129" s="230" t="s">
        <v>1615</v>
      </c>
      <c r="F129" s="174"/>
      <c r="G129" s="231" t="s">
        <v>1616</v>
      </c>
      <c r="H129" s="174"/>
      <c r="I129" s="232" t="s">
        <v>1617</v>
      </c>
      <c r="J129" s="174"/>
      <c r="K129" s="233" t="s">
        <v>1618</v>
      </c>
      <c r="L129" s="174"/>
      <c r="M129" s="229" t="s">
        <v>1619</v>
      </c>
    </row>
    <row r="130" ht="15.75" customHeight="1">
      <c r="A130" s="234" t="s">
        <v>1509</v>
      </c>
      <c r="B130" s="234" t="s">
        <v>1510</v>
      </c>
      <c r="C130" s="234" t="s">
        <v>1511</v>
      </c>
      <c r="D130" s="234" t="s">
        <v>1614</v>
      </c>
      <c r="E130" s="235" t="s">
        <v>1620</v>
      </c>
      <c r="F130" s="235" t="s">
        <v>1621</v>
      </c>
      <c r="G130" s="236" t="s">
        <v>1622</v>
      </c>
      <c r="H130" s="236" t="s">
        <v>1623</v>
      </c>
      <c r="I130" s="237" t="s">
        <v>1624</v>
      </c>
      <c r="J130" s="237" t="s">
        <v>1625</v>
      </c>
      <c r="K130" s="238" t="s">
        <v>1626</v>
      </c>
      <c r="L130" s="238" t="s">
        <v>1627</v>
      </c>
      <c r="M130" s="234" t="s">
        <v>1619</v>
      </c>
    </row>
    <row r="131" ht="15.75" customHeight="1">
      <c r="A131" s="248">
        <v>1.0</v>
      </c>
      <c r="B131" s="276" t="s">
        <v>1870</v>
      </c>
      <c r="C131" s="280" t="s">
        <v>1754</v>
      </c>
      <c r="D131" s="309">
        <v>50.0</v>
      </c>
      <c r="E131" s="267"/>
      <c r="F131" s="268" t="str">
        <f t="shared" ref="F131:F132" si="67">IF(E131&lt;&gt;"",D131*E131,"")</f>
        <v/>
      </c>
      <c r="G131" s="199">
        <v>19200.0</v>
      </c>
      <c r="H131" s="243">
        <f t="shared" ref="H131:H132" si="68">IF(G131&lt;&gt;"",D131*G131,"")</f>
        <v>960000</v>
      </c>
      <c r="I131" s="200">
        <v>22500.0</v>
      </c>
      <c r="J131" s="244">
        <f t="shared" ref="J131:J132" si="69">IF(I131&lt;&gt;"",D131*I131,"")</f>
        <v>1125000</v>
      </c>
      <c r="K131" s="245">
        <f t="shared" ref="K131:K133" si="70">IF(J131&lt;&gt;"",IF(H131&lt;&gt;"",J131-H131,IF(F131&lt;&gt;"",J131-F131,"")),"")</f>
        <v>165000</v>
      </c>
      <c r="L131" s="246">
        <f t="shared" ref="L131:L133" si="71">IF(K131&lt;&gt;"",IF(H131&lt;&gt;"",IF(H131&lt;&gt;0,K131/H131,""),IF(F131&lt;&gt;"",IF(F131&lt;&gt;0,K131/F131,""),"")),"")</f>
        <v>0.171875</v>
      </c>
      <c r="M131" s="252"/>
    </row>
    <row r="132" ht="15.75" customHeight="1">
      <c r="A132" s="239">
        <v>2.0</v>
      </c>
      <c r="B132" s="276" t="s">
        <v>2018</v>
      </c>
      <c r="C132" s="278" t="s">
        <v>1583</v>
      </c>
      <c r="D132" s="274">
        <v>5.0</v>
      </c>
      <c r="E132" s="267"/>
      <c r="F132" s="268" t="str">
        <f t="shared" si="67"/>
        <v/>
      </c>
      <c r="G132" s="199">
        <v>73000.0</v>
      </c>
      <c r="H132" s="263">
        <f t="shared" si="68"/>
        <v>365000</v>
      </c>
      <c r="I132" s="200">
        <v>85000.0</v>
      </c>
      <c r="J132" s="244">
        <f t="shared" si="69"/>
        <v>425000</v>
      </c>
      <c r="K132" s="245">
        <f t="shared" si="70"/>
        <v>60000</v>
      </c>
      <c r="L132" s="246">
        <f t="shared" si="71"/>
        <v>0.1643835616</v>
      </c>
      <c r="M132" s="247"/>
    </row>
    <row r="133" ht="15.75" customHeight="1">
      <c r="A133" s="362" t="s">
        <v>10</v>
      </c>
      <c r="B133" s="206"/>
      <c r="C133" s="206"/>
      <c r="D133" s="174"/>
      <c r="E133" s="257"/>
      <c r="F133" s="258">
        <f>SUMIF(F131:F132,"&lt;&gt;",F131:F132)</f>
        <v>0</v>
      </c>
      <c r="G133" s="259"/>
      <c r="H133" s="260">
        <f>SUMIF(H131:H132,"&lt;&gt;",H131:H132)</f>
        <v>1325000</v>
      </c>
      <c r="I133" s="265"/>
      <c r="J133" s="260">
        <f>SUMIF(J131:J132,"&lt;&gt;",J131:J132)</f>
        <v>1550000</v>
      </c>
      <c r="K133" s="261">
        <f t="shared" si="70"/>
        <v>225000</v>
      </c>
      <c r="L133" s="262">
        <f t="shared" si="71"/>
        <v>0.1698113208</v>
      </c>
      <c r="M133" s="257"/>
    </row>
    <row r="134" ht="15.75" customHeight="1"/>
    <row r="135" ht="15.75" customHeight="1"/>
    <row r="136" ht="15.75" customHeight="1"/>
    <row r="137" ht="27.75" customHeight="1">
      <c r="A137" s="284" t="s">
        <v>1733</v>
      </c>
      <c r="B137" s="285"/>
      <c r="C137" s="285"/>
      <c r="D137" s="286"/>
      <c r="E137" s="287"/>
      <c r="F137" s="288">
        <f>F8+F21+F28+F35+F42+F56+F64+F71+F78+F85+F94+F104+F113+F119+F126+F133</f>
        <v>0</v>
      </c>
      <c r="G137" s="288"/>
      <c r="H137" s="288">
        <f>H8+H21+H28+H35+H42+H56+H64+H71+H78+H85+H94+H104+H113+H119+H126+H133</f>
        <v>35420900</v>
      </c>
      <c r="I137" s="288"/>
      <c r="J137" s="288">
        <f>J8+J21+J28+J35+J42+J56+J64+J71+J78+J85+J94+J104+J113+J119+J126+J133</f>
        <v>39986500</v>
      </c>
      <c r="K137" s="289">
        <f>IF(J137&lt;&gt;"",IF(H137&lt;&gt;0,J137-H137,J137-F137),"")</f>
        <v>4565600</v>
      </c>
      <c r="L137" s="290">
        <f>IF(K137&lt;&gt;"",IF(H137&lt;&gt;0,K137/H137,IF(F137&lt;&gt;0,K137/F137,"")),"")</f>
        <v>0.128895652</v>
      </c>
      <c r="M137" s="28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</sheetData>
  <mergeCells count="105">
    <mergeCell ref="E60:F60"/>
    <mergeCell ref="A64:D64"/>
    <mergeCell ref="C66:L66"/>
    <mergeCell ref="E67:F67"/>
    <mergeCell ref="G67:H67"/>
    <mergeCell ref="I67:J67"/>
    <mergeCell ref="K67:L67"/>
    <mergeCell ref="A71:D71"/>
    <mergeCell ref="A73:B73"/>
    <mergeCell ref="C73:L73"/>
    <mergeCell ref="E74:F74"/>
    <mergeCell ref="G74:H74"/>
    <mergeCell ref="I74:J74"/>
    <mergeCell ref="K74:L74"/>
    <mergeCell ref="A87:B87"/>
    <mergeCell ref="C87:L87"/>
    <mergeCell ref="E88:F88"/>
    <mergeCell ref="G88:H88"/>
    <mergeCell ref="I88:J88"/>
    <mergeCell ref="K88:L88"/>
    <mergeCell ref="A94:D94"/>
    <mergeCell ref="A96:B96"/>
    <mergeCell ref="C96:L96"/>
    <mergeCell ref="E97:F97"/>
    <mergeCell ref="G97:H97"/>
    <mergeCell ref="I97:J97"/>
    <mergeCell ref="K97:L97"/>
    <mergeCell ref="A104:D104"/>
    <mergeCell ref="A106:B106"/>
    <mergeCell ref="C106:L106"/>
    <mergeCell ref="E107:F107"/>
    <mergeCell ref="G107:H107"/>
    <mergeCell ref="I107:J107"/>
    <mergeCell ref="K107:L107"/>
    <mergeCell ref="A113:D113"/>
    <mergeCell ref="E116:F116"/>
    <mergeCell ref="E122:F122"/>
    <mergeCell ref="A126:D126"/>
    <mergeCell ref="A133:D133"/>
    <mergeCell ref="A137:D137"/>
    <mergeCell ref="G122:H122"/>
    <mergeCell ref="I122:J122"/>
    <mergeCell ref="K122:L122"/>
    <mergeCell ref="A128:M128"/>
    <mergeCell ref="E129:F129"/>
    <mergeCell ref="G129:H129"/>
    <mergeCell ref="I129:J129"/>
    <mergeCell ref="K129:L129"/>
    <mergeCell ref="A115:B115"/>
    <mergeCell ref="C115:L115"/>
    <mergeCell ref="G116:H116"/>
    <mergeCell ref="I116:J116"/>
    <mergeCell ref="K116:L116"/>
    <mergeCell ref="A119:D119"/>
    <mergeCell ref="A121:M121"/>
    <mergeCell ref="A1:M1"/>
    <mergeCell ref="A2:M2"/>
    <mergeCell ref="A3:M3"/>
    <mergeCell ref="A4:M4"/>
    <mergeCell ref="G5:H5"/>
    <mergeCell ref="I5:J5"/>
    <mergeCell ref="K5:L5"/>
    <mergeCell ref="E5:F5"/>
    <mergeCell ref="A8:D8"/>
    <mergeCell ref="A10:M10"/>
    <mergeCell ref="E11:F11"/>
    <mergeCell ref="G11:H11"/>
    <mergeCell ref="I11:J11"/>
    <mergeCell ref="K11:L11"/>
    <mergeCell ref="A21:D21"/>
    <mergeCell ref="A23:M23"/>
    <mergeCell ref="E24:F24"/>
    <mergeCell ref="G24:H24"/>
    <mergeCell ref="I24:J24"/>
    <mergeCell ref="K24:L24"/>
    <mergeCell ref="A28:D28"/>
    <mergeCell ref="A30:M30"/>
    <mergeCell ref="E31:F31"/>
    <mergeCell ref="G31:H31"/>
    <mergeCell ref="I31:J31"/>
    <mergeCell ref="K31:L31"/>
    <mergeCell ref="A35:D35"/>
    <mergeCell ref="C37:L37"/>
    <mergeCell ref="E38:F38"/>
    <mergeCell ref="G38:H38"/>
    <mergeCell ref="I38:J38"/>
    <mergeCell ref="K38:L38"/>
    <mergeCell ref="A42:D42"/>
    <mergeCell ref="C44:L44"/>
    <mergeCell ref="E45:F45"/>
    <mergeCell ref="K45:L45"/>
    <mergeCell ref="G45:H45"/>
    <mergeCell ref="I45:J45"/>
    <mergeCell ref="A56:D56"/>
    <mergeCell ref="C59:L59"/>
    <mergeCell ref="G60:H60"/>
    <mergeCell ref="I60:J60"/>
    <mergeCell ref="K60:L60"/>
    <mergeCell ref="A80:B80"/>
    <mergeCell ref="C80:L80"/>
    <mergeCell ref="E81:F81"/>
    <mergeCell ref="G81:H81"/>
    <mergeCell ref="I81:J81"/>
    <mergeCell ref="K81:L81"/>
    <mergeCell ref="A85:D85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2019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160" t="s">
        <v>1116</v>
      </c>
      <c r="C7" s="159" t="s">
        <v>109</v>
      </c>
      <c r="D7" s="183">
        <v>210.0</v>
      </c>
      <c r="E7" s="184">
        <f>'Daftar Harga'!D9</f>
        <v>36500</v>
      </c>
      <c r="F7" s="185">
        <f t="shared" ref="F7:F20" si="1">IF(E7&lt;&gt;"",D7*E7,"")</f>
        <v>7665000</v>
      </c>
      <c r="G7" s="186">
        <v>33000.0</v>
      </c>
      <c r="H7" s="187">
        <f t="shared" ref="H7:H20" si="2">IF(G7&lt;&gt;"",D7*G7,"")</f>
        <v>6930000</v>
      </c>
      <c r="I7" s="222">
        <v>38000.0</v>
      </c>
      <c r="J7" s="215">
        <f t="shared" ref="J7:J20" si="3">IF(I7&lt;&gt;"",D7*I7,"")</f>
        <v>7980000</v>
      </c>
      <c r="K7" s="190">
        <f t="shared" ref="K7:K21" si="4">IF(J7&lt;&gt;"",IF(H7&lt;&gt;"",J7-H7,IF(F7&lt;&gt;"",J7-F7,"")),"")</f>
        <v>1050000</v>
      </c>
      <c r="L7" s="191">
        <f t="shared" ref="L7:L21" si="5">IF(K7&lt;&gt;"",IF(H7&lt;&gt;"",IF(H7&lt;&gt;0,K7/H7,""),IF(F7&lt;&gt;"",IF(F7&lt;&gt;0,K7/F7,""),"")),"")</f>
        <v>0.1515151515</v>
      </c>
      <c r="M7" s="192"/>
    </row>
    <row r="8" ht="15.75" customHeight="1">
      <c r="A8" s="164">
        <v>2.0</v>
      </c>
      <c r="B8" s="165" t="s">
        <v>1522</v>
      </c>
      <c r="C8" s="164" t="s">
        <v>109</v>
      </c>
      <c r="D8" s="193">
        <v>2.0</v>
      </c>
      <c r="E8" s="184">
        <f>'Daftar Harga'!D12</f>
        <v>30000</v>
      </c>
      <c r="F8" s="185">
        <f t="shared" si="1"/>
        <v>60000</v>
      </c>
      <c r="G8" s="186">
        <v>19000.0</v>
      </c>
      <c r="H8" s="187">
        <f t="shared" si="2"/>
        <v>38000</v>
      </c>
      <c r="I8" s="222">
        <v>35000.0</v>
      </c>
      <c r="J8" s="215">
        <f t="shared" si="3"/>
        <v>70000</v>
      </c>
      <c r="K8" s="194">
        <f t="shared" si="4"/>
        <v>32000</v>
      </c>
      <c r="L8" s="195">
        <f t="shared" si="5"/>
        <v>0.8421052632</v>
      </c>
      <c r="M8" s="196"/>
    </row>
    <row r="9" ht="15.75" customHeight="1">
      <c r="A9" s="159">
        <v>3.0</v>
      </c>
      <c r="B9" s="160" t="s">
        <v>1525</v>
      </c>
      <c r="C9" s="159" t="s">
        <v>109</v>
      </c>
      <c r="D9" s="183">
        <v>1.0</v>
      </c>
      <c r="E9" s="184">
        <f>'Daftar Harga'!D15</f>
        <v>33000</v>
      </c>
      <c r="F9" s="185">
        <f t="shared" si="1"/>
        <v>33000</v>
      </c>
      <c r="G9" s="186">
        <v>30000.0</v>
      </c>
      <c r="H9" s="187">
        <f t="shared" si="2"/>
        <v>30000</v>
      </c>
      <c r="I9" s="222">
        <v>36000.0</v>
      </c>
      <c r="J9" s="215">
        <f t="shared" si="3"/>
        <v>36000</v>
      </c>
      <c r="K9" s="190">
        <f t="shared" si="4"/>
        <v>6000</v>
      </c>
      <c r="L9" s="191">
        <f t="shared" si="5"/>
        <v>0.2</v>
      </c>
      <c r="M9" s="192"/>
    </row>
    <row r="10" ht="15.75" customHeight="1">
      <c r="A10" s="164">
        <v>4.0</v>
      </c>
      <c r="B10" s="165" t="s">
        <v>1527</v>
      </c>
      <c r="C10" s="164" t="s">
        <v>109</v>
      </c>
      <c r="D10" s="198">
        <v>100.0</v>
      </c>
      <c r="E10" s="184">
        <f>'Daftar Harga'!D17</f>
        <v>15500</v>
      </c>
      <c r="F10" s="185">
        <f t="shared" si="1"/>
        <v>1550000</v>
      </c>
      <c r="G10" s="186">
        <v>14500.0</v>
      </c>
      <c r="H10" s="187">
        <f t="shared" si="2"/>
        <v>1450000</v>
      </c>
      <c r="I10" s="222">
        <v>15500.0</v>
      </c>
      <c r="J10" s="215">
        <f t="shared" si="3"/>
        <v>1550000</v>
      </c>
      <c r="K10" s="194">
        <f t="shared" si="4"/>
        <v>100000</v>
      </c>
      <c r="L10" s="195">
        <f t="shared" si="5"/>
        <v>0.06896551724</v>
      </c>
      <c r="M10" s="396">
        <v>125.0</v>
      </c>
    </row>
    <row r="11" ht="15.75" customHeight="1">
      <c r="A11" s="159">
        <v>5.0</v>
      </c>
      <c r="B11" s="160" t="s">
        <v>1534</v>
      </c>
      <c r="C11" s="159" t="s">
        <v>109</v>
      </c>
      <c r="D11" s="227">
        <v>49.0</v>
      </c>
      <c r="E11" s="184">
        <f>'Daftar Harga'!D24</f>
        <v>13000</v>
      </c>
      <c r="F11" s="185">
        <f t="shared" si="1"/>
        <v>637000</v>
      </c>
      <c r="G11" s="186">
        <v>20000.0</v>
      </c>
      <c r="H11" s="187">
        <f t="shared" si="2"/>
        <v>980000</v>
      </c>
      <c r="I11" s="222">
        <v>16000.0</v>
      </c>
      <c r="J11" s="215">
        <f t="shared" si="3"/>
        <v>784000</v>
      </c>
      <c r="K11" s="190">
        <f t="shared" si="4"/>
        <v>-196000</v>
      </c>
      <c r="L11" s="191">
        <f t="shared" si="5"/>
        <v>-0.2</v>
      </c>
      <c r="M11" s="397">
        <v>50.0</v>
      </c>
    </row>
    <row r="12" ht="15.75" customHeight="1">
      <c r="A12" s="164">
        <v>6.0</v>
      </c>
      <c r="B12" s="165" t="s">
        <v>1558</v>
      </c>
      <c r="C12" s="164" t="s">
        <v>1559</v>
      </c>
      <c r="D12" s="193">
        <v>3.0</v>
      </c>
      <c r="E12" s="184">
        <f>'Daftar Harga'!D50</f>
        <v>190000</v>
      </c>
      <c r="F12" s="185">
        <f t="shared" si="1"/>
        <v>570000</v>
      </c>
      <c r="G12" s="186">
        <v>48000.0</v>
      </c>
      <c r="H12" s="187">
        <f t="shared" si="2"/>
        <v>144000</v>
      </c>
      <c r="I12" s="222">
        <v>51000.0</v>
      </c>
      <c r="J12" s="215">
        <f t="shared" si="3"/>
        <v>153000</v>
      </c>
      <c r="K12" s="194">
        <f t="shared" si="4"/>
        <v>9000</v>
      </c>
      <c r="L12" s="195">
        <f t="shared" si="5"/>
        <v>0.0625</v>
      </c>
      <c r="M12" s="196"/>
    </row>
    <row r="13" ht="15.75" customHeight="1">
      <c r="A13" s="159">
        <v>7.0</v>
      </c>
      <c r="B13" s="160" t="s">
        <v>1572</v>
      </c>
      <c r="C13" s="159" t="s">
        <v>109</v>
      </c>
      <c r="D13" s="183">
        <v>0.25</v>
      </c>
      <c r="E13" s="184">
        <f>'Daftar Harga'!D63</f>
        <v>170000</v>
      </c>
      <c r="F13" s="185">
        <f t="shared" si="1"/>
        <v>42500</v>
      </c>
      <c r="G13" s="186">
        <v>180000.0</v>
      </c>
      <c r="H13" s="187">
        <f t="shared" si="2"/>
        <v>45000</v>
      </c>
      <c r="I13" s="222">
        <v>180000.0</v>
      </c>
      <c r="J13" s="215">
        <f t="shared" si="3"/>
        <v>45000</v>
      </c>
      <c r="K13" s="190">
        <f t="shared" si="4"/>
        <v>0</v>
      </c>
      <c r="L13" s="191">
        <f t="shared" si="5"/>
        <v>0</v>
      </c>
      <c r="M13" s="192"/>
    </row>
    <row r="14" ht="15.75" customHeight="1">
      <c r="A14" s="164">
        <v>8.0</v>
      </c>
      <c r="B14" s="165" t="s">
        <v>1578</v>
      </c>
      <c r="C14" s="164" t="s">
        <v>1579</v>
      </c>
      <c r="D14" s="198">
        <v>20.85</v>
      </c>
      <c r="E14" s="184">
        <f>'Daftar Harga'!D69</f>
        <v>205000</v>
      </c>
      <c r="F14" s="185">
        <f t="shared" si="1"/>
        <v>4274250</v>
      </c>
      <c r="G14" s="186">
        <v>22000.0</v>
      </c>
      <c r="H14" s="187">
        <f t="shared" si="2"/>
        <v>458700</v>
      </c>
      <c r="I14" s="222">
        <v>23000.0</v>
      </c>
      <c r="J14" s="215">
        <f t="shared" si="3"/>
        <v>479550</v>
      </c>
      <c r="K14" s="194">
        <f t="shared" si="4"/>
        <v>20850</v>
      </c>
      <c r="L14" s="195">
        <f t="shared" si="5"/>
        <v>0.04545454545</v>
      </c>
      <c r="M14" s="196"/>
    </row>
    <row r="15" ht="15.75" customHeight="1">
      <c r="A15" s="159">
        <v>9.0</v>
      </c>
      <c r="B15" s="160" t="s">
        <v>1152</v>
      </c>
      <c r="C15" s="159" t="s">
        <v>69</v>
      </c>
      <c r="D15" s="227">
        <v>2100.0</v>
      </c>
      <c r="E15" s="184">
        <f>'Daftar Harga'!D71</f>
        <v>1900</v>
      </c>
      <c r="F15" s="185">
        <f t="shared" si="1"/>
        <v>3990000</v>
      </c>
      <c r="G15" s="199">
        <v>1800.0</v>
      </c>
      <c r="H15" s="187">
        <f t="shared" si="2"/>
        <v>3780000</v>
      </c>
      <c r="I15" s="222">
        <v>2000.0</v>
      </c>
      <c r="J15" s="215">
        <f t="shared" si="3"/>
        <v>4200000</v>
      </c>
      <c r="K15" s="190">
        <f t="shared" si="4"/>
        <v>420000</v>
      </c>
      <c r="L15" s="191">
        <f t="shared" si="5"/>
        <v>0.1111111111</v>
      </c>
      <c r="M15" s="192"/>
    </row>
    <row r="16" ht="15.75" customHeight="1">
      <c r="A16" s="164">
        <v>10.0</v>
      </c>
      <c r="B16" s="165" t="s">
        <v>1589</v>
      </c>
      <c r="C16" s="164" t="s">
        <v>1557</v>
      </c>
      <c r="D16" s="193">
        <v>4.0</v>
      </c>
      <c r="E16" s="184">
        <f>'Daftar Harga'!D79</f>
        <v>52000</v>
      </c>
      <c r="F16" s="185">
        <f t="shared" si="1"/>
        <v>208000</v>
      </c>
      <c r="G16" s="186">
        <v>52000.0</v>
      </c>
      <c r="H16" s="187">
        <f t="shared" si="2"/>
        <v>208000</v>
      </c>
      <c r="I16" s="222">
        <v>56000.0</v>
      </c>
      <c r="J16" s="215">
        <f t="shared" si="3"/>
        <v>224000</v>
      </c>
      <c r="K16" s="194">
        <f t="shared" si="4"/>
        <v>16000</v>
      </c>
      <c r="L16" s="195">
        <f t="shared" si="5"/>
        <v>0.07692307692</v>
      </c>
      <c r="M16" s="196"/>
    </row>
    <row r="17" ht="15.75" customHeight="1">
      <c r="A17" s="159">
        <v>11.0</v>
      </c>
      <c r="B17" s="160" t="s">
        <v>1597</v>
      </c>
      <c r="C17" s="159" t="s">
        <v>69</v>
      </c>
      <c r="D17" s="183">
        <v>2080.0</v>
      </c>
      <c r="E17" s="184">
        <f>'Daftar Harga'!D88</f>
        <v>500</v>
      </c>
      <c r="F17" s="185">
        <f t="shared" si="1"/>
        <v>1040000</v>
      </c>
      <c r="G17" s="199">
        <v>480.0</v>
      </c>
      <c r="H17" s="187">
        <f t="shared" si="2"/>
        <v>998400</v>
      </c>
      <c r="I17" s="222">
        <v>700.0</v>
      </c>
      <c r="J17" s="215">
        <f t="shared" si="3"/>
        <v>1456000</v>
      </c>
      <c r="K17" s="190">
        <f t="shared" si="4"/>
        <v>457600</v>
      </c>
      <c r="L17" s="191">
        <f t="shared" si="5"/>
        <v>0.4583333333</v>
      </c>
      <c r="M17" s="192"/>
    </row>
    <row r="18" ht="15.75" customHeight="1">
      <c r="A18" s="164">
        <v>12.0</v>
      </c>
      <c r="B18" s="165" t="s">
        <v>1609</v>
      </c>
      <c r="C18" s="164" t="s">
        <v>109</v>
      </c>
      <c r="D18" s="193">
        <v>40.0</v>
      </c>
      <c r="E18" s="184">
        <f>'Daftar Harga'!D101</f>
        <v>9000</v>
      </c>
      <c r="F18" s="185">
        <f t="shared" si="1"/>
        <v>360000</v>
      </c>
      <c r="G18" s="186">
        <v>12000.0</v>
      </c>
      <c r="H18" s="187">
        <f t="shared" si="2"/>
        <v>480000</v>
      </c>
      <c r="I18" s="222">
        <v>14000.0</v>
      </c>
      <c r="J18" s="215">
        <f t="shared" si="3"/>
        <v>560000</v>
      </c>
      <c r="K18" s="194">
        <f t="shared" si="4"/>
        <v>80000</v>
      </c>
      <c r="L18" s="195">
        <f t="shared" si="5"/>
        <v>0.1666666667</v>
      </c>
      <c r="M18" s="196"/>
    </row>
    <row r="19" ht="15.75" customHeight="1">
      <c r="A19" s="202">
        <v>13.0</v>
      </c>
      <c r="B19" s="201" t="s">
        <v>1934</v>
      </c>
      <c r="C19" s="202" t="s">
        <v>109</v>
      </c>
      <c r="D19" s="203">
        <v>1.0</v>
      </c>
      <c r="E19" s="184"/>
      <c r="F19" s="185" t="str">
        <f t="shared" si="1"/>
        <v/>
      </c>
      <c r="G19" s="199">
        <v>36000.0</v>
      </c>
      <c r="H19" s="187">
        <f t="shared" si="2"/>
        <v>36000</v>
      </c>
      <c r="I19" s="222">
        <v>38000.0</v>
      </c>
      <c r="J19" s="215">
        <f t="shared" si="3"/>
        <v>38000</v>
      </c>
      <c r="K19" s="194">
        <f t="shared" si="4"/>
        <v>2000</v>
      </c>
      <c r="L19" s="195">
        <f t="shared" si="5"/>
        <v>0.05555555556</v>
      </c>
      <c r="M19" s="196"/>
    </row>
    <row r="20" ht="15.75" customHeight="1">
      <c r="A20" s="202">
        <v>14.0</v>
      </c>
      <c r="B20" s="201" t="s">
        <v>2020</v>
      </c>
      <c r="C20" s="202" t="s">
        <v>109</v>
      </c>
      <c r="D20" s="203">
        <v>8.0</v>
      </c>
      <c r="E20" s="184"/>
      <c r="F20" s="185" t="str">
        <f t="shared" si="1"/>
        <v/>
      </c>
      <c r="G20" s="199">
        <v>33000.0</v>
      </c>
      <c r="H20" s="187">
        <f t="shared" si="2"/>
        <v>264000</v>
      </c>
      <c r="I20" s="222">
        <v>38000.0</v>
      </c>
      <c r="J20" s="219">
        <f t="shared" si="3"/>
        <v>304000</v>
      </c>
      <c r="K20" s="194">
        <f t="shared" si="4"/>
        <v>40000</v>
      </c>
      <c r="L20" s="195">
        <f t="shared" si="5"/>
        <v>0.1515151515</v>
      </c>
      <c r="M20" s="196"/>
    </row>
    <row r="21" ht="19.5" customHeight="1">
      <c r="A21" s="205" t="s">
        <v>1628</v>
      </c>
      <c r="B21" s="206"/>
      <c r="C21" s="206"/>
      <c r="D21" s="174"/>
      <c r="E21" s="207"/>
      <c r="F21" s="208">
        <f>SUMIF(F7:F20,"&lt;&gt;",F7:F20)</f>
        <v>20429750</v>
      </c>
      <c r="G21" s="207"/>
      <c r="H21" s="208">
        <f>SUMIF(H7:H20,"&lt;&gt;",H7:H20)</f>
        <v>15842100</v>
      </c>
      <c r="I21" s="209"/>
      <c r="J21" s="210">
        <f>SUMIF(J7:J20,"&lt;&gt;",J7:J20)</f>
        <v>17879550</v>
      </c>
      <c r="K21" s="211">
        <f t="shared" si="4"/>
        <v>2037450</v>
      </c>
      <c r="L21" s="212">
        <f t="shared" si="5"/>
        <v>0.1286098434</v>
      </c>
      <c r="M21" s="207"/>
    </row>
    <row r="23" ht="21.75" customHeight="1">
      <c r="A23" s="171" t="s">
        <v>1629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ht="19.5" customHeight="1">
      <c r="A24" s="172" t="s">
        <v>1509</v>
      </c>
      <c r="B24" s="172" t="s">
        <v>1510</v>
      </c>
      <c r="C24" s="172" t="s">
        <v>1511</v>
      </c>
      <c r="D24" s="172" t="s">
        <v>1614</v>
      </c>
      <c r="E24" s="173" t="s">
        <v>1615</v>
      </c>
      <c r="F24" s="174"/>
      <c r="G24" s="175" t="s">
        <v>1616</v>
      </c>
      <c r="H24" s="174"/>
      <c r="I24" s="176" t="s">
        <v>1617</v>
      </c>
      <c r="J24" s="174"/>
      <c r="K24" s="177" t="s">
        <v>1618</v>
      </c>
      <c r="L24" s="174"/>
      <c r="M24" s="172" t="s">
        <v>1619</v>
      </c>
    </row>
    <row r="25" ht="27.75" customHeight="1">
      <c r="A25" s="178" t="s">
        <v>1509</v>
      </c>
      <c r="B25" s="178" t="s">
        <v>1510</v>
      </c>
      <c r="C25" s="178" t="s">
        <v>1511</v>
      </c>
      <c r="D25" s="178" t="s">
        <v>1614</v>
      </c>
      <c r="E25" s="179" t="s">
        <v>1620</v>
      </c>
      <c r="F25" s="179" t="s">
        <v>1621</v>
      </c>
      <c r="G25" s="180" t="s">
        <v>1622</v>
      </c>
      <c r="H25" s="180" t="s">
        <v>1623</v>
      </c>
      <c r="I25" s="181" t="s">
        <v>1624</v>
      </c>
      <c r="J25" s="181" t="s">
        <v>1625</v>
      </c>
      <c r="K25" s="182" t="s">
        <v>1626</v>
      </c>
      <c r="L25" s="182" t="s">
        <v>1627</v>
      </c>
      <c r="M25" s="178" t="s">
        <v>1619</v>
      </c>
    </row>
    <row r="26" ht="15.75" customHeight="1">
      <c r="A26" s="159">
        <v>1.0</v>
      </c>
      <c r="B26" s="160" t="s">
        <v>1525</v>
      </c>
      <c r="C26" s="159" t="s">
        <v>109</v>
      </c>
      <c r="D26" s="183">
        <v>2.0</v>
      </c>
      <c r="E26" s="184">
        <f>'Daftar Harga'!D15</f>
        <v>33000</v>
      </c>
      <c r="F26" s="185">
        <f t="shared" ref="F26:F43" si="6">IF(E26&lt;&gt;"",D26*E26,"")</f>
        <v>66000</v>
      </c>
      <c r="G26" s="186">
        <v>30000.0</v>
      </c>
      <c r="H26" s="243">
        <f t="shared" ref="H26:H45" si="7">IF(G26&lt;&gt;"",D26*G26,"")</f>
        <v>60000</v>
      </c>
      <c r="I26" s="188">
        <v>36000.0</v>
      </c>
      <c r="J26" s="244">
        <f t="shared" ref="J26:J45" si="8">IF(I26&lt;&gt;"",D26*I26,"")</f>
        <v>72000</v>
      </c>
      <c r="K26" s="190">
        <f t="shared" ref="K26:K46" si="9">IF(J26&lt;&gt;"",IF(H26&lt;&gt;"",J26-H26,IF(F26&lt;&gt;"",J26-F26,"")),"")</f>
        <v>12000</v>
      </c>
      <c r="L26" s="191">
        <f t="shared" ref="L26:L46" si="10">IF(K26&lt;&gt;"",IF(H26&lt;&gt;"",IF(H26&lt;&gt;0,K26/H26,""),IF(F26&lt;&gt;"",IF(F26&lt;&gt;0,K26/F26,""),"")),"")</f>
        <v>0.2</v>
      </c>
      <c r="M26" s="192"/>
    </row>
    <row r="27" ht="15.75" customHeight="1">
      <c r="A27" s="164">
        <v>2.0</v>
      </c>
      <c r="B27" s="165" t="s">
        <v>1527</v>
      </c>
      <c r="C27" s="164" t="s">
        <v>109</v>
      </c>
      <c r="D27" s="198">
        <v>150.0</v>
      </c>
      <c r="E27" s="184">
        <f>'Daftar Harga'!D17</f>
        <v>15500</v>
      </c>
      <c r="F27" s="185">
        <f t="shared" si="6"/>
        <v>2325000</v>
      </c>
      <c r="G27" s="186">
        <v>14500.0</v>
      </c>
      <c r="H27" s="243">
        <f t="shared" si="7"/>
        <v>2175000</v>
      </c>
      <c r="I27" s="188">
        <v>15500.0</v>
      </c>
      <c r="J27" s="244">
        <f t="shared" si="8"/>
        <v>2325000</v>
      </c>
      <c r="K27" s="194">
        <f t="shared" si="9"/>
        <v>150000</v>
      </c>
      <c r="L27" s="195">
        <f t="shared" si="10"/>
        <v>0.06896551724</v>
      </c>
      <c r="M27" s="196"/>
    </row>
    <row r="28" ht="15.75" customHeight="1">
      <c r="A28" s="159">
        <v>3.0</v>
      </c>
      <c r="B28" s="160" t="s">
        <v>1538</v>
      </c>
      <c r="C28" s="159" t="s">
        <v>109</v>
      </c>
      <c r="D28" s="183">
        <v>95.0</v>
      </c>
      <c r="E28" s="184">
        <f>'Daftar Harga'!D28</f>
        <v>52000</v>
      </c>
      <c r="F28" s="185">
        <f t="shared" si="6"/>
        <v>4940000</v>
      </c>
      <c r="G28" s="186">
        <v>56000.0</v>
      </c>
      <c r="H28" s="243">
        <f t="shared" si="7"/>
        <v>5320000</v>
      </c>
      <c r="I28" s="188">
        <v>58500.0</v>
      </c>
      <c r="J28" s="244">
        <f t="shared" si="8"/>
        <v>5557500</v>
      </c>
      <c r="K28" s="190">
        <f t="shared" si="9"/>
        <v>237500</v>
      </c>
      <c r="L28" s="191">
        <f t="shared" si="10"/>
        <v>0.04464285714</v>
      </c>
      <c r="M28" s="192"/>
    </row>
    <row r="29" ht="15.75" customHeight="1">
      <c r="A29" s="164">
        <v>4.0</v>
      </c>
      <c r="B29" s="165" t="s">
        <v>1539</v>
      </c>
      <c r="C29" s="164" t="s">
        <v>109</v>
      </c>
      <c r="D29" s="193">
        <v>2.0</v>
      </c>
      <c r="E29" s="184">
        <f>'Daftar Harga'!D29</f>
        <v>10000</v>
      </c>
      <c r="F29" s="185">
        <f t="shared" si="6"/>
        <v>20000</v>
      </c>
      <c r="G29" s="186">
        <v>15000.0</v>
      </c>
      <c r="H29" s="243">
        <f t="shared" si="7"/>
        <v>30000</v>
      </c>
      <c r="I29" s="188">
        <v>16000.0</v>
      </c>
      <c r="J29" s="244">
        <f t="shared" si="8"/>
        <v>32000</v>
      </c>
      <c r="K29" s="194">
        <f t="shared" si="9"/>
        <v>2000</v>
      </c>
      <c r="L29" s="195">
        <f t="shared" si="10"/>
        <v>0.06666666667</v>
      </c>
      <c r="M29" s="196"/>
    </row>
    <row r="30" ht="15.75" customHeight="1">
      <c r="A30" s="159">
        <v>5.0</v>
      </c>
      <c r="B30" s="160" t="s">
        <v>1549</v>
      </c>
      <c r="C30" s="159" t="s">
        <v>69</v>
      </c>
      <c r="D30" s="227">
        <v>217.0</v>
      </c>
      <c r="E30" s="184">
        <f>'Daftar Harga'!D40</f>
        <v>29000</v>
      </c>
      <c r="F30" s="185">
        <f t="shared" si="6"/>
        <v>6293000</v>
      </c>
      <c r="G30" s="186">
        <v>25000.0</v>
      </c>
      <c r="H30" s="243">
        <f t="shared" si="7"/>
        <v>5425000</v>
      </c>
      <c r="I30" s="188">
        <v>27000.0</v>
      </c>
      <c r="J30" s="244">
        <f t="shared" si="8"/>
        <v>5859000</v>
      </c>
      <c r="K30" s="190">
        <f t="shared" si="9"/>
        <v>434000</v>
      </c>
      <c r="L30" s="191">
        <f t="shared" si="10"/>
        <v>0.08</v>
      </c>
      <c r="M30" s="192"/>
    </row>
    <row r="31" ht="15.75" customHeight="1">
      <c r="A31" s="164">
        <v>6.0</v>
      </c>
      <c r="B31" s="165" t="s">
        <v>1552</v>
      </c>
      <c r="C31" s="164" t="s">
        <v>109</v>
      </c>
      <c r="D31" s="198">
        <v>21.8</v>
      </c>
      <c r="E31" s="184">
        <f>'Daftar Harga'!D45</f>
        <v>10000</v>
      </c>
      <c r="F31" s="185">
        <f t="shared" si="6"/>
        <v>218000</v>
      </c>
      <c r="G31" s="186">
        <v>15000.0</v>
      </c>
      <c r="H31" s="243">
        <f t="shared" si="7"/>
        <v>327000</v>
      </c>
      <c r="I31" s="188">
        <v>16000.0</v>
      </c>
      <c r="J31" s="244">
        <f t="shared" si="8"/>
        <v>348800</v>
      </c>
      <c r="K31" s="194">
        <f t="shared" si="9"/>
        <v>21800</v>
      </c>
      <c r="L31" s="195">
        <f t="shared" si="10"/>
        <v>0.06666666667</v>
      </c>
      <c r="M31" s="196"/>
    </row>
    <row r="32" ht="15.75" customHeight="1">
      <c r="A32" s="159">
        <v>7.0</v>
      </c>
      <c r="B32" s="160" t="s">
        <v>1553</v>
      </c>
      <c r="C32" s="159" t="s">
        <v>109</v>
      </c>
      <c r="D32" s="183">
        <v>2.0</v>
      </c>
      <c r="E32" s="184">
        <f>'Daftar Harga'!D46</f>
        <v>10000</v>
      </c>
      <c r="F32" s="185">
        <f t="shared" si="6"/>
        <v>20000</v>
      </c>
      <c r="G32" s="186">
        <v>52000.0</v>
      </c>
      <c r="H32" s="243">
        <f t="shared" si="7"/>
        <v>104000</v>
      </c>
      <c r="I32" s="188">
        <v>55000.0</v>
      </c>
      <c r="J32" s="244">
        <f t="shared" si="8"/>
        <v>110000</v>
      </c>
      <c r="K32" s="190">
        <f t="shared" si="9"/>
        <v>6000</v>
      </c>
      <c r="L32" s="191">
        <f t="shared" si="10"/>
        <v>0.05769230769</v>
      </c>
      <c r="M32" s="192"/>
    </row>
    <row r="33" ht="15.75" customHeight="1">
      <c r="A33" s="164">
        <v>8.0</v>
      </c>
      <c r="B33" s="165" t="s">
        <v>1558</v>
      </c>
      <c r="C33" s="164" t="s">
        <v>1559</v>
      </c>
      <c r="D33" s="193">
        <v>3.0</v>
      </c>
      <c r="E33" s="184">
        <f>'Daftar Harga'!D50</f>
        <v>190000</v>
      </c>
      <c r="F33" s="185">
        <f t="shared" si="6"/>
        <v>570000</v>
      </c>
      <c r="G33" s="186">
        <v>47000.0</v>
      </c>
      <c r="H33" s="243">
        <f t="shared" si="7"/>
        <v>141000</v>
      </c>
      <c r="I33" s="188">
        <v>55000.0</v>
      </c>
      <c r="J33" s="244">
        <f t="shared" si="8"/>
        <v>165000</v>
      </c>
      <c r="K33" s="194">
        <f t="shared" si="9"/>
        <v>24000</v>
      </c>
      <c r="L33" s="195">
        <f t="shared" si="10"/>
        <v>0.170212766</v>
      </c>
      <c r="M33" s="196"/>
    </row>
    <row r="34" ht="15.75" customHeight="1">
      <c r="A34" s="159">
        <v>9.0</v>
      </c>
      <c r="B34" s="160" t="s">
        <v>1561</v>
      </c>
      <c r="C34" s="159" t="s">
        <v>109</v>
      </c>
      <c r="D34" s="227">
        <v>9.35</v>
      </c>
      <c r="E34" s="184">
        <f>'Daftar Harga'!D52</f>
        <v>22000</v>
      </c>
      <c r="F34" s="185">
        <f t="shared" si="6"/>
        <v>205700</v>
      </c>
      <c r="G34" s="186">
        <v>22000.0</v>
      </c>
      <c r="H34" s="243">
        <f t="shared" si="7"/>
        <v>205700</v>
      </c>
      <c r="I34" s="188">
        <v>25000.0</v>
      </c>
      <c r="J34" s="244">
        <f t="shared" si="8"/>
        <v>233750</v>
      </c>
      <c r="K34" s="190">
        <f t="shared" si="9"/>
        <v>28050</v>
      </c>
      <c r="L34" s="191">
        <f t="shared" si="10"/>
        <v>0.1363636364</v>
      </c>
      <c r="M34" s="192"/>
    </row>
    <row r="35" ht="15.75" customHeight="1">
      <c r="A35" s="164">
        <v>10.0</v>
      </c>
      <c r="B35" s="165" t="s">
        <v>1564</v>
      </c>
      <c r="C35" s="164" t="s">
        <v>109</v>
      </c>
      <c r="D35" s="193">
        <v>1.0</v>
      </c>
      <c r="E35" s="184" t="str">
        <f>'Daftar Harga'!D55</f>
        <v/>
      </c>
      <c r="F35" s="185" t="str">
        <f t="shared" si="6"/>
        <v/>
      </c>
      <c r="G35" s="186">
        <v>35000.0</v>
      </c>
      <c r="H35" s="243">
        <f t="shared" si="7"/>
        <v>35000</v>
      </c>
      <c r="I35" s="188">
        <v>40000.0</v>
      </c>
      <c r="J35" s="244">
        <f t="shared" si="8"/>
        <v>40000</v>
      </c>
      <c r="K35" s="194">
        <f t="shared" si="9"/>
        <v>5000</v>
      </c>
      <c r="L35" s="195">
        <f t="shared" si="10"/>
        <v>0.1428571429</v>
      </c>
      <c r="M35" s="196"/>
    </row>
    <row r="36" ht="15.75" customHeight="1">
      <c r="A36" s="159">
        <v>11.0</v>
      </c>
      <c r="B36" s="160" t="s">
        <v>1565</v>
      </c>
      <c r="C36" s="159" t="s">
        <v>109</v>
      </c>
      <c r="D36" s="183">
        <v>1.0</v>
      </c>
      <c r="E36" s="184">
        <f>'Daftar Harga'!D56</f>
        <v>30000</v>
      </c>
      <c r="F36" s="185">
        <f t="shared" si="6"/>
        <v>30000</v>
      </c>
      <c r="G36" s="186">
        <v>30000.0</v>
      </c>
      <c r="H36" s="243">
        <f t="shared" si="7"/>
        <v>30000</v>
      </c>
      <c r="I36" s="188">
        <v>35000.0</v>
      </c>
      <c r="J36" s="244">
        <f t="shared" si="8"/>
        <v>35000</v>
      </c>
      <c r="K36" s="190">
        <f t="shared" si="9"/>
        <v>5000</v>
      </c>
      <c r="L36" s="191">
        <f t="shared" si="10"/>
        <v>0.1666666667</v>
      </c>
      <c r="M36" s="192"/>
    </row>
    <row r="37" ht="15.75" customHeight="1">
      <c r="A37" s="164">
        <v>12.0</v>
      </c>
      <c r="B37" s="165" t="s">
        <v>1567</v>
      </c>
      <c r="C37" s="164" t="s">
        <v>109</v>
      </c>
      <c r="D37" s="198">
        <v>39.6</v>
      </c>
      <c r="E37" s="184">
        <f>'Daftar Harga'!D58</f>
        <v>6500</v>
      </c>
      <c r="F37" s="185">
        <f t="shared" si="6"/>
        <v>257400</v>
      </c>
      <c r="G37" s="186">
        <v>8000.0</v>
      </c>
      <c r="H37" s="243">
        <f t="shared" si="7"/>
        <v>316800</v>
      </c>
      <c r="I37" s="188">
        <v>10000.0</v>
      </c>
      <c r="J37" s="244">
        <f t="shared" si="8"/>
        <v>396000</v>
      </c>
      <c r="K37" s="194">
        <f t="shared" si="9"/>
        <v>79200</v>
      </c>
      <c r="L37" s="195">
        <f t="shared" si="10"/>
        <v>0.25</v>
      </c>
      <c r="M37" s="196"/>
    </row>
    <row r="38" ht="15.75" customHeight="1">
      <c r="A38" s="159">
        <v>13.0</v>
      </c>
      <c r="B38" s="160" t="s">
        <v>1569</v>
      </c>
      <c r="C38" s="159" t="s">
        <v>109</v>
      </c>
      <c r="D38" s="183">
        <v>1.0</v>
      </c>
      <c r="E38" s="184">
        <f>'Daftar Harga'!D60</f>
        <v>12000</v>
      </c>
      <c r="F38" s="185">
        <f t="shared" si="6"/>
        <v>12000</v>
      </c>
      <c r="G38" s="186">
        <v>12000.0</v>
      </c>
      <c r="H38" s="243">
        <f t="shared" si="7"/>
        <v>12000</v>
      </c>
      <c r="I38" s="188">
        <v>14000.0</v>
      </c>
      <c r="J38" s="244">
        <f t="shared" si="8"/>
        <v>14000</v>
      </c>
      <c r="K38" s="190">
        <f t="shared" si="9"/>
        <v>2000</v>
      </c>
      <c r="L38" s="191">
        <f t="shared" si="10"/>
        <v>0.1666666667</v>
      </c>
      <c r="M38" s="192"/>
    </row>
    <row r="39" ht="15.75" customHeight="1">
      <c r="A39" s="164">
        <v>14.0</v>
      </c>
      <c r="B39" s="165" t="s">
        <v>1578</v>
      </c>
      <c r="C39" s="164" t="s">
        <v>1579</v>
      </c>
      <c r="D39" s="193">
        <v>29.0</v>
      </c>
      <c r="E39" s="184">
        <f>'Daftar Harga'!D69</f>
        <v>205000</v>
      </c>
      <c r="F39" s="185">
        <f t="shared" si="6"/>
        <v>5945000</v>
      </c>
      <c r="G39" s="186">
        <v>22000.0</v>
      </c>
      <c r="H39" s="243">
        <f t="shared" si="7"/>
        <v>638000</v>
      </c>
      <c r="I39" s="188">
        <v>24000.0</v>
      </c>
      <c r="J39" s="244">
        <f t="shared" si="8"/>
        <v>696000</v>
      </c>
      <c r="K39" s="194">
        <f t="shared" si="9"/>
        <v>58000</v>
      </c>
      <c r="L39" s="195">
        <f t="shared" si="10"/>
        <v>0.09090909091</v>
      </c>
      <c r="M39" s="196"/>
    </row>
    <row r="40" ht="15.75" customHeight="1">
      <c r="A40" s="159">
        <v>15.0</v>
      </c>
      <c r="B40" s="160" t="s">
        <v>1601</v>
      </c>
      <c r="C40" s="159" t="s">
        <v>67</v>
      </c>
      <c r="D40" s="183">
        <v>90.0</v>
      </c>
      <c r="E40" s="184">
        <f>'Daftar Harga'!D93</f>
        <v>12000</v>
      </c>
      <c r="F40" s="185">
        <f t="shared" si="6"/>
        <v>1080000</v>
      </c>
      <c r="G40" s="186">
        <v>12000.0</v>
      </c>
      <c r="H40" s="243">
        <f t="shared" si="7"/>
        <v>1080000</v>
      </c>
      <c r="I40" s="188">
        <v>14000.0</v>
      </c>
      <c r="J40" s="244">
        <f t="shared" si="8"/>
        <v>1260000</v>
      </c>
      <c r="K40" s="190">
        <f t="shared" si="9"/>
        <v>180000</v>
      </c>
      <c r="L40" s="191">
        <f t="shared" si="10"/>
        <v>0.1666666667</v>
      </c>
      <c r="M40" s="192"/>
    </row>
    <row r="41" ht="15.75" customHeight="1">
      <c r="A41" s="164">
        <v>16.0</v>
      </c>
      <c r="B41" s="165" t="s">
        <v>1604</v>
      </c>
      <c r="C41" s="164" t="s">
        <v>109</v>
      </c>
      <c r="D41" s="193">
        <v>5.0</v>
      </c>
      <c r="E41" s="184">
        <f>'Daftar Harga'!D96</f>
        <v>12000</v>
      </c>
      <c r="F41" s="185">
        <f t="shared" si="6"/>
        <v>60000</v>
      </c>
      <c r="G41" s="186">
        <v>13000.0</v>
      </c>
      <c r="H41" s="243">
        <f t="shared" si="7"/>
        <v>65000</v>
      </c>
      <c r="I41" s="188">
        <v>15000.0</v>
      </c>
      <c r="J41" s="244">
        <f t="shared" si="8"/>
        <v>75000</v>
      </c>
      <c r="K41" s="194">
        <f t="shared" si="9"/>
        <v>10000</v>
      </c>
      <c r="L41" s="195">
        <f t="shared" si="10"/>
        <v>0.1538461538</v>
      </c>
      <c r="M41" s="196"/>
    </row>
    <row r="42" ht="15.75" customHeight="1">
      <c r="A42" s="159">
        <v>17.0</v>
      </c>
      <c r="B42" s="160" t="s">
        <v>1605</v>
      </c>
      <c r="C42" s="159" t="s">
        <v>109</v>
      </c>
      <c r="D42" s="183">
        <v>4.0</v>
      </c>
      <c r="E42" s="184">
        <f>'Daftar Harga'!D97</f>
        <v>11500</v>
      </c>
      <c r="F42" s="185">
        <f t="shared" si="6"/>
        <v>46000</v>
      </c>
      <c r="G42" s="186">
        <v>11500.0</v>
      </c>
      <c r="H42" s="243">
        <f t="shared" si="7"/>
        <v>46000</v>
      </c>
      <c r="I42" s="188">
        <v>13000.0</v>
      </c>
      <c r="J42" s="244">
        <f t="shared" si="8"/>
        <v>52000</v>
      </c>
      <c r="K42" s="190">
        <f t="shared" si="9"/>
        <v>6000</v>
      </c>
      <c r="L42" s="191">
        <f t="shared" si="10"/>
        <v>0.1304347826</v>
      </c>
      <c r="M42" s="192"/>
    </row>
    <row r="43" ht="15.75" customHeight="1">
      <c r="A43" s="164">
        <v>18.0</v>
      </c>
      <c r="B43" s="165" t="s">
        <v>1609</v>
      </c>
      <c r="C43" s="164" t="s">
        <v>109</v>
      </c>
      <c r="D43" s="198">
        <v>39.7</v>
      </c>
      <c r="E43" s="184">
        <f>'Daftar Harga'!D101</f>
        <v>9000</v>
      </c>
      <c r="F43" s="185">
        <f t="shared" si="6"/>
        <v>357300</v>
      </c>
      <c r="G43" s="186">
        <v>9000.0</v>
      </c>
      <c r="H43" s="243">
        <f t="shared" si="7"/>
        <v>357300</v>
      </c>
      <c r="I43" s="188">
        <v>13000.0</v>
      </c>
      <c r="J43" s="244">
        <f t="shared" si="8"/>
        <v>516100</v>
      </c>
      <c r="K43" s="194">
        <f t="shared" si="9"/>
        <v>158800</v>
      </c>
      <c r="L43" s="195">
        <f t="shared" si="10"/>
        <v>0.4444444444</v>
      </c>
      <c r="M43" s="196"/>
    </row>
    <row r="44" ht="15.75" customHeight="1">
      <c r="A44" s="202">
        <v>19.0</v>
      </c>
      <c r="B44" s="201" t="s">
        <v>2021</v>
      </c>
      <c r="C44" s="202" t="s">
        <v>109</v>
      </c>
      <c r="D44" s="203">
        <v>1.0</v>
      </c>
      <c r="E44" s="184"/>
      <c r="F44" s="185"/>
      <c r="G44" s="186">
        <v>18500.0</v>
      </c>
      <c r="H44" s="243">
        <f t="shared" si="7"/>
        <v>18500</v>
      </c>
      <c r="I44" s="188">
        <v>20000.0</v>
      </c>
      <c r="J44" s="244">
        <f t="shared" si="8"/>
        <v>20000</v>
      </c>
      <c r="K44" s="194">
        <f t="shared" si="9"/>
        <v>1500</v>
      </c>
      <c r="L44" s="195">
        <f t="shared" si="10"/>
        <v>0.08108108108</v>
      </c>
      <c r="M44" s="196"/>
    </row>
    <row r="45" ht="15.75" customHeight="1">
      <c r="A45" s="202">
        <v>20.0</v>
      </c>
      <c r="B45" s="201" t="s">
        <v>1934</v>
      </c>
      <c r="C45" s="202" t="s">
        <v>109</v>
      </c>
      <c r="D45" s="203">
        <v>1.0</v>
      </c>
      <c r="E45" s="184"/>
      <c r="F45" s="185"/>
      <c r="G45" s="186">
        <v>40000.0</v>
      </c>
      <c r="H45" s="243">
        <f t="shared" si="7"/>
        <v>40000</v>
      </c>
      <c r="I45" s="188">
        <v>45000.0</v>
      </c>
      <c r="J45" s="264">
        <f t="shared" si="8"/>
        <v>45000</v>
      </c>
      <c r="K45" s="194">
        <f t="shared" si="9"/>
        <v>5000</v>
      </c>
      <c r="L45" s="195">
        <f t="shared" si="10"/>
        <v>0.125</v>
      </c>
      <c r="M45" s="196"/>
    </row>
    <row r="46" ht="19.5" customHeight="1">
      <c r="A46" s="205" t="s">
        <v>1632</v>
      </c>
      <c r="B46" s="206"/>
      <c r="C46" s="206"/>
      <c r="D46" s="174"/>
      <c r="E46" s="207"/>
      <c r="F46" s="208">
        <f>SUMIF(F26:F45,"&lt;&gt;",F26:F45)</f>
        <v>22445400</v>
      </c>
      <c r="G46" s="207"/>
      <c r="H46" s="208">
        <f>SUMIF(H26:H45,"&lt;&gt;",H26:H45)</f>
        <v>16426300</v>
      </c>
      <c r="I46" s="209"/>
      <c r="J46" s="210">
        <f>SUMIF(J26:J45,"&lt;&gt;",J26:J45)</f>
        <v>17852150</v>
      </c>
      <c r="K46" s="211">
        <f t="shared" si="9"/>
        <v>1425850</v>
      </c>
      <c r="L46" s="212">
        <f t="shared" si="10"/>
        <v>0.08680287101</v>
      </c>
      <c r="M46" s="207"/>
    </row>
    <row r="47" ht="15.75" customHeight="1"/>
    <row r="48" ht="21.75" customHeight="1">
      <c r="A48" s="225" t="s">
        <v>1633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6"/>
    </row>
    <row r="49" ht="19.5" customHeight="1">
      <c r="A49" s="172" t="s">
        <v>1509</v>
      </c>
      <c r="B49" s="172" t="s">
        <v>1510</v>
      </c>
      <c r="C49" s="172" t="s">
        <v>1511</v>
      </c>
      <c r="D49" s="172" t="s">
        <v>1614</v>
      </c>
      <c r="E49" s="173" t="s">
        <v>1615</v>
      </c>
      <c r="F49" s="174"/>
      <c r="G49" s="175" t="s">
        <v>1616</v>
      </c>
      <c r="H49" s="174"/>
      <c r="I49" s="176" t="s">
        <v>1617</v>
      </c>
      <c r="J49" s="174"/>
      <c r="K49" s="177" t="s">
        <v>1618</v>
      </c>
      <c r="L49" s="174"/>
      <c r="M49" s="172" t="s">
        <v>1619</v>
      </c>
    </row>
    <row r="50" ht="27.75" customHeight="1">
      <c r="A50" s="178" t="s">
        <v>1509</v>
      </c>
      <c r="B50" s="178" t="s">
        <v>1510</v>
      </c>
      <c r="C50" s="178" t="s">
        <v>1511</v>
      </c>
      <c r="D50" s="178" t="s">
        <v>1614</v>
      </c>
      <c r="E50" s="179" t="s">
        <v>1620</v>
      </c>
      <c r="F50" s="179" t="s">
        <v>1621</v>
      </c>
      <c r="G50" s="180" t="s">
        <v>1622</v>
      </c>
      <c r="H50" s="180" t="s">
        <v>1623</v>
      </c>
      <c r="I50" s="181" t="s">
        <v>1624</v>
      </c>
      <c r="J50" s="181" t="s">
        <v>1625</v>
      </c>
      <c r="K50" s="182" t="s">
        <v>1626</v>
      </c>
      <c r="L50" s="182" t="s">
        <v>1627</v>
      </c>
      <c r="M50" s="178" t="s">
        <v>1619</v>
      </c>
    </row>
    <row r="51" ht="15.75" customHeight="1">
      <c r="A51" s="159">
        <v>1.0</v>
      </c>
      <c r="B51" s="160" t="s">
        <v>1522</v>
      </c>
      <c r="C51" s="159" t="s">
        <v>109</v>
      </c>
      <c r="D51" s="227">
        <v>3.0</v>
      </c>
      <c r="E51" s="184">
        <f>'Daftar Harga'!D12</f>
        <v>30000</v>
      </c>
      <c r="F51" s="185">
        <f t="shared" ref="F51:F66" si="11">IF(E51&lt;&gt;"",D51*E51,"")</f>
        <v>90000</v>
      </c>
      <c r="G51" s="221">
        <v>19000.0</v>
      </c>
      <c r="H51" s="187">
        <f t="shared" ref="H51:H66" si="12">IF(G51&lt;&gt;"",D51*G51,"")</f>
        <v>57000</v>
      </c>
      <c r="I51" s="222">
        <v>35000.0</v>
      </c>
      <c r="J51" s="215">
        <f t="shared" ref="J51:J66" si="13">IF(I51&lt;&gt;"",D51*I51,"")</f>
        <v>105000</v>
      </c>
      <c r="K51" s="190">
        <f t="shared" ref="K51:K67" si="14">IF(J51&lt;&gt;"",IF(H51&lt;&gt;"",J51-H51,IF(F51&lt;&gt;"",J51-F51,"")),"")</f>
        <v>48000</v>
      </c>
      <c r="L51" s="191">
        <f t="shared" ref="L51:L67" si="15">IF(K51&lt;&gt;"",IF(H51&lt;&gt;"",IF(H51&lt;&gt;0,K51/H51,""),IF(F51&lt;&gt;"",IF(F51&lt;&gt;0,K51/F51,""),"")),"")</f>
        <v>0.8421052632</v>
      </c>
      <c r="M51" s="192"/>
    </row>
    <row r="52" ht="15.75" customHeight="1">
      <c r="A52" s="223">
        <v>2.0</v>
      </c>
      <c r="B52" s="160" t="s">
        <v>1525</v>
      </c>
      <c r="C52" s="159" t="s">
        <v>109</v>
      </c>
      <c r="D52" s="183">
        <v>3.0</v>
      </c>
      <c r="E52" s="184">
        <f>'Daftar Harga'!D15</f>
        <v>33000</v>
      </c>
      <c r="F52" s="185">
        <f t="shared" si="11"/>
        <v>99000</v>
      </c>
      <c r="G52" s="221">
        <v>30000.0</v>
      </c>
      <c r="H52" s="187">
        <f t="shared" si="12"/>
        <v>90000</v>
      </c>
      <c r="I52" s="222">
        <v>40000.0</v>
      </c>
      <c r="J52" s="215">
        <f t="shared" si="13"/>
        <v>120000</v>
      </c>
      <c r="K52" s="190">
        <f t="shared" si="14"/>
        <v>30000</v>
      </c>
      <c r="L52" s="191">
        <f t="shared" si="15"/>
        <v>0.3333333333</v>
      </c>
      <c r="M52" s="192"/>
    </row>
    <row r="53" ht="15.75" customHeight="1">
      <c r="A53" s="220">
        <v>3.0</v>
      </c>
      <c r="B53" s="165" t="s">
        <v>1527</v>
      </c>
      <c r="C53" s="164" t="s">
        <v>109</v>
      </c>
      <c r="D53" s="193">
        <v>125.0</v>
      </c>
      <c r="E53" s="184">
        <f>'Daftar Harga'!D17</f>
        <v>15500</v>
      </c>
      <c r="F53" s="185">
        <f t="shared" si="11"/>
        <v>1937500</v>
      </c>
      <c r="G53" s="221">
        <v>14500.0</v>
      </c>
      <c r="H53" s="187">
        <f t="shared" si="12"/>
        <v>1812500</v>
      </c>
      <c r="I53" s="222">
        <v>15500.0</v>
      </c>
      <c r="J53" s="215">
        <f t="shared" si="13"/>
        <v>1937500</v>
      </c>
      <c r="K53" s="194">
        <f t="shared" si="14"/>
        <v>125000</v>
      </c>
      <c r="L53" s="195">
        <f t="shared" si="15"/>
        <v>0.06896551724</v>
      </c>
      <c r="M53" s="196"/>
    </row>
    <row r="54" ht="15.75" customHeight="1">
      <c r="A54" s="223">
        <v>4.0</v>
      </c>
      <c r="B54" s="160" t="s">
        <v>1535</v>
      </c>
      <c r="C54" s="159" t="s">
        <v>109</v>
      </c>
      <c r="D54" s="183">
        <v>1.0</v>
      </c>
      <c r="E54" s="184">
        <f>'Daftar Harga'!D25</f>
        <v>47000</v>
      </c>
      <c r="F54" s="185">
        <f t="shared" si="11"/>
        <v>47000</v>
      </c>
      <c r="G54" s="221">
        <v>75000.0</v>
      </c>
      <c r="H54" s="187">
        <f t="shared" si="12"/>
        <v>75000</v>
      </c>
      <c r="I54" s="222">
        <v>80000.0</v>
      </c>
      <c r="J54" s="215">
        <f t="shared" si="13"/>
        <v>80000</v>
      </c>
      <c r="K54" s="190">
        <f t="shared" si="14"/>
        <v>5000</v>
      </c>
      <c r="L54" s="191">
        <f t="shared" si="15"/>
        <v>0.06666666667</v>
      </c>
      <c r="M54" s="192"/>
    </row>
    <row r="55" ht="15.75" customHeight="1">
      <c r="A55" s="220">
        <v>5.0</v>
      </c>
      <c r="B55" s="197" t="s">
        <v>1818</v>
      </c>
      <c r="C55" s="164" t="s">
        <v>109</v>
      </c>
      <c r="D55" s="193">
        <v>1.0</v>
      </c>
      <c r="E55" s="184">
        <f>'Daftar Harga'!D34</f>
        <v>9000</v>
      </c>
      <c r="F55" s="185">
        <f t="shared" si="11"/>
        <v>9000</v>
      </c>
      <c r="G55" s="221">
        <v>24000.0</v>
      </c>
      <c r="H55" s="187">
        <f t="shared" si="12"/>
        <v>24000</v>
      </c>
      <c r="I55" s="222">
        <v>25000.0</v>
      </c>
      <c r="J55" s="215">
        <f t="shared" si="13"/>
        <v>25000</v>
      </c>
      <c r="K55" s="194">
        <f t="shared" si="14"/>
        <v>1000</v>
      </c>
      <c r="L55" s="195">
        <f t="shared" si="15"/>
        <v>0.04166666667</v>
      </c>
      <c r="M55" s="196"/>
    </row>
    <row r="56" ht="15.75" customHeight="1">
      <c r="A56" s="220">
        <v>7.0</v>
      </c>
      <c r="B56" s="165" t="s">
        <v>1558</v>
      </c>
      <c r="C56" s="220" t="s">
        <v>1824</v>
      </c>
      <c r="D56" s="198">
        <v>2.0</v>
      </c>
      <c r="E56" s="184">
        <f>'Daftar Harga'!D50</f>
        <v>190000</v>
      </c>
      <c r="F56" s="185">
        <f t="shared" si="11"/>
        <v>380000</v>
      </c>
      <c r="G56" s="221">
        <v>48000.0</v>
      </c>
      <c r="H56" s="187">
        <f t="shared" si="12"/>
        <v>96000</v>
      </c>
      <c r="I56" s="222">
        <v>52000.0</v>
      </c>
      <c r="J56" s="215">
        <f t="shared" si="13"/>
        <v>104000</v>
      </c>
      <c r="K56" s="194">
        <f t="shared" si="14"/>
        <v>8000</v>
      </c>
      <c r="L56" s="195">
        <f t="shared" si="15"/>
        <v>0.08333333333</v>
      </c>
      <c r="M56" s="196"/>
    </row>
    <row r="57" ht="15.75" customHeight="1">
      <c r="A57" s="223">
        <v>8.0</v>
      </c>
      <c r="B57" s="160" t="s">
        <v>1570</v>
      </c>
      <c r="C57" s="159" t="s">
        <v>109</v>
      </c>
      <c r="D57" s="227">
        <v>64.3</v>
      </c>
      <c r="E57" s="184">
        <f>'Daftar Harga'!D61</f>
        <v>9000</v>
      </c>
      <c r="F57" s="185">
        <f t="shared" si="11"/>
        <v>578700</v>
      </c>
      <c r="G57" s="221">
        <v>9000.0</v>
      </c>
      <c r="H57" s="187">
        <f t="shared" si="12"/>
        <v>578700</v>
      </c>
      <c r="I57" s="222">
        <v>10000.0</v>
      </c>
      <c r="J57" s="215">
        <f t="shared" si="13"/>
        <v>643000</v>
      </c>
      <c r="K57" s="190">
        <f t="shared" si="14"/>
        <v>64300</v>
      </c>
      <c r="L57" s="191">
        <f t="shared" si="15"/>
        <v>0.1111111111</v>
      </c>
      <c r="M57" s="192"/>
    </row>
    <row r="58" ht="15.75" customHeight="1">
      <c r="A58" s="220">
        <v>9.0</v>
      </c>
      <c r="B58" s="165" t="s">
        <v>1578</v>
      </c>
      <c r="C58" s="164" t="s">
        <v>1579</v>
      </c>
      <c r="D58" s="198">
        <v>15.0</v>
      </c>
      <c r="E58" s="184">
        <f>'Daftar Harga'!D69</f>
        <v>205000</v>
      </c>
      <c r="F58" s="185">
        <f t="shared" si="11"/>
        <v>3075000</v>
      </c>
      <c r="G58" s="221">
        <v>22000.0</v>
      </c>
      <c r="H58" s="187">
        <f t="shared" si="12"/>
        <v>330000</v>
      </c>
      <c r="I58" s="222">
        <v>23000.0</v>
      </c>
      <c r="J58" s="215">
        <f t="shared" si="13"/>
        <v>345000</v>
      </c>
      <c r="K58" s="194">
        <f t="shared" si="14"/>
        <v>15000</v>
      </c>
      <c r="L58" s="195">
        <f t="shared" si="15"/>
        <v>0.04545454545</v>
      </c>
      <c r="M58" s="196"/>
    </row>
    <row r="59" ht="15.75" customHeight="1">
      <c r="A59" s="223">
        <v>10.0</v>
      </c>
      <c r="B59" s="160" t="s">
        <v>1584</v>
      </c>
      <c r="C59" s="159" t="s">
        <v>109</v>
      </c>
      <c r="D59" s="183">
        <v>1.0</v>
      </c>
      <c r="E59" s="184">
        <f>'Daftar Harga'!D74</f>
        <v>42000</v>
      </c>
      <c r="F59" s="185">
        <f t="shared" si="11"/>
        <v>42000</v>
      </c>
      <c r="G59" s="221">
        <v>42000.0</v>
      </c>
      <c r="H59" s="187">
        <f t="shared" si="12"/>
        <v>42000</v>
      </c>
      <c r="I59" s="222">
        <v>45000.0</v>
      </c>
      <c r="J59" s="215">
        <f t="shared" si="13"/>
        <v>45000</v>
      </c>
      <c r="K59" s="190">
        <f t="shared" si="14"/>
        <v>3000</v>
      </c>
      <c r="L59" s="191">
        <f t="shared" si="15"/>
        <v>0.07142857143</v>
      </c>
      <c r="M59" s="192"/>
    </row>
    <row r="60" ht="15.75" customHeight="1">
      <c r="A60" s="220">
        <v>11.0</v>
      </c>
      <c r="B60" s="165" t="s">
        <v>1586</v>
      </c>
      <c r="C60" s="164" t="s">
        <v>1557</v>
      </c>
      <c r="D60" s="198">
        <v>6.0</v>
      </c>
      <c r="E60" s="184">
        <f>'Daftar Harga'!D76</f>
        <v>115000</v>
      </c>
      <c r="F60" s="185">
        <f t="shared" si="11"/>
        <v>690000</v>
      </c>
      <c r="G60" s="221">
        <v>22000.0</v>
      </c>
      <c r="H60" s="187">
        <f t="shared" si="12"/>
        <v>132000</v>
      </c>
      <c r="I60" s="222">
        <v>25000.0</v>
      </c>
      <c r="J60" s="215">
        <f t="shared" si="13"/>
        <v>150000</v>
      </c>
      <c r="K60" s="190">
        <f t="shared" si="14"/>
        <v>18000</v>
      </c>
      <c r="L60" s="191">
        <f t="shared" si="15"/>
        <v>0.1363636364</v>
      </c>
      <c r="M60" s="196"/>
    </row>
    <row r="61" ht="15.75" customHeight="1">
      <c r="A61" s="223">
        <v>12.0</v>
      </c>
      <c r="B61" s="160" t="s">
        <v>1596</v>
      </c>
      <c r="C61" s="159" t="s">
        <v>69</v>
      </c>
      <c r="D61" s="227">
        <v>1368.0</v>
      </c>
      <c r="E61" s="184">
        <f>'Daftar Harga'!D87</f>
        <v>3264</v>
      </c>
      <c r="F61" s="185">
        <f t="shared" si="11"/>
        <v>4465152</v>
      </c>
      <c r="G61" s="221">
        <v>3167.0</v>
      </c>
      <c r="H61" s="187">
        <f t="shared" si="12"/>
        <v>4332456</v>
      </c>
      <c r="I61" s="222">
        <v>3400.0</v>
      </c>
      <c r="J61" s="215">
        <f t="shared" si="13"/>
        <v>4651200</v>
      </c>
      <c r="K61" s="190">
        <f t="shared" si="14"/>
        <v>318744</v>
      </c>
      <c r="L61" s="191">
        <f t="shared" si="15"/>
        <v>0.07357120303</v>
      </c>
      <c r="M61" s="192"/>
    </row>
    <row r="62" ht="15.75" customHeight="1">
      <c r="A62" s="220">
        <v>13.0</v>
      </c>
      <c r="B62" s="165" t="s">
        <v>1600</v>
      </c>
      <c r="C62" s="164" t="s">
        <v>109</v>
      </c>
      <c r="D62" s="398">
        <v>79.6</v>
      </c>
      <c r="E62" s="184">
        <f>'Daftar Harga'!D92</f>
        <v>28000</v>
      </c>
      <c r="F62" s="185">
        <f t="shared" si="11"/>
        <v>2228800</v>
      </c>
      <c r="G62" s="221">
        <v>25500.0</v>
      </c>
      <c r="H62" s="187">
        <f t="shared" si="12"/>
        <v>2029800</v>
      </c>
      <c r="I62" s="222">
        <v>26500.0</v>
      </c>
      <c r="J62" s="215">
        <f t="shared" si="13"/>
        <v>2109400</v>
      </c>
      <c r="K62" s="190">
        <f t="shared" si="14"/>
        <v>79600</v>
      </c>
      <c r="L62" s="191">
        <f t="shared" si="15"/>
        <v>0.03921568627</v>
      </c>
      <c r="M62" s="196"/>
    </row>
    <row r="63" ht="15.75" customHeight="1">
      <c r="A63" s="223">
        <v>14.0</v>
      </c>
      <c r="B63" s="160" t="s">
        <v>1601</v>
      </c>
      <c r="C63" s="159" t="s">
        <v>67</v>
      </c>
      <c r="D63" s="399">
        <v>56.0</v>
      </c>
      <c r="E63" s="184">
        <f>'Daftar Harga'!D93</f>
        <v>12000</v>
      </c>
      <c r="F63" s="185">
        <f t="shared" si="11"/>
        <v>672000</v>
      </c>
      <c r="G63" s="400">
        <v>12000.0</v>
      </c>
      <c r="H63" s="187">
        <f t="shared" si="12"/>
        <v>672000</v>
      </c>
      <c r="I63" s="222">
        <v>14000.0</v>
      </c>
      <c r="J63" s="215">
        <f t="shared" si="13"/>
        <v>784000</v>
      </c>
      <c r="K63" s="190">
        <f t="shared" si="14"/>
        <v>112000</v>
      </c>
      <c r="L63" s="191">
        <f t="shared" si="15"/>
        <v>0.1666666667</v>
      </c>
      <c r="M63" s="192"/>
    </row>
    <row r="64" ht="15.75" customHeight="1">
      <c r="A64" s="299">
        <v>15.0</v>
      </c>
      <c r="B64" s="401" t="s">
        <v>1571</v>
      </c>
      <c r="C64" s="299" t="s">
        <v>109</v>
      </c>
      <c r="D64" s="402">
        <v>0.3</v>
      </c>
      <c r="E64" s="184"/>
      <c r="F64" s="185" t="str">
        <f t="shared" si="11"/>
        <v/>
      </c>
      <c r="G64" s="221">
        <v>140000.0</v>
      </c>
      <c r="H64" s="187">
        <f t="shared" si="12"/>
        <v>42000</v>
      </c>
      <c r="I64" s="222">
        <v>180000.0</v>
      </c>
      <c r="J64" s="215">
        <f t="shared" si="13"/>
        <v>54000</v>
      </c>
      <c r="K64" s="190">
        <f t="shared" si="14"/>
        <v>12000</v>
      </c>
      <c r="L64" s="191">
        <f t="shared" si="15"/>
        <v>0.2857142857</v>
      </c>
      <c r="M64" s="192"/>
    </row>
    <row r="65" ht="15.75" customHeight="1">
      <c r="A65" s="299">
        <v>16.0</v>
      </c>
      <c r="B65" s="401" t="s">
        <v>2022</v>
      </c>
      <c r="C65" s="299" t="s">
        <v>109</v>
      </c>
      <c r="D65" s="402">
        <v>1.0</v>
      </c>
      <c r="E65" s="184"/>
      <c r="F65" s="185" t="str">
        <f t="shared" si="11"/>
        <v/>
      </c>
      <c r="G65" s="221">
        <v>56000.0</v>
      </c>
      <c r="H65" s="187">
        <f t="shared" si="12"/>
        <v>56000</v>
      </c>
      <c r="I65" s="222">
        <v>56000.0</v>
      </c>
      <c r="J65" s="215">
        <f t="shared" si="13"/>
        <v>56000</v>
      </c>
      <c r="K65" s="190">
        <f t="shared" si="14"/>
        <v>0</v>
      </c>
      <c r="L65" s="191">
        <f t="shared" si="15"/>
        <v>0</v>
      </c>
      <c r="M65" s="192"/>
    </row>
    <row r="66" ht="15.75" customHeight="1">
      <c r="A66" s="299">
        <v>17.0</v>
      </c>
      <c r="B66" s="401" t="s">
        <v>2023</v>
      </c>
      <c r="C66" s="299" t="s">
        <v>109</v>
      </c>
      <c r="D66" s="402">
        <v>1.0</v>
      </c>
      <c r="E66" s="184"/>
      <c r="F66" s="185" t="str">
        <f t="shared" si="11"/>
        <v/>
      </c>
      <c r="G66" s="221">
        <v>22000.0</v>
      </c>
      <c r="H66" s="187">
        <f t="shared" si="12"/>
        <v>22000</v>
      </c>
      <c r="I66" s="222">
        <v>22000.0</v>
      </c>
      <c r="J66" s="219">
        <f t="shared" si="13"/>
        <v>22000</v>
      </c>
      <c r="K66" s="190">
        <f t="shared" si="14"/>
        <v>0</v>
      </c>
      <c r="L66" s="191">
        <f t="shared" si="15"/>
        <v>0</v>
      </c>
      <c r="M66" s="192"/>
    </row>
    <row r="67" ht="19.5" customHeight="1">
      <c r="A67" s="205" t="s">
        <v>2024</v>
      </c>
      <c r="B67" s="206"/>
      <c r="C67" s="206"/>
      <c r="D67" s="174"/>
      <c r="E67" s="207"/>
      <c r="F67" s="208">
        <f>SUMIF(F51:F64,"&lt;&gt;",F51:F64)</f>
        <v>14314152</v>
      </c>
      <c r="G67" s="207"/>
      <c r="H67" s="208">
        <f>SUMIF(H51:H64,"&lt;&gt;",H51:H64)</f>
        <v>10313456</v>
      </c>
      <c r="I67" s="209"/>
      <c r="J67" s="210">
        <f>SUMIF(J51:J66,"&lt;&gt;",J51:J66)</f>
        <v>11231100</v>
      </c>
      <c r="K67" s="211">
        <f t="shared" si="14"/>
        <v>917644</v>
      </c>
      <c r="L67" s="212">
        <f t="shared" si="15"/>
        <v>0.08897541232</v>
      </c>
      <c r="M67" s="207"/>
    </row>
    <row r="68" ht="15.75" customHeight="1"/>
    <row r="69" ht="21.75" customHeight="1">
      <c r="A69" s="171" t="s">
        <v>1876</v>
      </c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6"/>
    </row>
    <row r="70" ht="19.5" customHeight="1">
      <c r="A70" s="172" t="s">
        <v>1509</v>
      </c>
      <c r="B70" s="172" t="s">
        <v>1510</v>
      </c>
      <c r="C70" s="172" t="s">
        <v>1511</v>
      </c>
      <c r="D70" s="172" t="s">
        <v>1614</v>
      </c>
      <c r="E70" s="173" t="s">
        <v>1615</v>
      </c>
      <c r="F70" s="174"/>
      <c r="G70" s="175" t="s">
        <v>1616</v>
      </c>
      <c r="H70" s="174"/>
      <c r="I70" s="176" t="s">
        <v>1617</v>
      </c>
      <c r="J70" s="174"/>
      <c r="K70" s="177" t="s">
        <v>1618</v>
      </c>
      <c r="L70" s="174"/>
      <c r="M70" s="172" t="s">
        <v>1619</v>
      </c>
    </row>
    <row r="71" ht="27.75" customHeight="1">
      <c r="A71" s="178" t="s">
        <v>1509</v>
      </c>
      <c r="B71" s="178" t="s">
        <v>1510</v>
      </c>
      <c r="C71" s="178" t="s">
        <v>1511</v>
      </c>
      <c r="D71" s="178" t="s">
        <v>1614</v>
      </c>
      <c r="E71" s="179" t="s">
        <v>1620</v>
      </c>
      <c r="F71" s="179" t="s">
        <v>1621</v>
      </c>
      <c r="G71" s="180" t="s">
        <v>1622</v>
      </c>
      <c r="H71" s="180" t="s">
        <v>1623</v>
      </c>
      <c r="I71" s="181" t="s">
        <v>1624</v>
      </c>
      <c r="J71" s="181" t="s">
        <v>1625</v>
      </c>
      <c r="K71" s="182" t="s">
        <v>1626</v>
      </c>
      <c r="L71" s="182" t="s">
        <v>1627</v>
      </c>
      <c r="M71" s="178" t="s">
        <v>1619</v>
      </c>
    </row>
    <row r="72" ht="15.75" customHeight="1">
      <c r="A72" s="159">
        <v>1.0</v>
      </c>
      <c r="B72" s="160" t="s">
        <v>1549</v>
      </c>
      <c r="C72" s="159" t="s">
        <v>69</v>
      </c>
      <c r="D72" s="399">
        <v>125.8</v>
      </c>
      <c r="E72" s="184">
        <f>'Daftar Harga'!D40</f>
        <v>29000</v>
      </c>
      <c r="F72" s="185">
        <f t="shared" ref="F72:F77" si="16">IF(E72&lt;&gt;"",D72*E72,"")</f>
        <v>3648200</v>
      </c>
      <c r="G72" s="400">
        <v>25000.0</v>
      </c>
      <c r="H72" s="187">
        <f t="shared" ref="H72:H77" si="17">IF(G72&lt;&gt;"",D72*G72,"")</f>
        <v>3145000</v>
      </c>
      <c r="I72" s="403">
        <v>28000.0</v>
      </c>
      <c r="J72" s="215">
        <f t="shared" ref="J72:J77" si="18">IF(I72&lt;&gt;"",D72*I72,"")</f>
        <v>3522400</v>
      </c>
      <c r="K72" s="190">
        <f t="shared" ref="K72:K78" si="19">IF(J72&lt;&gt;"",IF(H72&lt;&gt;"",J72-H72,IF(F72&lt;&gt;"",J72-F72,"")),"")</f>
        <v>377400</v>
      </c>
      <c r="L72" s="191">
        <f t="shared" ref="L72:L78" si="20">IF(K72&lt;&gt;"",IF(H72&lt;&gt;"",IF(H72&lt;&gt;0,K72/H72,""),IF(F72&lt;&gt;"",IF(F72&lt;&gt;0,K72/F72,""),"")),"")</f>
        <v>0.12</v>
      </c>
      <c r="M72" s="192"/>
    </row>
    <row r="73" ht="15.75" customHeight="1">
      <c r="A73" s="164">
        <v>2.0</v>
      </c>
      <c r="B73" s="165" t="s">
        <v>1560</v>
      </c>
      <c r="C73" s="164" t="s">
        <v>69</v>
      </c>
      <c r="D73" s="398">
        <v>4.0</v>
      </c>
      <c r="E73" s="184" t="str">
        <f>'Daftar Harga'!D51</f>
        <v/>
      </c>
      <c r="F73" s="185" t="str">
        <f t="shared" si="16"/>
        <v/>
      </c>
      <c r="G73" s="400">
        <v>300000.0</v>
      </c>
      <c r="H73" s="187">
        <f t="shared" si="17"/>
        <v>1200000</v>
      </c>
      <c r="I73" s="403">
        <v>325000.0</v>
      </c>
      <c r="J73" s="215">
        <f t="shared" si="18"/>
        <v>1300000</v>
      </c>
      <c r="K73" s="194">
        <f t="shared" si="19"/>
        <v>100000</v>
      </c>
      <c r="L73" s="195">
        <f t="shared" si="20"/>
        <v>0.08333333333</v>
      </c>
      <c r="M73" s="196"/>
    </row>
    <row r="74" ht="15.75" customHeight="1">
      <c r="A74" s="159">
        <v>3.0</v>
      </c>
      <c r="B74" s="160" t="s">
        <v>1582</v>
      </c>
      <c r="C74" s="159" t="s">
        <v>1583</v>
      </c>
      <c r="D74" s="399">
        <v>115.0</v>
      </c>
      <c r="E74" s="184" t="str">
        <f>'Daftar Harga'!D73</f>
        <v/>
      </c>
      <c r="F74" s="185" t="str">
        <f t="shared" si="16"/>
        <v/>
      </c>
      <c r="G74" s="400">
        <v>10500.0</v>
      </c>
      <c r="H74" s="187">
        <f t="shared" si="17"/>
        <v>1207500</v>
      </c>
      <c r="I74" s="403">
        <v>12000.0</v>
      </c>
      <c r="J74" s="215">
        <f t="shared" si="18"/>
        <v>1380000</v>
      </c>
      <c r="K74" s="190">
        <f t="shared" si="19"/>
        <v>172500</v>
      </c>
      <c r="L74" s="191">
        <f t="shared" si="20"/>
        <v>0.1428571429</v>
      </c>
      <c r="M74" s="192"/>
    </row>
    <row r="75" ht="15.75" customHeight="1">
      <c r="A75" s="164">
        <v>4.0</v>
      </c>
      <c r="B75" s="165" t="s">
        <v>1594</v>
      </c>
      <c r="C75" s="164" t="s">
        <v>109</v>
      </c>
      <c r="D75" s="398">
        <v>6.9</v>
      </c>
      <c r="E75" s="184">
        <f>'Daftar Harga'!D84</f>
        <v>34000</v>
      </c>
      <c r="F75" s="185">
        <f t="shared" si="16"/>
        <v>234600</v>
      </c>
      <c r="G75" s="400">
        <v>35000.0</v>
      </c>
      <c r="H75" s="187">
        <f t="shared" si="17"/>
        <v>241500</v>
      </c>
      <c r="I75" s="403">
        <v>38000.0</v>
      </c>
      <c r="J75" s="215">
        <f t="shared" si="18"/>
        <v>262200</v>
      </c>
      <c r="K75" s="194">
        <f t="shared" si="19"/>
        <v>20700</v>
      </c>
      <c r="L75" s="195">
        <f t="shared" si="20"/>
        <v>0.08571428571</v>
      </c>
      <c r="M75" s="196"/>
    </row>
    <row r="76" ht="15.75" customHeight="1">
      <c r="A76" s="159">
        <v>5.0</v>
      </c>
      <c r="B76" s="160" t="s">
        <v>1600</v>
      </c>
      <c r="C76" s="159" t="s">
        <v>109</v>
      </c>
      <c r="D76" s="183">
        <v>92.0</v>
      </c>
      <c r="E76" s="184">
        <f>'Daftar Harga'!D92</f>
        <v>28000</v>
      </c>
      <c r="F76" s="185">
        <f t="shared" si="16"/>
        <v>2576000</v>
      </c>
      <c r="G76" s="400">
        <v>25500.0</v>
      </c>
      <c r="H76" s="187">
        <f t="shared" si="17"/>
        <v>2346000</v>
      </c>
      <c r="I76" s="403">
        <v>28000.0</v>
      </c>
      <c r="J76" s="215">
        <f t="shared" si="18"/>
        <v>2576000</v>
      </c>
      <c r="K76" s="190">
        <f t="shared" si="19"/>
        <v>230000</v>
      </c>
      <c r="L76" s="191">
        <f t="shared" si="20"/>
        <v>0.09803921569</v>
      </c>
      <c r="M76" s="192"/>
    </row>
    <row r="77" ht="15.75" customHeight="1">
      <c r="A77" s="164">
        <v>6.0</v>
      </c>
      <c r="B77" s="165" t="s">
        <v>1607</v>
      </c>
      <c r="C77" s="164" t="s">
        <v>109</v>
      </c>
      <c r="D77" s="398">
        <v>20.0</v>
      </c>
      <c r="E77" s="184">
        <f>'Daftar Harga'!D99</f>
        <v>8000</v>
      </c>
      <c r="F77" s="185">
        <f t="shared" si="16"/>
        <v>160000</v>
      </c>
      <c r="G77" s="400">
        <v>9000.0</v>
      </c>
      <c r="H77" s="187">
        <f t="shared" si="17"/>
        <v>180000</v>
      </c>
      <c r="I77" s="403">
        <v>12000.0</v>
      </c>
      <c r="J77" s="219">
        <f t="shared" si="18"/>
        <v>240000</v>
      </c>
      <c r="K77" s="190">
        <f t="shared" si="19"/>
        <v>60000</v>
      </c>
      <c r="L77" s="191">
        <f t="shared" si="20"/>
        <v>0.3333333333</v>
      </c>
      <c r="M77" s="196"/>
    </row>
    <row r="78" ht="19.5" customHeight="1">
      <c r="A78" s="205" t="s">
        <v>1937</v>
      </c>
      <c r="B78" s="206"/>
      <c r="C78" s="206"/>
      <c r="D78" s="174"/>
      <c r="E78" s="207"/>
      <c r="F78" s="208">
        <f>SUMIF(F72:F77,"&lt;&gt;",F72:F77)</f>
        <v>6618800</v>
      </c>
      <c r="G78" s="207"/>
      <c r="H78" s="208">
        <f>SUMIF(H72:H77,"&lt;&gt;",H72:H77)</f>
        <v>8320000</v>
      </c>
      <c r="I78" s="207"/>
      <c r="J78" s="210">
        <f>SUMIF(J72:J77,"&lt;&gt;",J72:J77)</f>
        <v>9280600</v>
      </c>
      <c r="K78" s="211">
        <f t="shared" si="19"/>
        <v>960600</v>
      </c>
      <c r="L78" s="212">
        <f t="shared" si="20"/>
        <v>0.1154567308</v>
      </c>
      <c r="M78" s="207"/>
    </row>
    <row r="79" ht="15.75" customHeight="1"/>
    <row r="80" ht="15.75" customHeight="1">
      <c r="A80" s="228" t="s">
        <v>1639</v>
      </c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6"/>
    </row>
    <row r="81" ht="15.75" customHeight="1">
      <c r="A81" s="229" t="s">
        <v>1509</v>
      </c>
      <c r="B81" s="229" t="s">
        <v>1510</v>
      </c>
      <c r="C81" s="229" t="s">
        <v>1511</v>
      </c>
      <c r="D81" s="229" t="s">
        <v>1614</v>
      </c>
      <c r="E81" s="230" t="s">
        <v>1615</v>
      </c>
      <c r="F81" s="174"/>
      <c r="G81" s="231" t="s">
        <v>1616</v>
      </c>
      <c r="H81" s="174"/>
      <c r="I81" s="232" t="s">
        <v>1617</v>
      </c>
      <c r="J81" s="174"/>
      <c r="K81" s="233" t="s">
        <v>1618</v>
      </c>
      <c r="L81" s="174"/>
      <c r="M81" s="229" t="s">
        <v>1619</v>
      </c>
    </row>
    <row r="82" ht="15.75" customHeight="1">
      <c r="A82" s="234" t="s">
        <v>1509</v>
      </c>
      <c r="B82" s="234" t="s">
        <v>1510</v>
      </c>
      <c r="C82" s="234" t="s">
        <v>1511</v>
      </c>
      <c r="D82" s="234" t="s">
        <v>1614</v>
      </c>
      <c r="E82" s="235" t="s">
        <v>1620</v>
      </c>
      <c r="F82" s="235" t="s">
        <v>1621</v>
      </c>
      <c r="G82" s="236" t="s">
        <v>1622</v>
      </c>
      <c r="H82" s="236" t="s">
        <v>1623</v>
      </c>
      <c r="I82" s="237" t="s">
        <v>1624</v>
      </c>
      <c r="J82" s="237" t="s">
        <v>1625</v>
      </c>
      <c r="K82" s="238" t="s">
        <v>1626</v>
      </c>
      <c r="L82" s="238" t="s">
        <v>1627</v>
      </c>
      <c r="M82" s="234" t="s">
        <v>1619</v>
      </c>
    </row>
    <row r="83" ht="15.75" customHeight="1">
      <c r="A83" s="239">
        <v>1.0</v>
      </c>
      <c r="B83" s="240" t="s">
        <v>1527</v>
      </c>
      <c r="C83" s="239" t="s">
        <v>109</v>
      </c>
      <c r="D83" s="213">
        <v>125.0</v>
      </c>
      <c r="E83" s="241" t="str">
        <f>'Daftar Harga'!D94</f>
        <v/>
      </c>
      <c r="F83" s="242" t="str">
        <f t="shared" ref="F83:F95" si="21">IF(E83&lt;&gt;"",D83*E83,"")</f>
        <v/>
      </c>
      <c r="G83" s="186">
        <v>14500.0</v>
      </c>
      <c r="H83" s="243">
        <f t="shared" ref="H83:H95" si="22">IF(G83&lt;&gt;"",D83*G83,"")</f>
        <v>1812500</v>
      </c>
      <c r="I83" s="188">
        <v>15500.0</v>
      </c>
      <c r="J83" s="244">
        <f t="shared" ref="J83:J95" si="23">IF(I83&lt;&gt;"",D83*I83,"")</f>
        <v>1937500</v>
      </c>
      <c r="K83" s="245">
        <f t="shared" ref="K83:K96" si="24">IF(J83&lt;&gt;"",IF(H83&lt;&gt;"",J83-H83,IF(F83&lt;&gt;"",J83-F83,"")),"")</f>
        <v>125000</v>
      </c>
      <c r="L83" s="246">
        <f t="shared" ref="L83:L96" si="25">IF(K83&lt;&gt;"",IF(H83&lt;&gt;"",IF(H83&lt;&gt;0,K83/H83,""),IF(F83&lt;&gt;"",IF(F83&lt;&gt;0,K83/F83,""),"")),"")</f>
        <v>0.06896551724</v>
      </c>
      <c r="M83" s="247"/>
    </row>
    <row r="84" ht="15.75" customHeight="1">
      <c r="A84" s="248">
        <v>2.0</v>
      </c>
      <c r="B84" s="249" t="s">
        <v>2025</v>
      </c>
      <c r="C84" s="248" t="s">
        <v>109</v>
      </c>
      <c r="D84" s="216">
        <v>59.35</v>
      </c>
      <c r="E84" s="241">
        <f>'Daftar Harga'!D96</f>
        <v>12000</v>
      </c>
      <c r="F84" s="242">
        <f t="shared" si="21"/>
        <v>712200</v>
      </c>
      <c r="G84" s="186">
        <v>24000.0</v>
      </c>
      <c r="H84" s="243">
        <f t="shared" si="22"/>
        <v>1424400</v>
      </c>
      <c r="I84" s="188">
        <v>28000.0</v>
      </c>
      <c r="J84" s="244">
        <f t="shared" si="23"/>
        <v>1661800</v>
      </c>
      <c r="K84" s="250">
        <f t="shared" si="24"/>
        <v>237400</v>
      </c>
      <c r="L84" s="251">
        <f t="shared" si="25"/>
        <v>0.1666666667</v>
      </c>
      <c r="M84" s="252"/>
    </row>
    <row r="85" ht="15.75" customHeight="1">
      <c r="A85" s="239">
        <v>3.0</v>
      </c>
      <c r="B85" s="240" t="s">
        <v>1543</v>
      </c>
      <c r="C85" s="239" t="s">
        <v>109</v>
      </c>
      <c r="D85" s="213">
        <v>1.0</v>
      </c>
      <c r="E85" s="241" t="str">
        <f>'Daftar Harga'!D112</f>
        <v/>
      </c>
      <c r="F85" s="242" t="str">
        <f t="shared" si="21"/>
        <v/>
      </c>
      <c r="G85" s="186">
        <v>7000.0</v>
      </c>
      <c r="H85" s="243">
        <f t="shared" si="22"/>
        <v>7000</v>
      </c>
      <c r="I85" s="188">
        <v>10000.0</v>
      </c>
      <c r="J85" s="244">
        <f t="shared" si="23"/>
        <v>10000</v>
      </c>
      <c r="K85" s="245">
        <f t="shared" si="24"/>
        <v>3000</v>
      </c>
      <c r="L85" s="246">
        <f t="shared" si="25"/>
        <v>0.4285714286</v>
      </c>
      <c r="M85" s="247"/>
    </row>
    <row r="86" ht="15.75" customHeight="1">
      <c r="A86" s="248">
        <v>4.0</v>
      </c>
      <c r="B86" s="249" t="s">
        <v>1655</v>
      </c>
      <c r="C86" s="248" t="s">
        <v>109</v>
      </c>
      <c r="D86" s="216">
        <v>0.95</v>
      </c>
      <c r="E86" s="241" t="str">
        <f>'Daftar Harga'!D115</f>
        <v/>
      </c>
      <c r="F86" s="242" t="str">
        <f t="shared" si="21"/>
        <v/>
      </c>
      <c r="G86" s="186">
        <v>18500.0</v>
      </c>
      <c r="H86" s="243">
        <f t="shared" si="22"/>
        <v>17575</v>
      </c>
      <c r="I86" s="188">
        <v>20000.0</v>
      </c>
      <c r="J86" s="244">
        <f t="shared" si="23"/>
        <v>19000</v>
      </c>
      <c r="K86" s="250">
        <f t="shared" si="24"/>
        <v>1425</v>
      </c>
      <c r="L86" s="251">
        <f t="shared" si="25"/>
        <v>0.08108108108</v>
      </c>
      <c r="M86" s="252"/>
    </row>
    <row r="87" ht="15.75" customHeight="1">
      <c r="A87" s="239">
        <v>5.0</v>
      </c>
      <c r="B87" s="240" t="s">
        <v>1549</v>
      </c>
      <c r="C87" s="239" t="s">
        <v>109</v>
      </c>
      <c r="D87" s="213">
        <v>237.0</v>
      </c>
      <c r="E87" s="241" t="str">
        <f>'Daftar Harga'!D121</f>
        <v/>
      </c>
      <c r="F87" s="242" t="str">
        <f t="shared" si="21"/>
        <v/>
      </c>
      <c r="G87" s="186">
        <v>25000.0</v>
      </c>
      <c r="H87" s="243">
        <f t="shared" si="22"/>
        <v>5925000</v>
      </c>
      <c r="I87" s="188">
        <v>27500.0</v>
      </c>
      <c r="J87" s="244">
        <f t="shared" si="23"/>
        <v>6517500</v>
      </c>
      <c r="K87" s="245">
        <f t="shared" si="24"/>
        <v>592500</v>
      </c>
      <c r="L87" s="246">
        <f t="shared" si="25"/>
        <v>0.1</v>
      </c>
      <c r="M87" s="247"/>
    </row>
    <row r="88" ht="15.75" customHeight="1">
      <c r="A88" s="248">
        <v>6.0</v>
      </c>
      <c r="B88" s="249" t="s">
        <v>1936</v>
      </c>
      <c r="C88" s="248" t="s">
        <v>109</v>
      </c>
      <c r="D88" s="216">
        <v>1.0</v>
      </c>
      <c r="E88" s="241" t="str">
        <f>'Daftar Harga'!D127</f>
        <v/>
      </c>
      <c r="F88" s="242" t="str">
        <f t="shared" si="21"/>
        <v/>
      </c>
      <c r="G88" s="186">
        <v>120000.0</v>
      </c>
      <c r="H88" s="243">
        <f t="shared" si="22"/>
        <v>120000</v>
      </c>
      <c r="I88" s="188">
        <v>125000.0</v>
      </c>
      <c r="J88" s="244">
        <f t="shared" si="23"/>
        <v>125000</v>
      </c>
      <c r="K88" s="250">
        <f t="shared" si="24"/>
        <v>5000</v>
      </c>
      <c r="L88" s="251">
        <f t="shared" si="25"/>
        <v>0.04166666667</v>
      </c>
      <c r="M88" s="252"/>
    </row>
    <row r="89" ht="15.75" customHeight="1">
      <c r="A89" s="239">
        <v>7.0</v>
      </c>
      <c r="B89" s="240" t="s">
        <v>1643</v>
      </c>
      <c r="C89" s="239" t="s">
        <v>1824</v>
      </c>
      <c r="D89" s="213">
        <v>3.0</v>
      </c>
      <c r="E89" s="267"/>
      <c r="F89" s="268" t="str">
        <f t="shared" si="21"/>
        <v/>
      </c>
      <c r="G89" s="186">
        <v>48000.0</v>
      </c>
      <c r="H89" s="243">
        <f t="shared" si="22"/>
        <v>144000</v>
      </c>
      <c r="I89" s="188">
        <v>52000.0</v>
      </c>
      <c r="J89" s="244">
        <f t="shared" si="23"/>
        <v>156000</v>
      </c>
      <c r="K89" s="245">
        <f t="shared" si="24"/>
        <v>12000</v>
      </c>
      <c r="L89" s="246">
        <f t="shared" si="25"/>
        <v>0.08333333333</v>
      </c>
      <c r="M89" s="247"/>
    </row>
    <row r="90" ht="15.75" customHeight="1">
      <c r="A90" s="248">
        <v>8.0</v>
      </c>
      <c r="B90" s="249" t="s">
        <v>2026</v>
      </c>
      <c r="C90" s="248" t="s">
        <v>109</v>
      </c>
      <c r="D90" s="216">
        <v>2.0</v>
      </c>
      <c r="E90" s="241" t="str">
        <f>'Daftar Harga'!D142</f>
        <v/>
      </c>
      <c r="F90" s="242" t="str">
        <f t="shared" si="21"/>
        <v/>
      </c>
      <c r="G90" s="186">
        <v>180000.0</v>
      </c>
      <c r="H90" s="243">
        <f t="shared" si="22"/>
        <v>360000</v>
      </c>
      <c r="I90" s="188">
        <v>200000.0</v>
      </c>
      <c r="J90" s="244">
        <f t="shared" si="23"/>
        <v>400000</v>
      </c>
      <c r="K90" s="250">
        <f t="shared" si="24"/>
        <v>40000</v>
      </c>
      <c r="L90" s="251">
        <f t="shared" si="25"/>
        <v>0.1111111111</v>
      </c>
      <c r="M90" s="404">
        <v>5.0</v>
      </c>
    </row>
    <row r="91" ht="15.75" customHeight="1">
      <c r="A91" s="239">
        <v>9.0</v>
      </c>
      <c r="B91" s="240" t="s">
        <v>1578</v>
      </c>
      <c r="C91" s="239" t="s">
        <v>1579</v>
      </c>
      <c r="D91" s="213">
        <v>14.2</v>
      </c>
      <c r="E91" s="241" t="str">
        <f>'Daftar Harga'!D150</f>
        <v/>
      </c>
      <c r="F91" s="242" t="str">
        <f t="shared" si="21"/>
        <v/>
      </c>
      <c r="G91" s="186">
        <v>21500.0</v>
      </c>
      <c r="H91" s="243">
        <f t="shared" si="22"/>
        <v>305300</v>
      </c>
      <c r="I91" s="188">
        <v>23000.0</v>
      </c>
      <c r="J91" s="244">
        <f t="shared" si="23"/>
        <v>326600</v>
      </c>
      <c r="K91" s="245">
        <f t="shared" si="24"/>
        <v>21300</v>
      </c>
      <c r="L91" s="246">
        <f t="shared" si="25"/>
        <v>0.06976744186</v>
      </c>
      <c r="M91" s="247"/>
    </row>
    <row r="92" ht="15.75" customHeight="1">
      <c r="A92" s="248">
        <v>10.0</v>
      </c>
      <c r="B92" s="249" t="s">
        <v>1846</v>
      </c>
      <c r="C92" s="248" t="s">
        <v>109</v>
      </c>
      <c r="D92" s="216">
        <v>4.0</v>
      </c>
      <c r="E92" s="241" t="str">
        <f>'Daftar Harga'!D161</f>
        <v/>
      </c>
      <c r="F92" s="242" t="str">
        <f t="shared" si="21"/>
        <v/>
      </c>
      <c r="G92" s="186">
        <v>52000.0</v>
      </c>
      <c r="H92" s="243">
        <f t="shared" si="22"/>
        <v>208000</v>
      </c>
      <c r="I92" s="188">
        <v>56000.0</v>
      </c>
      <c r="J92" s="244">
        <f t="shared" si="23"/>
        <v>224000</v>
      </c>
      <c r="K92" s="250">
        <f t="shared" si="24"/>
        <v>16000</v>
      </c>
      <c r="L92" s="251">
        <f t="shared" si="25"/>
        <v>0.07692307692</v>
      </c>
      <c r="M92" s="252"/>
    </row>
    <row r="93" ht="15.75" customHeight="1">
      <c r="A93" s="239">
        <v>11.0</v>
      </c>
      <c r="B93" s="240" t="s">
        <v>1600</v>
      </c>
      <c r="C93" s="239" t="s">
        <v>109</v>
      </c>
      <c r="D93" s="213">
        <v>170.0</v>
      </c>
      <c r="E93" s="241" t="str">
        <f>'Daftar Harga'!D178</f>
        <v/>
      </c>
      <c r="F93" s="242" t="str">
        <f t="shared" si="21"/>
        <v/>
      </c>
      <c r="G93" s="186">
        <v>25500.0</v>
      </c>
      <c r="H93" s="243">
        <f t="shared" si="22"/>
        <v>4335000</v>
      </c>
      <c r="I93" s="188">
        <v>28000.0</v>
      </c>
      <c r="J93" s="244">
        <f t="shared" si="23"/>
        <v>4760000</v>
      </c>
      <c r="K93" s="245">
        <f t="shared" si="24"/>
        <v>425000</v>
      </c>
      <c r="L93" s="246">
        <f t="shared" si="25"/>
        <v>0.09803921569</v>
      </c>
      <c r="M93" s="247"/>
    </row>
    <row r="94" ht="15.75" customHeight="1">
      <c r="A94" s="248">
        <v>12.0</v>
      </c>
      <c r="B94" s="249" t="s">
        <v>1601</v>
      </c>
      <c r="C94" s="248" t="s">
        <v>67</v>
      </c>
      <c r="D94" s="216">
        <v>93.0</v>
      </c>
      <c r="E94" s="241" t="str">
        <f>'Daftar Harga'!D180</f>
        <v/>
      </c>
      <c r="F94" s="242" t="str">
        <f t="shared" si="21"/>
        <v/>
      </c>
      <c r="G94" s="199">
        <v>12000.0</v>
      </c>
      <c r="H94" s="243">
        <f t="shared" si="22"/>
        <v>1116000</v>
      </c>
      <c r="I94" s="188">
        <v>14000.0</v>
      </c>
      <c r="J94" s="244">
        <f t="shared" si="23"/>
        <v>1302000</v>
      </c>
      <c r="K94" s="250">
        <f t="shared" si="24"/>
        <v>186000</v>
      </c>
      <c r="L94" s="251">
        <f t="shared" si="25"/>
        <v>0.1666666667</v>
      </c>
      <c r="M94" s="252"/>
    </row>
    <row r="95" ht="15.75" customHeight="1">
      <c r="A95" s="239">
        <v>13.0</v>
      </c>
      <c r="B95" s="240" t="s">
        <v>1609</v>
      </c>
      <c r="C95" s="239" t="s">
        <v>109</v>
      </c>
      <c r="D95" s="213">
        <v>49.6</v>
      </c>
      <c r="E95" s="241" t="str">
        <f>'Daftar Harga'!D188</f>
        <v/>
      </c>
      <c r="F95" s="242" t="str">
        <f t="shared" si="21"/>
        <v/>
      </c>
      <c r="G95" s="186">
        <v>15000.0</v>
      </c>
      <c r="H95" s="243">
        <f t="shared" si="22"/>
        <v>744000</v>
      </c>
      <c r="I95" s="188">
        <v>18000.0</v>
      </c>
      <c r="J95" s="244">
        <f t="shared" si="23"/>
        <v>892800</v>
      </c>
      <c r="K95" s="245">
        <f t="shared" si="24"/>
        <v>148800</v>
      </c>
      <c r="L95" s="246">
        <f t="shared" si="25"/>
        <v>0.2</v>
      </c>
      <c r="M95" s="247"/>
    </row>
    <row r="96" ht="15.75" customHeight="1">
      <c r="A96" s="256" t="s">
        <v>1646</v>
      </c>
      <c r="B96" s="206"/>
      <c r="C96" s="206"/>
      <c r="D96" s="174"/>
      <c r="E96" s="257"/>
      <c r="F96" s="258">
        <f>SUMIF(F83:F95,"&lt;&gt;",F83:F95)</f>
        <v>712200</v>
      </c>
      <c r="G96" s="257"/>
      <c r="H96" s="258">
        <f>SUMIF(H83:H95,"&lt;&gt;",H83:H95)</f>
        <v>16518775</v>
      </c>
      <c r="I96" s="257"/>
      <c r="J96" s="258">
        <f>SUMIF(J83:J95,"&lt;&gt;",J83:J95)</f>
        <v>18332200</v>
      </c>
      <c r="K96" s="258">
        <f t="shared" si="24"/>
        <v>1813425</v>
      </c>
      <c r="L96" s="262">
        <f t="shared" si="25"/>
        <v>0.1097796295</v>
      </c>
      <c r="M96" s="257"/>
    </row>
    <row r="97" ht="15.75" customHeight="1"/>
    <row r="98" ht="15.75" customHeight="1">
      <c r="A98" s="228" t="s">
        <v>1647</v>
      </c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6"/>
    </row>
    <row r="99" ht="15.75" customHeight="1">
      <c r="A99" s="229" t="s">
        <v>1509</v>
      </c>
      <c r="B99" s="229" t="s">
        <v>1510</v>
      </c>
      <c r="C99" s="229" t="s">
        <v>1511</v>
      </c>
      <c r="D99" s="229" t="s">
        <v>1614</v>
      </c>
      <c r="E99" s="230" t="s">
        <v>1615</v>
      </c>
      <c r="F99" s="174"/>
      <c r="G99" s="231" t="s">
        <v>1616</v>
      </c>
      <c r="H99" s="174"/>
      <c r="I99" s="232" t="s">
        <v>1617</v>
      </c>
      <c r="J99" s="174"/>
      <c r="K99" s="233" t="s">
        <v>1618</v>
      </c>
      <c r="L99" s="174"/>
      <c r="M99" s="229" t="s">
        <v>1619</v>
      </c>
    </row>
    <row r="100" ht="15.75" customHeight="1">
      <c r="A100" s="234" t="s">
        <v>1509</v>
      </c>
      <c r="B100" s="234" t="s">
        <v>1510</v>
      </c>
      <c r="C100" s="234" t="s">
        <v>1511</v>
      </c>
      <c r="D100" s="234" t="s">
        <v>1614</v>
      </c>
      <c r="E100" s="235" t="s">
        <v>1620</v>
      </c>
      <c r="F100" s="235" t="s">
        <v>1621</v>
      </c>
      <c r="G100" s="236" t="s">
        <v>1622</v>
      </c>
      <c r="H100" s="236" t="s">
        <v>1623</v>
      </c>
      <c r="I100" s="237" t="s">
        <v>1624</v>
      </c>
      <c r="J100" s="237" t="s">
        <v>1625</v>
      </c>
      <c r="K100" s="238" t="s">
        <v>1626</v>
      </c>
      <c r="L100" s="238" t="s">
        <v>1627</v>
      </c>
      <c r="M100" s="234" t="s">
        <v>1619</v>
      </c>
    </row>
    <row r="101" ht="15.75" customHeight="1">
      <c r="A101" s="239">
        <v>1.0</v>
      </c>
      <c r="B101" s="240" t="s">
        <v>1934</v>
      </c>
      <c r="C101" s="239" t="s">
        <v>109</v>
      </c>
      <c r="D101" s="213">
        <v>1.0</v>
      </c>
      <c r="E101" s="241">
        <f>'Daftar Harga'!D88</f>
        <v>500</v>
      </c>
      <c r="F101" s="242">
        <f t="shared" ref="F101:F114" si="26">IF(E101&lt;&gt;"",D101*E101,"")</f>
        <v>500</v>
      </c>
      <c r="G101" s="186">
        <v>40000.0</v>
      </c>
      <c r="H101" s="243">
        <f t="shared" ref="H101:H114" si="27">IF(G101&lt;&gt;"",D101*G101,"")</f>
        <v>40000</v>
      </c>
      <c r="I101" s="188">
        <v>48000.0</v>
      </c>
      <c r="J101" s="244">
        <f t="shared" ref="J101:J114" si="28">IF(I101&lt;&gt;"",D101*I101,"")</f>
        <v>48000</v>
      </c>
      <c r="K101" s="245">
        <f t="shared" ref="K101:K113" si="29">IF(J101&lt;&gt;"",IF(H101&lt;&gt;"",J101-H101,IF(F101&lt;&gt;"",J101-F101,"")),"")</f>
        <v>8000</v>
      </c>
      <c r="L101" s="246">
        <f t="shared" ref="L101:L113" si="30">IF(K101&lt;&gt;"",IF(H101&lt;&gt;"",IF(H101&lt;&gt;0,K101/H101,""),IF(F101&lt;&gt;"",IF(F101&lt;&gt;0,K101/F101,""),"")),"")</f>
        <v>0.2</v>
      </c>
      <c r="M101" s="247"/>
    </row>
    <row r="102" ht="15.75" customHeight="1">
      <c r="A102" s="248">
        <v>2.0</v>
      </c>
      <c r="B102" s="249" t="s">
        <v>1844</v>
      </c>
      <c r="C102" s="248" t="s">
        <v>109</v>
      </c>
      <c r="D102" s="216">
        <v>5.0</v>
      </c>
      <c r="E102" s="241">
        <f>'Daftar Harga'!D100</f>
        <v>14000</v>
      </c>
      <c r="F102" s="242">
        <f t="shared" si="26"/>
        <v>70000</v>
      </c>
      <c r="G102" s="186">
        <v>60000.0</v>
      </c>
      <c r="H102" s="243">
        <f t="shared" si="27"/>
        <v>300000</v>
      </c>
      <c r="I102" s="188">
        <v>65000.0</v>
      </c>
      <c r="J102" s="244">
        <f t="shared" si="28"/>
        <v>325000</v>
      </c>
      <c r="K102" s="250">
        <f t="shared" si="29"/>
        <v>25000</v>
      </c>
      <c r="L102" s="251">
        <f t="shared" si="30"/>
        <v>0.08333333333</v>
      </c>
      <c r="M102" s="252"/>
    </row>
    <row r="103" ht="15.75" customHeight="1">
      <c r="A103" s="239">
        <v>3.0</v>
      </c>
      <c r="B103" s="240" t="s">
        <v>1680</v>
      </c>
      <c r="C103" s="239" t="s">
        <v>109</v>
      </c>
      <c r="D103" s="213">
        <v>0.85</v>
      </c>
      <c r="E103" s="241" t="str">
        <f>'Daftar Harga'!D114</f>
        <v/>
      </c>
      <c r="F103" s="242" t="str">
        <f t="shared" si="26"/>
        <v/>
      </c>
      <c r="G103" s="186">
        <v>17000.0</v>
      </c>
      <c r="H103" s="243">
        <f t="shared" si="27"/>
        <v>14450</v>
      </c>
      <c r="I103" s="188">
        <v>20000.0</v>
      </c>
      <c r="J103" s="244">
        <f t="shared" si="28"/>
        <v>17000</v>
      </c>
      <c r="K103" s="245">
        <f t="shared" si="29"/>
        <v>2550</v>
      </c>
      <c r="L103" s="246">
        <f t="shared" si="30"/>
        <v>0.1764705882</v>
      </c>
      <c r="M103" s="247"/>
    </row>
    <row r="104" ht="15.75" customHeight="1">
      <c r="A104" s="248">
        <v>4.0</v>
      </c>
      <c r="B104" s="249" t="s">
        <v>1368</v>
      </c>
      <c r="C104" s="248" t="s">
        <v>69</v>
      </c>
      <c r="D104" s="216">
        <v>2080.0</v>
      </c>
      <c r="E104" s="241" t="str">
        <f>'Daftar Harga'!D117</f>
        <v/>
      </c>
      <c r="F104" s="242" t="str">
        <f t="shared" si="26"/>
        <v/>
      </c>
      <c r="G104" s="186">
        <v>3500.0</v>
      </c>
      <c r="H104" s="243">
        <f t="shared" si="27"/>
        <v>7280000</v>
      </c>
      <c r="I104" s="188">
        <v>3900.0</v>
      </c>
      <c r="J104" s="244">
        <f t="shared" si="28"/>
        <v>8112000</v>
      </c>
      <c r="K104" s="250">
        <f t="shared" si="29"/>
        <v>832000</v>
      </c>
      <c r="L104" s="251">
        <f t="shared" si="30"/>
        <v>0.1142857143</v>
      </c>
      <c r="M104" s="252"/>
    </row>
    <row r="105" ht="15.75" customHeight="1">
      <c r="A105" s="239">
        <v>5.0</v>
      </c>
      <c r="B105" s="240" t="s">
        <v>1112</v>
      </c>
      <c r="C105" s="239" t="s">
        <v>109</v>
      </c>
      <c r="D105" s="213">
        <v>253.85</v>
      </c>
      <c r="E105" s="241" t="str">
        <f>'Daftar Harga'!D121</f>
        <v/>
      </c>
      <c r="F105" s="242" t="str">
        <f t="shared" si="26"/>
        <v/>
      </c>
      <c r="G105" s="186">
        <v>18500.0</v>
      </c>
      <c r="H105" s="243">
        <f t="shared" si="27"/>
        <v>4696225</v>
      </c>
      <c r="I105" s="188">
        <v>21000.0</v>
      </c>
      <c r="J105" s="244">
        <f t="shared" si="28"/>
        <v>5330850</v>
      </c>
      <c r="K105" s="245">
        <f t="shared" si="29"/>
        <v>634625</v>
      </c>
      <c r="L105" s="246">
        <f t="shared" si="30"/>
        <v>0.1351351351</v>
      </c>
      <c r="M105" s="247"/>
    </row>
    <row r="106" ht="15.75" customHeight="1">
      <c r="A106" s="248">
        <v>6.0</v>
      </c>
      <c r="B106" s="249" t="s">
        <v>1941</v>
      </c>
      <c r="C106" s="248" t="s">
        <v>109</v>
      </c>
      <c r="D106" s="216">
        <v>0.5</v>
      </c>
      <c r="E106" s="241" t="str">
        <f>'Daftar Harga'!D122</f>
        <v/>
      </c>
      <c r="F106" s="242" t="str">
        <f t="shared" si="26"/>
        <v/>
      </c>
      <c r="G106" s="186">
        <v>20000.0</v>
      </c>
      <c r="H106" s="243">
        <f t="shared" si="27"/>
        <v>10000</v>
      </c>
      <c r="I106" s="188">
        <v>25000.0</v>
      </c>
      <c r="J106" s="244">
        <f t="shared" si="28"/>
        <v>12500</v>
      </c>
      <c r="K106" s="250">
        <f t="shared" si="29"/>
        <v>2500</v>
      </c>
      <c r="L106" s="251">
        <f t="shared" si="30"/>
        <v>0.25</v>
      </c>
      <c r="M106" s="252"/>
    </row>
    <row r="107" ht="15.75" customHeight="1">
      <c r="A107" s="239">
        <v>7.0</v>
      </c>
      <c r="B107" s="240" t="s">
        <v>1936</v>
      </c>
      <c r="C107" s="239" t="s">
        <v>109</v>
      </c>
      <c r="D107" s="213">
        <v>1.0</v>
      </c>
      <c r="E107" s="241" t="str">
        <f>'Daftar Harga'!D127</f>
        <v/>
      </c>
      <c r="F107" s="242" t="str">
        <f t="shared" si="26"/>
        <v/>
      </c>
      <c r="G107" s="186">
        <v>110000.0</v>
      </c>
      <c r="H107" s="243">
        <f t="shared" si="27"/>
        <v>110000</v>
      </c>
      <c r="I107" s="188">
        <v>125000.0</v>
      </c>
      <c r="J107" s="244">
        <f t="shared" si="28"/>
        <v>125000</v>
      </c>
      <c r="K107" s="245">
        <f t="shared" si="29"/>
        <v>15000</v>
      </c>
      <c r="L107" s="246">
        <f t="shared" si="30"/>
        <v>0.1363636364</v>
      </c>
      <c r="M107" s="247"/>
    </row>
    <row r="108" ht="15.75" customHeight="1">
      <c r="A108" s="248">
        <v>8.0</v>
      </c>
      <c r="B108" s="249" t="s">
        <v>1643</v>
      </c>
      <c r="C108" s="248" t="s">
        <v>1824</v>
      </c>
      <c r="D108" s="216">
        <v>3.0</v>
      </c>
      <c r="E108" s="241" t="str">
        <f>'Daftar Harga'!D129</f>
        <v/>
      </c>
      <c r="F108" s="242" t="str">
        <f t="shared" si="26"/>
        <v/>
      </c>
      <c r="G108" s="199">
        <v>48000.0</v>
      </c>
      <c r="H108" s="243">
        <f t="shared" si="27"/>
        <v>144000</v>
      </c>
      <c r="I108" s="188">
        <v>51000.0</v>
      </c>
      <c r="J108" s="244">
        <f t="shared" si="28"/>
        <v>153000</v>
      </c>
      <c r="K108" s="250">
        <f t="shared" si="29"/>
        <v>9000</v>
      </c>
      <c r="L108" s="251">
        <f t="shared" si="30"/>
        <v>0.0625</v>
      </c>
      <c r="M108" s="252"/>
    </row>
    <row r="109" ht="15.75" customHeight="1">
      <c r="A109" s="239">
        <v>9.0</v>
      </c>
      <c r="B109" s="240" t="s">
        <v>1567</v>
      </c>
      <c r="C109" s="239" t="s">
        <v>109</v>
      </c>
      <c r="D109" s="213">
        <v>49.35</v>
      </c>
      <c r="E109" s="241" t="str">
        <f>'Daftar Harga'!D137</f>
        <v/>
      </c>
      <c r="F109" s="242" t="str">
        <f t="shared" si="26"/>
        <v/>
      </c>
      <c r="G109" s="186">
        <v>7000.0</v>
      </c>
      <c r="H109" s="243">
        <f t="shared" si="27"/>
        <v>345450</v>
      </c>
      <c r="I109" s="188">
        <v>14000.0</v>
      </c>
      <c r="J109" s="244">
        <f t="shared" si="28"/>
        <v>690900</v>
      </c>
      <c r="K109" s="245">
        <f t="shared" si="29"/>
        <v>345450</v>
      </c>
      <c r="L109" s="246">
        <f t="shared" si="30"/>
        <v>1</v>
      </c>
      <c r="M109" s="247"/>
    </row>
    <row r="110" ht="15.75" customHeight="1">
      <c r="A110" s="248">
        <v>10.0</v>
      </c>
      <c r="B110" s="249" t="s">
        <v>1569</v>
      </c>
      <c r="C110" s="248" t="s">
        <v>109</v>
      </c>
      <c r="D110" s="216">
        <v>0.5</v>
      </c>
      <c r="E110" s="241" t="str">
        <f>'Daftar Harga'!D139</f>
        <v/>
      </c>
      <c r="F110" s="242" t="str">
        <f t="shared" si="26"/>
        <v/>
      </c>
      <c r="G110" s="186">
        <v>10000.0</v>
      </c>
      <c r="H110" s="243">
        <f t="shared" si="27"/>
        <v>5000</v>
      </c>
      <c r="I110" s="188">
        <v>16000.0</v>
      </c>
      <c r="J110" s="244">
        <f t="shared" si="28"/>
        <v>8000</v>
      </c>
      <c r="K110" s="250">
        <f t="shared" si="29"/>
        <v>3000</v>
      </c>
      <c r="L110" s="251">
        <f t="shared" si="30"/>
        <v>0.6</v>
      </c>
      <c r="M110" s="252"/>
    </row>
    <row r="111" ht="15.75" customHeight="1">
      <c r="A111" s="239">
        <v>11.0</v>
      </c>
      <c r="B111" s="240" t="s">
        <v>1578</v>
      </c>
      <c r="C111" s="239" t="s">
        <v>1579</v>
      </c>
      <c r="D111" s="213">
        <v>34.25</v>
      </c>
      <c r="E111" s="241" t="str">
        <f>'Daftar Harga'!D150</f>
        <v/>
      </c>
      <c r="F111" s="242" t="str">
        <f t="shared" si="26"/>
        <v/>
      </c>
      <c r="G111" s="186">
        <v>21500.0</v>
      </c>
      <c r="H111" s="243">
        <f t="shared" si="27"/>
        <v>736375</v>
      </c>
      <c r="I111" s="188">
        <v>24500.0</v>
      </c>
      <c r="J111" s="244">
        <f t="shared" si="28"/>
        <v>839125</v>
      </c>
      <c r="K111" s="245">
        <f t="shared" si="29"/>
        <v>102750</v>
      </c>
      <c r="L111" s="246">
        <f t="shared" si="30"/>
        <v>0.1395348837</v>
      </c>
      <c r="M111" s="247"/>
    </row>
    <row r="112" ht="15.75" customHeight="1">
      <c r="A112" s="248">
        <v>12.0</v>
      </c>
      <c r="B112" s="249" t="s">
        <v>1601</v>
      </c>
      <c r="C112" s="248" t="s">
        <v>69</v>
      </c>
      <c r="D112" s="216">
        <v>95.0</v>
      </c>
      <c r="E112" s="241" t="str">
        <f>'Daftar Harga'!D180</f>
        <v/>
      </c>
      <c r="F112" s="242" t="str">
        <f t="shared" si="26"/>
        <v/>
      </c>
      <c r="G112" s="186">
        <v>12000.0</v>
      </c>
      <c r="H112" s="243">
        <f t="shared" si="27"/>
        <v>1140000</v>
      </c>
      <c r="I112" s="188">
        <v>14000.0</v>
      </c>
      <c r="J112" s="244">
        <f t="shared" si="28"/>
        <v>1330000</v>
      </c>
      <c r="K112" s="250">
        <f t="shared" si="29"/>
        <v>190000</v>
      </c>
      <c r="L112" s="251">
        <f t="shared" si="30"/>
        <v>0.1666666667</v>
      </c>
      <c r="M112" s="252"/>
    </row>
    <row r="113" ht="15.75" customHeight="1">
      <c r="A113" s="239">
        <v>13.0</v>
      </c>
      <c r="B113" s="240" t="s">
        <v>1607</v>
      </c>
      <c r="C113" s="239" t="s">
        <v>109</v>
      </c>
      <c r="D113" s="213">
        <v>40.0</v>
      </c>
      <c r="E113" s="241" t="str">
        <f>'Daftar Harga'!D186</f>
        <v/>
      </c>
      <c r="F113" s="242" t="str">
        <f t="shared" si="26"/>
        <v/>
      </c>
      <c r="G113" s="186">
        <v>8000.0</v>
      </c>
      <c r="H113" s="243">
        <f t="shared" si="27"/>
        <v>320000</v>
      </c>
      <c r="I113" s="188">
        <v>12000.0</v>
      </c>
      <c r="J113" s="244">
        <f t="shared" si="28"/>
        <v>480000</v>
      </c>
      <c r="K113" s="245">
        <f t="shared" si="29"/>
        <v>160000</v>
      </c>
      <c r="L113" s="246">
        <f t="shared" si="30"/>
        <v>0.5</v>
      </c>
      <c r="M113" s="247"/>
    </row>
    <row r="114" ht="15.75" customHeight="1">
      <c r="A114" s="312">
        <v>14.0</v>
      </c>
      <c r="B114" s="320" t="s">
        <v>1543</v>
      </c>
      <c r="C114" s="312" t="s">
        <v>109</v>
      </c>
      <c r="D114" s="321">
        <v>2.0</v>
      </c>
      <c r="E114" s="267"/>
      <c r="F114" s="268" t="str">
        <f t="shared" si="26"/>
        <v/>
      </c>
      <c r="G114" s="186">
        <v>7000.0</v>
      </c>
      <c r="H114" s="243">
        <f t="shared" si="27"/>
        <v>14000</v>
      </c>
      <c r="I114" s="188">
        <v>10000.0</v>
      </c>
      <c r="J114" s="264">
        <f t="shared" si="28"/>
        <v>20000</v>
      </c>
      <c r="K114" s="308"/>
      <c r="L114" s="405"/>
      <c r="M114" s="247"/>
    </row>
    <row r="115" ht="15.75" customHeight="1">
      <c r="A115" s="256" t="s">
        <v>1653</v>
      </c>
      <c r="B115" s="206"/>
      <c r="C115" s="206"/>
      <c r="D115" s="174"/>
      <c r="E115" s="257"/>
      <c r="F115" s="258">
        <f>SUMIF(F101:F114,"&lt;&gt;",F101:F114)</f>
        <v>70500</v>
      </c>
      <c r="G115" s="316"/>
      <c r="H115" s="258">
        <f>SUMIF(H101:H114,"&lt;&gt;",H101:H114)</f>
        <v>15155500</v>
      </c>
      <c r="I115" s="317"/>
      <c r="J115" s="260">
        <f>SUMIF(J101:J114,"&lt;&gt;",J101:J114)</f>
        <v>17491375</v>
      </c>
      <c r="K115" s="261">
        <f>IF(J115&lt;&gt;"",IF(H115&lt;&gt;"",J115-H115,IF(F115&lt;&gt;"",J115-F115,"")),"")</f>
        <v>2335875</v>
      </c>
      <c r="L115" s="262">
        <f>IF(K115&lt;&gt;"",IF(H115&lt;&gt;"",IF(H115&lt;&gt;0,K115/H115,""),IF(F115&lt;&gt;"",IF(F115&lt;&gt;0,K115/F115,""),"")),"")</f>
        <v>0.1541272145</v>
      </c>
      <c r="M115" s="257"/>
    </row>
    <row r="116" ht="15.75" customHeight="1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</row>
    <row r="117" ht="15.75" customHeight="1">
      <c r="A117" s="228" t="s">
        <v>1654</v>
      </c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6"/>
    </row>
    <row r="118" ht="15.75" customHeight="1">
      <c r="A118" s="229" t="s">
        <v>1509</v>
      </c>
      <c r="B118" s="229" t="s">
        <v>1510</v>
      </c>
      <c r="C118" s="229" t="s">
        <v>1511</v>
      </c>
      <c r="D118" s="229" t="s">
        <v>1614</v>
      </c>
      <c r="E118" s="230" t="s">
        <v>1615</v>
      </c>
      <c r="F118" s="174"/>
      <c r="G118" s="231" t="s">
        <v>1616</v>
      </c>
      <c r="H118" s="174"/>
      <c r="I118" s="232" t="s">
        <v>1617</v>
      </c>
      <c r="J118" s="174"/>
      <c r="K118" s="233" t="s">
        <v>1618</v>
      </c>
      <c r="L118" s="174"/>
      <c r="M118" s="229" t="s">
        <v>1619</v>
      </c>
    </row>
    <row r="119" ht="15.75" customHeight="1">
      <c r="A119" s="234" t="s">
        <v>1509</v>
      </c>
      <c r="B119" s="234" t="s">
        <v>1510</v>
      </c>
      <c r="C119" s="234" t="s">
        <v>1511</v>
      </c>
      <c r="D119" s="234" t="s">
        <v>1614</v>
      </c>
      <c r="E119" s="235" t="s">
        <v>1620</v>
      </c>
      <c r="F119" s="235" t="s">
        <v>1621</v>
      </c>
      <c r="G119" s="236" t="s">
        <v>1622</v>
      </c>
      <c r="H119" s="236" t="s">
        <v>1623</v>
      </c>
      <c r="I119" s="237" t="s">
        <v>1624</v>
      </c>
      <c r="J119" s="237" t="s">
        <v>1625</v>
      </c>
      <c r="K119" s="238" t="s">
        <v>1626</v>
      </c>
      <c r="L119" s="238" t="s">
        <v>1627</v>
      </c>
      <c r="M119" s="234" t="s">
        <v>1619</v>
      </c>
    </row>
    <row r="120" ht="15.75" customHeight="1">
      <c r="A120" s="239">
        <v>1.0</v>
      </c>
      <c r="B120" s="240" t="s">
        <v>1522</v>
      </c>
      <c r="C120" s="239" t="s">
        <v>109</v>
      </c>
      <c r="D120" s="213">
        <v>2.0</v>
      </c>
      <c r="E120" s="241">
        <f>'Daftar Harga'!D86</f>
        <v>12000</v>
      </c>
      <c r="F120" s="242">
        <f t="shared" ref="F120:F134" si="31">IF(E120&lt;&gt;"",D120*E120,"")</f>
        <v>24000</v>
      </c>
      <c r="G120" s="186">
        <v>22000.0</v>
      </c>
      <c r="H120" s="243">
        <f t="shared" ref="H120:H131" si="32">IF(G120&lt;&gt;"",D120*G120,"")</f>
        <v>44000</v>
      </c>
      <c r="I120" s="188">
        <v>35000.0</v>
      </c>
      <c r="J120" s="244">
        <f t="shared" ref="J120:J134" si="33">IF(I120&lt;&gt;"",D120*I120,"")</f>
        <v>70000</v>
      </c>
      <c r="K120" s="245">
        <f t="shared" ref="K120:K135" si="34">IF(J120&lt;&gt;"",IF(H120&lt;&gt;"",J120-H120,IF(F120&lt;&gt;"",J120-F120,"")),"")</f>
        <v>26000</v>
      </c>
      <c r="L120" s="246">
        <f t="shared" ref="L120:L135" si="35">IF(K120&lt;&gt;"",IF(H120&lt;&gt;"",IF(H120&lt;&gt;0,K120/H120,""),IF(F120&lt;&gt;"",IF(F120&lt;&gt;0,K120/F120,""),"")),"")</f>
        <v>0.5909090909</v>
      </c>
      <c r="M120" s="247"/>
    </row>
    <row r="121" ht="15.75" customHeight="1">
      <c r="A121" s="248">
        <v>2.0</v>
      </c>
      <c r="B121" s="249" t="s">
        <v>1934</v>
      </c>
      <c r="C121" s="248" t="s">
        <v>109</v>
      </c>
      <c r="D121" s="216">
        <v>1.0</v>
      </c>
      <c r="E121" s="241">
        <f>'Daftar Harga'!D88</f>
        <v>500</v>
      </c>
      <c r="F121" s="242">
        <f t="shared" si="31"/>
        <v>500</v>
      </c>
      <c r="G121" s="186">
        <v>40000.0</v>
      </c>
      <c r="H121" s="243">
        <f t="shared" si="32"/>
        <v>40000</v>
      </c>
      <c r="I121" s="188">
        <v>50000.0</v>
      </c>
      <c r="J121" s="244">
        <f t="shared" si="33"/>
        <v>50000</v>
      </c>
      <c r="K121" s="250">
        <f t="shared" si="34"/>
        <v>10000</v>
      </c>
      <c r="L121" s="251">
        <f t="shared" si="35"/>
        <v>0.25</v>
      </c>
      <c r="M121" s="252"/>
    </row>
    <row r="122" ht="15.75" customHeight="1">
      <c r="A122" s="239">
        <v>3.0</v>
      </c>
      <c r="B122" s="240" t="s">
        <v>1935</v>
      </c>
      <c r="C122" s="239" t="s">
        <v>109</v>
      </c>
      <c r="D122" s="213">
        <v>1.0</v>
      </c>
      <c r="E122" s="241">
        <f>'Daftar Harga'!D90</f>
        <v>650</v>
      </c>
      <c r="F122" s="242">
        <f t="shared" si="31"/>
        <v>650</v>
      </c>
      <c r="G122" s="186">
        <v>33000.0</v>
      </c>
      <c r="H122" s="243">
        <f t="shared" si="32"/>
        <v>33000</v>
      </c>
      <c r="I122" s="188">
        <v>36000.0</v>
      </c>
      <c r="J122" s="244">
        <f t="shared" si="33"/>
        <v>36000</v>
      </c>
      <c r="K122" s="245">
        <f t="shared" si="34"/>
        <v>3000</v>
      </c>
      <c r="L122" s="246">
        <f t="shared" si="35"/>
        <v>0.09090909091</v>
      </c>
      <c r="M122" s="247"/>
    </row>
    <row r="123" ht="15.75" customHeight="1">
      <c r="A123" s="248">
        <v>4.0</v>
      </c>
      <c r="B123" s="249" t="s">
        <v>1527</v>
      </c>
      <c r="C123" s="248" t="s">
        <v>109</v>
      </c>
      <c r="D123" s="216">
        <v>125.0</v>
      </c>
      <c r="E123" s="241" t="str">
        <f>'Daftar Harga'!D94</f>
        <v/>
      </c>
      <c r="F123" s="242" t="str">
        <f t="shared" si="31"/>
        <v/>
      </c>
      <c r="G123" s="186">
        <v>14500.0</v>
      </c>
      <c r="H123" s="243">
        <f t="shared" si="32"/>
        <v>1812500</v>
      </c>
      <c r="I123" s="188">
        <v>15500.0</v>
      </c>
      <c r="J123" s="244">
        <f t="shared" si="33"/>
        <v>1937500</v>
      </c>
      <c r="K123" s="250">
        <f t="shared" si="34"/>
        <v>125000</v>
      </c>
      <c r="L123" s="251">
        <f t="shared" si="35"/>
        <v>0.06896551724</v>
      </c>
      <c r="M123" s="252"/>
    </row>
    <row r="124" ht="15.75" customHeight="1">
      <c r="A124" s="239">
        <v>5.0</v>
      </c>
      <c r="B124" s="240" t="s">
        <v>1844</v>
      </c>
      <c r="C124" s="239" t="s">
        <v>109</v>
      </c>
      <c r="D124" s="213">
        <v>1.0</v>
      </c>
      <c r="E124" s="241">
        <f>'Daftar Harga'!D100</f>
        <v>14000</v>
      </c>
      <c r="F124" s="242">
        <f t="shared" si="31"/>
        <v>14000</v>
      </c>
      <c r="G124" s="186">
        <v>55000.0</v>
      </c>
      <c r="H124" s="243">
        <f t="shared" si="32"/>
        <v>55000</v>
      </c>
      <c r="I124" s="188">
        <v>70000.0</v>
      </c>
      <c r="J124" s="244">
        <f t="shared" si="33"/>
        <v>70000</v>
      </c>
      <c r="K124" s="245">
        <f t="shared" si="34"/>
        <v>15000</v>
      </c>
      <c r="L124" s="246">
        <f t="shared" si="35"/>
        <v>0.2727272727</v>
      </c>
      <c r="M124" s="247"/>
    </row>
    <row r="125" ht="15.75" customHeight="1">
      <c r="A125" s="248">
        <v>6.0</v>
      </c>
      <c r="B125" s="249" t="s">
        <v>1655</v>
      </c>
      <c r="C125" s="248" t="s">
        <v>109</v>
      </c>
      <c r="D125" s="216">
        <v>1.0</v>
      </c>
      <c r="E125" s="241" t="str">
        <f>'Daftar Harga'!D115</f>
        <v/>
      </c>
      <c r="F125" s="242" t="str">
        <f t="shared" si="31"/>
        <v/>
      </c>
      <c r="G125" s="186">
        <v>18500.0</v>
      </c>
      <c r="H125" s="243">
        <f t="shared" si="32"/>
        <v>18500</v>
      </c>
      <c r="I125" s="188">
        <v>20000.0</v>
      </c>
      <c r="J125" s="244">
        <f t="shared" si="33"/>
        <v>20000</v>
      </c>
      <c r="K125" s="250">
        <f t="shared" si="34"/>
        <v>1500</v>
      </c>
      <c r="L125" s="251">
        <f t="shared" si="35"/>
        <v>0.08108108108</v>
      </c>
      <c r="M125" s="252"/>
    </row>
    <row r="126" ht="15.75" customHeight="1">
      <c r="A126" s="239">
        <v>7.0</v>
      </c>
      <c r="B126" s="240" t="s">
        <v>1643</v>
      </c>
      <c r="C126" s="239" t="s">
        <v>1559</v>
      </c>
      <c r="D126" s="213">
        <v>1.0</v>
      </c>
      <c r="E126" s="241" t="str">
        <f>'Daftar Harga'!D129</f>
        <v/>
      </c>
      <c r="F126" s="242" t="str">
        <f t="shared" si="31"/>
        <v/>
      </c>
      <c r="G126" s="186">
        <v>190000.0</v>
      </c>
      <c r="H126" s="243">
        <f t="shared" si="32"/>
        <v>190000</v>
      </c>
      <c r="I126" s="188">
        <v>210000.0</v>
      </c>
      <c r="J126" s="244">
        <f t="shared" si="33"/>
        <v>210000</v>
      </c>
      <c r="K126" s="245">
        <f t="shared" si="34"/>
        <v>20000</v>
      </c>
      <c r="L126" s="246">
        <f t="shared" si="35"/>
        <v>0.1052631579</v>
      </c>
      <c r="M126" s="247"/>
    </row>
    <row r="127" ht="15.75" customHeight="1">
      <c r="A127" s="248">
        <v>8.0</v>
      </c>
      <c r="B127" s="249" t="s">
        <v>1650</v>
      </c>
      <c r="C127" s="248" t="s">
        <v>109</v>
      </c>
      <c r="D127" s="216">
        <v>1.0</v>
      </c>
      <c r="E127" s="241" t="str">
        <f>'Daftar Harga'!D141</f>
        <v/>
      </c>
      <c r="F127" s="242" t="str">
        <f t="shared" si="31"/>
        <v/>
      </c>
      <c r="G127" s="186">
        <v>140000.0</v>
      </c>
      <c r="H127" s="243">
        <f t="shared" si="32"/>
        <v>140000</v>
      </c>
      <c r="I127" s="188">
        <v>200000.0</v>
      </c>
      <c r="J127" s="244">
        <f t="shared" si="33"/>
        <v>200000</v>
      </c>
      <c r="K127" s="250">
        <f t="shared" si="34"/>
        <v>60000</v>
      </c>
      <c r="L127" s="251">
        <f t="shared" si="35"/>
        <v>0.4285714286</v>
      </c>
      <c r="M127" s="252"/>
    </row>
    <row r="128" ht="15.75" customHeight="1">
      <c r="A128" s="239">
        <v>9.0</v>
      </c>
      <c r="B128" s="240" t="s">
        <v>1578</v>
      </c>
      <c r="C128" s="239" t="s">
        <v>1579</v>
      </c>
      <c r="D128" s="213">
        <v>9.65</v>
      </c>
      <c r="E128" s="241" t="str">
        <f>'Daftar Harga'!D150</f>
        <v/>
      </c>
      <c r="F128" s="242" t="str">
        <f t="shared" si="31"/>
        <v/>
      </c>
      <c r="G128" s="186">
        <v>21500.0</v>
      </c>
      <c r="H128" s="243">
        <f t="shared" si="32"/>
        <v>207475</v>
      </c>
      <c r="I128" s="188">
        <v>23000.0</v>
      </c>
      <c r="J128" s="244">
        <f t="shared" si="33"/>
        <v>221950</v>
      </c>
      <c r="K128" s="245">
        <f t="shared" si="34"/>
        <v>14475</v>
      </c>
      <c r="L128" s="246">
        <f t="shared" si="35"/>
        <v>0.06976744186</v>
      </c>
      <c r="M128" s="247"/>
    </row>
    <row r="129" ht="15.75" customHeight="1">
      <c r="A129" s="248">
        <v>10.0</v>
      </c>
      <c r="B129" s="249" t="s">
        <v>1152</v>
      </c>
      <c r="C129" s="248" t="s">
        <v>69</v>
      </c>
      <c r="D129" s="216">
        <v>2080.0</v>
      </c>
      <c r="E129" s="241" t="str">
        <f>'Daftar Harga'!D156</f>
        <v/>
      </c>
      <c r="F129" s="242" t="str">
        <f t="shared" si="31"/>
        <v/>
      </c>
      <c r="G129" s="186">
        <v>1800.0</v>
      </c>
      <c r="H129" s="243">
        <f t="shared" si="32"/>
        <v>3744000</v>
      </c>
      <c r="I129" s="188">
        <v>2000.0</v>
      </c>
      <c r="J129" s="244">
        <f t="shared" si="33"/>
        <v>4160000</v>
      </c>
      <c r="K129" s="250">
        <f t="shared" si="34"/>
        <v>416000</v>
      </c>
      <c r="L129" s="251">
        <f t="shared" si="35"/>
        <v>0.1111111111</v>
      </c>
      <c r="M129" s="252"/>
    </row>
    <row r="130" ht="15.75" customHeight="1">
      <c r="A130" s="239">
        <v>11.0</v>
      </c>
      <c r="B130" s="240" t="s">
        <v>1584</v>
      </c>
      <c r="C130" s="239" t="s">
        <v>109</v>
      </c>
      <c r="D130" s="213">
        <v>1.0</v>
      </c>
      <c r="E130" s="241" t="str">
        <f>'Daftar Harga'!D158</f>
        <v/>
      </c>
      <c r="F130" s="242" t="str">
        <f t="shared" si="31"/>
        <v/>
      </c>
      <c r="G130" s="186">
        <v>42000.0</v>
      </c>
      <c r="H130" s="243">
        <f t="shared" si="32"/>
        <v>42000</v>
      </c>
      <c r="I130" s="188">
        <v>46000.0</v>
      </c>
      <c r="J130" s="244">
        <f t="shared" si="33"/>
        <v>46000</v>
      </c>
      <c r="K130" s="245">
        <f t="shared" si="34"/>
        <v>4000</v>
      </c>
      <c r="L130" s="246">
        <f t="shared" si="35"/>
        <v>0.09523809524</v>
      </c>
      <c r="M130" s="247"/>
    </row>
    <row r="131" ht="15.75" customHeight="1">
      <c r="A131" s="248">
        <v>12.0</v>
      </c>
      <c r="B131" s="249" t="s">
        <v>1644</v>
      </c>
      <c r="C131" s="248" t="s">
        <v>109</v>
      </c>
      <c r="D131" s="216">
        <v>50.0</v>
      </c>
      <c r="E131" s="241" t="str">
        <f>'Daftar Harga'!D164</f>
        <v/>
      </c>
      <c r="F131" s="242" t="str">
        <f t="shared" si="31"/>
        <v/>
      </c>
      <c r="G131" s="186">
        <v>7000.0</v>
      </c>
      <c r="H131" s="243">
        <f t="shared" si="32"/>
        <v>350000</v>
      </c>
      <c r="I131" s="188">
        <v>12000.0</v>
      </c>
      <c r="J131" s="244">
        <f t="shared" si="33"/>
        <v>600000</v>
      </c>
      <c r="K131" s="250">
        <f t="shared" si="34"/>
        <v>250000</v>
      </c>
      <c r="L131" s="251">
        <f t="shared" si="35"/>
        <v>0.7142857143</v>
      </c>
      <c r="M131" s="252"/>
    </row>
    <row r="132" ht="15.75" customHeight="1">
      <c r="A132" s="239">
        <v>13.0</v>
      </c>
      <c r="B132" s="240" t="s">
        <v>1596</v>
      </c>
      <c r="C132" s="239" t="s">
        <v>69</v>
      </c>
      <c r="D132" s="213">
        <v>2052.0</v>
      </c>
      <c r="E132" s="241" t="str">
        <f>'Daftar Harga'!D171</f>
        <v/>
      </c>
      <c r="F132" s="242" t="str">
        <f t="shared" si="31"/>
        <v/>
      </c>
      <c r="G132" s="186">
        <v>3250.0</v>
      </c>
      <c r="H132" s="243">
        <v>3250.0</v>
      </c>
      <c r="I132" s="188">
        <v>3600.0</v>
      </c>
      <c r="J132" s="244">
        <f t="shared" si="33"/>
        <v>7387200</v>
      </c>
      <c r="K132" s="245">
        <f t="shared" si="34"/>
        <v>7383950</v>
      </c>
      <c r="L132" s="246">
        <f t="shared" si="35"/>
        <v>2271.984615</v>
      </c>
      <c r="M132" s="247"/>
    </row>
    <row r="133" ht="15.75" customHeight="1">
      <c r="A133" s="248">
        <v>14.0</v>
      </c>
      <c r="B133" s="249" t="s">
        <v>1342</v>
      </c>
      <c r="C133" s="248" t="s">
        <v>109</v>
      </c>
      <c r="D133" s="216">
        <v>103.0</v>
      </c>
      <c r="E133" s="241" t="str">
        <f>'Daftar Harga'!D179</f>
        <v/>
      </c>
      <c r="F133" s="242" t="str">
        <f t="shared" si="31"/>
        <v/>
      </c>
      <c r="G133" s="186">
        <v>28000.0</v>
      </c>
      <c r="H133" s="243">
        <f t="shared" ref="H133:H134" si="36">IF(G133&lt;&gt;"",D133*G133,"")</f>
        <v>2884000</v>
      </c>
      <c r="I133" s="188">
        <v>30000.0</v>
      </c>
      <c r="J133" s="244">
        <f t="shared" si="33"/>
        <v>3090000</v>
      </c>
      <c r="K133" s="250">
        <f t="shared" si="34"/>
        <v>206000</v>
      </c>
      <c r="L133" s="251">
        <f t="shared" si="35"/>
        <v>0.07142857143</v>
      </c>
      <c r="M133" s="252"/>
    </row>
    <row r="134" ht="15.75" customHeight="1">
      <c r="A134" s="239">
        <v>15.0</v>
      </c>
      <c r="B134" s="240" t="s">
        <v>1609</v>
      </c>
      <c r="C134" s="239" t="s">
        <v>109</v>
      </c>
      <c r="D134" s="213">
        <v>60.0</v>
      </c>
      <c r="E134" s="241" t="str">
        <f>'Daftar Harga'!D188</f>
        <v/>
      </c>
      <c r="F134" s="242" t="str">
        <f t="shared" si="31"/>
        <v/>
      </c>
      <c r="G134" s="186">
        <v>14000.0</v>
      </c>
      <c r="H134" s="243">
        <f t="shared" si="36"/>
        <v>840000</v>
      </c>
      <c r="I134" s="188">
        <v>17000.0</v>
      </c>
      <c r="J134" s="264">
        <f t="shared" si="33"/>
        <v>1020000</v>
      </c>
      <c r="K134" s="245">
        <f t="shared" si="34"/>
        <v>180000</v>
      </c>
      <c r="L134" s="246">
        <f t="shared" si="35"/>
        <v>0.2142857143</v>
      </c>
      <c r="M134" s="247"/>
    </row>
    <row r="135" ht="15.75" customHeight="1">
      <c r="A135" s="256" t="s">
        <v>1659</v>
      </c>
      <c r="B135" s="206"/>
      <c r="C135" s="206"/>
      <c r="D135" s="174"/>
      <c r="E135" s="257"/>
      <c r="F135" s="258">
        <f>SUMIF(F120:F134,"&lt;&gt;",F120:F134)</f>
        <v>39150</v>
      </c>
      <c r="G135" s="257"/>
      <c r="H135" s="258">
        <f>SUMIF(H120:H134,"&lt;&gt;",H120:H134)</f>
        <v>10403725</v>
      </c>
      <c r="I135" s="259"/>
      <c r="J135" s="260">
        <f>SUMIF(J120:J134,"&lt;&gt;",J120:J134)</f>
        <v>19118650</v>
      </c>
      <c r="K135" s="261">
        <f t="shared" si="34"/>
        <v>8714925</v>
      </c>
      <c r="L135" s="262">
        <f t="shared" si="35"/>
        <v>0.8376735256</v>
      </c>
      <c r="M135" s="257"/>
    </row>
    <row r="136" ht="15.75" customHeight="1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</row>
    <row r="137" ht="15.75" customHeight="1">
      <c r="A137" s="228" t="s">
        <v>1660</v>
      </c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6"/>
    </row>
    <row r="138" ht="15.75" customHeight="1">
      <c r="A138" s="229" t="s">
        <v>1509</v>
      </c>
      <c r="B138" s="229" t="s">
        <v>1510</v>
      </c>
      <c r="C138" s="229" t="s">
        <v>1511</v>
      </c>
      <c r="D138" s="229" t="s">
        <v>1614</v>
      </c>
      <c r="E138" s="230" t="s">
        <v>1615</v>
      </c>
      <c r="F138" s="174"/>
      <c r="G138" s="231" t="s">
        <v>1616</v>
      </c>
      <c r="H138" s="174"/>
      <c r="I138" s="232" t="s">
        <v>1617</v>
      </c>
      <c r="J138" s="174"/>
      <c r="K138" s="233" t="s">
        <v>1618</v>
      </c>
      <c r="L138" s="174"/>
      <c r="M138" s="229" t="s">
        <v>1619</v>
      </c>
    </row>
    <row r="139" ht="15.75" customHeight="1">
      <c r="A139" s="234" t="s">
        <v>1509</v>
      </c>
      <c r="B139" s="234" t="s">
        <v>1510</v>
      </c>
      <c r="C139" s="234" t="s">
        <v>1511</v>
      </c>
      <c r="D139" s="234" t="s">
        <v>1614</v>
      </c>
      <c r="E139" s="235" t="s">
        <v>1620</v>
      </c>
      <c r="F139" s="235" t="s">
        <v>1621</v>
      </c>
      <c r="G139" s="236" t="s">
        <v>1622</v>
      </c>
      <c r="H139" s="236" t="s">
        <v>1623</v>
      </c>
      <c r="I139" s="237" t="s">
        <v>1624</v>
      </c>
      <c r="J139" s="237" t="s">
        <v>1625</v>
      </c>
      <c r="K139" s="238" t="s">
        <v>1626</v>
      </c>
      <c r="L139" s="238" t="s">
        <v>1627</v>
      </c>
      <c r="M139" s="234" t="s">
        <v>1619</v>
      </c>
    </row>
    <row r="140" ht="15.75" customHeight="1">
      <c r="A140" s="239">
        <v>1.0</v>
      </c>
      <c r="B140" s="240" t="s">
        <v>1117</v>
      </c>
      <c r="C140" s="239" t="s">
        <v>109</v>
      </c>
      <c r="D140" s="213">
        <v>150.0</v>
      </c>
      <c r="E140" s="241">
        <f>'Daftar Harga'!D84</f>
        <v>34000</v>
      </c>
      <c r="F140" s="242">
        <f t="shared" ref="F140:F158" si="37">IF(E140&lt;&gt;"",D140*E140,"")</f>
        <v>5100000</v>
      </c>
      <c r="G140" s="186">
        <v>45500.0</v>
      </c>
      <c r="H140" s="243">
        <f t="shared" ref="H140:H158" si="38">IF(G140&lt;&gt;"",D140*G140,"")</f>
        <v>6825000</v>
      </c>
      <c r="I140" s="188">
        <v>48000.0</v>
      </c>
      <c r="J140" s="244">
        <f t="shared" ref="J140:J158" si="39">IF(I140&lt;&gt;"",D140*I140,"")</f>
        <v>7200000</v>
      </c>
      <c r="K140" s="245">
        <f t="shared" ref="K140:K159" si="40">IF(J140&lt;&gt;"",IF(H140&lt;&gt;"",J140-H140,IF(F140&lt;&gt;"",J140-F140,"")),"")</f>
        <v>375000</v>
      </c>
      <c r="L140" s="246">
        <f t="shared" ref="L140:L159" si="41">IF(K140&lt;&gt;"",IF(H140&lt;&gt;"",IF(H140&lt;&gt;0,K140/H140,""),IF(F140&lt;&gt;"",IF(F140&lt;&gt;0,K140/F140,""),"")),"")</f>
        <v>0.05494505495</v>
      </c>
      <c r="M140" s="247"/>
    </row>
    <row r="141" ht="15.75" customHeight="1">
      <c r="A141" s="248">
        <v>2.0</v>
      </c>
      <c r="B141" s="249" t="s">
        <v>1522</v>
      </c>
      <c r="C141" s="248" t="s">
        <v>109</v>
      </c>
      <c r="D141" s="216">
        <v>2.0</v>
      </c>
      <c r="E141" s="241">
        <f>'Daftar Harga'!D86</f>
        <v>12000</v>
      </c>
      <c r="F141" s="242">
        <f t="shared" si="37"/>
        <v>24000</v>
      </c>
      <c r="G141" s="186">
        <v>28000.0</v>
      </c>
      <c r="H141" s="243">
        <f t="shared" si="38"/>
        <v>56000</v>
      </c>
      <c r="I141" s="188">
        <v>35000.0</v>
      </c>
      <c r="J141" s="244">
        <f t="shared" si="39"/>
        <v>70000</v>
      </c>
      <c r="K141" s="250">
        <f t="shared" si="40"/>
        <v>14000</v>
      </c>
      <c r="L141" s="251">
        <f t="shared" si="41"/>
        <v>0.25</v>
      </c>
      <c r="M141" s="252"/>
    </row>
    <row r="142" ht="15.75" customHeight="1">
      <c r="A142" s="239">
        <v>3.0</v>
      </c>
      <c r="B142" s="240" t="s">
        <v>1934</v>
      </c>
      <c r="C142" s="239" t="s">
        <v>109</v>
      </c>
      <c r="D142" s="213">
        <v>1.0</v>
      </c>
      <c r="E142" s="241">
        <f>'Daftar Harga'!D88</f>
        <v>500</v>
      </c>
      <c r="F142" s="242">
        <f t="shared" si="37"/>
        <v>500</v>
      </c>
      <c r="G142" s="186">
        <v>40000.0</v>
      </c>
      <c r="H142" s="243">
        <f t="shared" si="38"/>
        <v>40000</v>
      </c>
      <c r="I142" s="188">
        <v>48000.0</v>
      </c>
      <c r="J142" s="244">
        <f t="shared" si="39"/>
        <v>48000</v>
      </c>
      <c r="K142" s="245">
        <f t="shared" si="40"/>
        <v>8000</v>
      </c>
      <c r="L142" s="246">
        <f t="shared" si="41"/>
        <v>0.2</v>
      </c>
      <c r="M142" s="247"/>
    </row>
    <row r="143" ht="15.75" customHeight="1">
      <c r="A143" s="248">
        <v>4.0</v>
      </c>
      <c r="B143" s="249" t="s">
        <v>1935</v>
      </c>
      <c r="C143" s="248" t="s">
        <v>109</v>
      </c>
      <c r="D143" s="216">
        <v>1.0</v>
      </c>
      <c r="E143" s="241">
        <f>'Daftar Harga'!D90</f>
        <v>650</v>
      </c>
      <c r="F143" s="242">
        <f t="shared" si="37"/>
        <v>650</v>
      </c>
      <c r="G143" s="186">
        <v>33000.0</v>
      </c>
      <c r="H143" s="243">
        <f t="shared" si="38"/>
        <v>33000</v>
      </c>
      <c r="I143" s="188">
        <v>36000.0</v>
      </c>
      <c r="J143" s="244">
        <f t="shared" si="39"/>
        <v>36000</v>
      </c>
      <c r="K143" s="250">
        <f t="shared" si="40"/>
        <v>3000</v>
      </c>
      <c r="L143" s="251">
        <f t="shared" si="41"/>
        <v>0.09090909091</v>
      </c>
      <c r="M143" s="252"/>
    </row>
    <row r="144" ht="15.75" customHeight="1">
      <c r="A144" s="239">
        <v>5.0</v>
      </c>
      <c r="B144" s="240" t="s">
        <v>2027</v>
      </c>
      <c r="C144" s="239" t="s">
        <v>109</v>
      </c>
      <c r="D144" s="213">
        <v>0.25</v>
      </c>
      <c r="E144" s="241">
        <f>'Daftar Harga'!D95</f>
        <v>23000</v>
      </c>
      <c r="F144" s="242">
        <f t="shared" si="37"/>
        <v>5750</v>
      </c>
      <c r="G144" s="186">
        <v>60000.0</v>
      </c>
      <c r="H144" s="243">
        <f t="shared" si="38"/>
        <v>15000</v>
      </c>
      <c r="I144" s="188">
        <v>70000.0</v>
      </c>
      <c r="J144" s="244">
        <f t="shared" si="39"/>
        <v>17500</v>
      </c>
      <c r="K144" s="245">
        <f t="shared" si="40"/>
        <v>2500</v>
      </c>
      <c r="L144" s="246">
        <f t="shared" si="41"/>
        <v>0.1666666667</v>
      </c>
      <c r="M144" s="247"/>
    </row>
    <row r="145" ht="15.75" customHeight="1">
      <c r="A145" s="248">
        <v>6.0</v>
      </c>
      <c r="B145" s="249" t="s">
        <v>1534</v>
      </c>
      <c r="C145" s="248" t="s">
        <v>109</v>
      </c>
      <c r="D145" s="216">
        <v>40.8</v>
      </c>
      <c r="E145" s="241">
        <f>'Daftar Harga'!D97</f>
        <v>11500</v>
      </c>
      <c r="F145" s="242">
        <f t="shared" si="37"/>
        <v>469200</v>
      </c>
      <c r="G145" s="186">
        <v>15000.0</v>
      </c>
      <c r="H145" s="243">
        <f t="shared" si="38"/>
        <v>612000</v>
      </c>
      <c r="I145" s="188">
        <v>16000.0</v>
      </c>
      <c r="J145" s="244">
        <f t="shared" si="39"/>
        <v>652800</v>
      </c>
      <c r="K145" s="250">
        <f t="shared" si="40"/>
        <v>40800</v>
      </c>
      <c r="L145" s="251">
        <f t="shared" si="41"/>
        <v>0.06666666667</v>
      </c>
      <c r="M145" s="252"/>
    </row>
    <row r="146" ht="15.75" customHeight="1">
      <c r="A146" s="239">
        <v>7.0</v>
      </c>
      <c r="B146" s="240" t="s">
        <v>1844</v>
      </c>
      <c r="C146" s="239" t="s">
        <v>109</v>
      </c>
      <c r="D146" s="213">
        <v>1.0</v>
      </c>
      <c r="E146" s="241">
        <f>'Daftar Harga'!D100</f>
        <v>14000</v>
      </c>
      <c r="F146" s="242">
        <f t="shared" si="37"/>
        <v>14000</v>
      </c>
      <c r="G146" s="186">
        <v>6000.0</v>
      </c>
      <c r="H146" s="243">
        <f t="shared" si="38"/>
        <v>6000</v>
      </c>
      <c r="I146" s="188">
        <v>70000.0</v>
      </c>
      <c r="J146" s="244">
        <f t="shared" si="39"/>
        <v>70000</v>
      </c>
      <c r="K146" s="245">
        <f t="shared" si="40"/>
        <v>64000</v>
      </c>
      <c r="L146" s="246">
        <f t="shared" si="41"/>
        <v>10.66666667</v>
      </c>
      <c r="M146" s="247"/>
    </row>
    <row r="147" ht="15.75" customHeight="1">
      <c r="A147" s="248">
        <v>8.0</v>
      </c>
      <c r="B147" s="249" t="s">
        <v>1655</v>
      </c>
      <c r="C147" s="248" t="s">
        <v>109</v>
      </c>
      <c r="D147" s="216">
        <v>1.0</v>
      </c>
      <c r="E147" s="241" t="str">
        <f>'Daftar Harga'!D115</f>
        <v/>
      </c>
      <c r="F147" s="242" t="str">
        <f t="shared" si="37"/>
        <v/>
      </c>
      <c r="G147" s="186">
        <v>18500.0</v>
      </c>
      <c r="H147" s="243">
        <f t="shared" si="38"/>
        <v>18500</v>
      </c>
      <c r="I147" s="188">
        <v>20000.0</v>
      </c>
      <c r="J147" s="244">
        <f t="shared" si="39"/>
        <v>20000</v>
      </c>
      <c r="K147" s="250">
        <f t="shared" si="40"/>
        <v>1500</v>
      </c>
      <c r="L147" s="251">
        <f t="shared" si="41"/>
        <v>0.08108108108</v>
      </c>
      <c r="M147" s="252"/>
    </row>
    <row r="148" ht="15.75" customHeight="1">
      <c r="A148" s="239">
        <v>9.0</v>
      </c>
      <c r="B148" s="240" t="s">
        <v>1936</v>
      </c>
      <c r="C148" s="239" t="s">
        <v>109</v>
      </c>
      <c r="D148" s="213">
        <v>1.0</v>
      </c>
      <c r="E148" s="241" t="str">
        <f>'Daftar Harga'!D127</f>
        <v/>
      </c>
      <c r="F148" s="242" t="str">
        <f t="shared" si="37"/>
        <v/>
      </c>
      <c r="G148" s="186">
        <v>110000.0</v>
      </c>
      <c r="H148" s="243">
        <f t="shared" si="38"/>
        <v>110000</v>
      </c>
      <c r="I148" s="188">
        <v>125000.0</v>
      </c>
      <c r="J148" s="244">
        <f t="shared" si="39"/>
        <v>125000</v>
      </c>
      <c r="K148" s="245">
        <f t="shared" si="40"/>
        <v>15000</v>
      </c>
      <c r="L148" s="246">
        <f t="shared" si="41"/>
        <v>0.1363636364</v>
      </c>
      <c r="M148" s="247"/>
    </row>
    <row r="149" ht="15.75" customHeight="1">
      <c r="A149" s="248">
        <v>10.0</v>
      </c>
      <c r="B149" s="249" t="s">
        <v>1643</v>
      </c>
      <c r="C149" s="248" t="s">
        <v>1824</v>
      </c>
      <c r="D149" s="216">
        <v>3.0</v>
      </c>
      <c r="E149" s="241" t="str">
        <f>'Daftar Harga'!D129</f>
        <v/>
      </c>
      <c r="F149" s="242" t="str">
        <f t="shared" si="37"/>
        <v/>
      </c>
      <c r="G149" s="199">
        <v>48000.0</v>
      </c>
      <c r="H149" s="243">
        <f t="shared" si="38"/>
        <v>144000</v>
      </c>
      <c r="I149" s="188">
        <v>51000.0</v>
      </c>
      <c r="J149" s="244">
        <f t="shared" si="39"/>
        <v>153000</v>
      </c>
      <c r="K149" s="250">
        <f t="shared" si="40"/>
        <v>9000</v>
      </c>
      <c r="L149" s="251">
        <f t="shared" si="41"/>
        <v>0.0625</v>
      </c>
      <c r="M149" s="252"/>
    </row>
    <row r="150" ht="15.75" customHeight="1">
      <c r="A150" s="239">
        <v>11.0</v>
      </c>
      <c r="B150" s="240" t="s">
        <v>1569</v>
      </c>
      <c r="C150" s="239" t="s">
        <v>109</v>
      </c>
      <c r="D150" s="213">
        <v>0.5</v>
      </c>
      <c r="E150" s="241" t="str">
        <f>'Daftar Harga'!D139</f>
        <v/>
      </c>
      <c r="F150" s="242" t="str">
        <f t="shared" si="37"/>
        <v/>
      </c>
      <c r="G150" s="186">
        <v>13000.0</v>
      </c>
      <c r="H150" s="243">
        <f t="shared" si="38"/>
        <v>6500</v>
      </c>
      <c r="I150" s="188">
        <v>16000.0</v>
      </c>
      <c r="J150" s="244">
        <f t="shared" si="39"/>
        <v>8000</v>
      </c>
      <c r="K150" s="245">
        <f t="shared" si="40"/>
        <v>1500</v>
      </c>
      <c r="L150" s="246">
        <f t="shared" si="41"/>
        <v>0.2307692308</v>
      </c>
      <c r="M150" s="247"/>
    </row>
    <row r="151" ht="15.75" customHeight="1">
      <c r="A151" s="248">
        <v>12.0</v>
      </c>
      <c r="B151" s="249" t="s">
        <v>1650</v>
      </c>
      <c r="C151" s="248" t="s">
        <v>109</v>
      </c>
      <c r="D151" s="216">
        <v>1.0</v>
      </c>
      <c r="E151" s="241" t="str">
        <f>'Daftar Harga'!D141</f>
        <v/>
      </c>
      <c r="F151" s="242" t="str">
        <f t="shared" si="37"/>
        <v/>
      </c>
      <c r="G151" s="186">
        <v>140000.0</v>
      </c>
      <c r="H151" s="243">
        <f t="shared" si="38"/>
        <v>140000</v>
      </c>
      <c r="I151" s="188">
        <v>200000.0</v>
      </c>
      <c r="J151" s="244">
        <f t="shared" si="39"/>
        <v>200000</v>
      </c>
      <c r="K151" s="250">
        <f t="shared" si="40"/>
        <v>60000</v>
      </c>
      <c r="L151" s="251">
        <f t="shared" si="41"/>
        <v>0.4285714286</v>
      </c>
      <c r="M151" s="252"/>
    </row>
    <row r="152" ht="15.75" customHeight="1">
      <c r="A152" s="239">
        <v>13.0</v>
      </c>
      <c r="B152" s="240" t="s">
        <v>1578</v>
      </c>
      <c r="C152" s="239" t="s">
        <v>1579</v>
      </c>
      <c r="D152" s="213">
        <v>18.75</v>
      </c>
      <c r="E152" s="241" t="str">
        <f>'Daftar Harga'!D150</f>
        <v/>
      </c>
      <c r="F152" s="242" t="str">
        <f t="shared" si="37"/>
        <v/>
      </c>
      <c r="G152" s="186">
        <v>21500.0</v>
      </c>
      <c r="H152" s="243">
        <f t="shared" si="38"/>
        <v>403125</v>
      </c>
      <c r="I152" s="188">
        <v>24000.0</v>
      </c>
      <c r="J152" s="244">
        <f t="shared" si="39"/>
        <v>450000</v>
      </c>
      <c r="K152" s="245">
        <f t="shared" si="40"/>
        <v>46875</v>
      </c>
      <c r="L152" s="246">
        <f t="shared" si="41"/>
        <v>0.1162790698</v>
      </c>
      <c r="M152" s="247"/>
    </row>
    <row r="153" ht="15.75" customHeight="1">
      <c r="A153" s="248">
        <v>14.0</v>
      </c>
      <c r="B153" s="249" t="s">
        <v>1152</v>
      </c>
      <c r="C153" s="248" t="s">
        <v>69</v>
      </c>
      <c r="D153" s="216">
        <v>2050.0</v>
      </c>
      <c r="E153" s="241" t="str">
        <f>'Daftar Harga'!D156</f>
        <v/>
      </c>
      <c r="F153" s="242" t="str">
        <f t="shared" si="37"/>
        <v/>
      </c>
      <c r="G153" s="199">
        <v>1800.0</v>
      </c>
      <c r="H153" s="243">
        <f t="shared" si="38"/>
        <v>3690000</v>
      </c>
      <c r="I153" s="188">
        <v>2000.0</v>
      </c>
      <c r="J153" s="244">
        <f t="shared" si="39"/>
        <v>4100000</v>
      </c>
      <c r="K153" s="250">
        <f t="shared" si="40"/>
        <v>410000</v>
      </c>
      <c r="L153" s="251">
        <f t="shared" si="41"/>
        <v>0.1111111111</v>
      </c>
      <c r="M153" s="252"/>
    </row>
    <row r="154" ht="15.75" customHeight="1">
      <c r="A154" s="239">
        <v>15.0</v>
      </c>
      <c r="B154" s="240" t="s">
        <v>1584</v>
      </c>
      <c r="C154" s="239" t="s">
        <v>109</v>
      </c>
      <c r="D154" s="213">
        <v>1.0</v>
      </c>
      <c r="E154" s="241" t="str">
        <f>'Daftar Harga'!D158</f>
        <v/>
      </c>
      <c r="F154" s="242" t="str">
        <f t="shared" si="37"/>
        <v/>
      </c>
      <c r="G154" s="186">
        <v>42000.0</v>
      </c>
      <c r="H154" s="243">
        <f t="shared" si="38"/>
        <v>42000</v>
      </c>
      <c r="I154" s="188">
        <v>46000.0</v>
      </c>
      <c r="J154" s="244">
        <f t="shared" si="39"/>
        <v>46000</v>
      </c>
      <c r="K154" s="245">
        <f t="shared" si="40"/>
        <v>4000</v>
      </c>
      <c r="L154" s="246">
        <f t="shared" si="41"/>
        <v>0.09523809524</v>
      </c>
      <c r="M154" s="247"/>
    </row>
    <row r="155" ht="15.75" customHeight="1">
      <c r="A155" s="248">
        <v>16.0</v>
      </c>
      <c r="B155" s="249" t="s">
        <v>2028</v>
      </c>
      <c r="C155" s="248" t="s">
        <v>109</v>
      </c>
      <c r="D155" s="216">
        <v>4.0</v>
      </c>
      <c r="E155" s="241" t="str">
        <f>'Daftar Harga'!D160</f>
        <v/>
      </c>
      <c r="F155" s="242" t="str">
        <f t="shared" si="37"/>
        <v/>
      </c>
      <c r="G155" s="186">
        <v>53000.0</v>
      </c>
      <c r="H155" s="243">
        <f t="shared" si="38"/>
        <v>212000</v>
      </c>
      <c r="I155" s="188">
        <v>57000.0</v>
      </c>
      <c r="J155" s="244">
        <f t="shared" si="39"/>
        <v>228000</v>
      </c>
      <c r="K155" s="250">
        <f t="shared" si="40"/>
        <v>16000</v>
      </c>
      <c r="L155" s="251">
        <f t="shared" si="41"/>
        <v>0.07547169811</v>
      </c>
      <c r="M155" s="252"/>
    </row>
    <row r="156" ht="15.75" customHeight="1">
      <c r="A156" s="239">
        <v>17.0</v>
      </c>
      <c r="B156" s="240" t="s">
        <v>1601</v>
      </c>
      <c r="C156" s="239" t="s">
        <v>69</v>
      </c>
      <c r="D156" s="213">
        <v>85.0</v>
      </c>
      <c r="E156" s="241" t="str">
        <f>'Daftar Harga'!D180</f>
        <v/>
      </c>
      <c r="F156" s="242" t="str">
        <f t="shared" si="37"/>
        <v/>
      </c>
      <c r="G156" s="186">
        <v>12000.0</v>
      </c>
      <c r="H156" s="243">
        <f t="shared" si="38"/>
        <v>1020000</v>
      </c>
      <c r="I156" s="188">
        <v>14000.0</v>
      </c>
      <c r="J156" s="244">
        <f t="shared" si="39"/>
        <v>1190000</v>
      </c>
      <c r="K156" s="245">
        <f t="shared" si="40"/>
        <v>170000</v>
      </c>
      <c r="L156" s="246">
        <f t="shared" si="41"/>
        <v>0.1666666667</v>
      </c>
      <c r="M156" s="247"/>
    </row>
    <row r="157" ht="15.75" customHeight="1">
      <c r="A157" s="248">
        <v>18.0</v>
      </c>
      <c r="B157" s="249" t="s">
        <v>1818</v>
      </c>
      <c r="C157" s="248" t="s">
        <v>109</v>
      </c>
      <c r="D157" s="216">
        <v>10.0</v>
      </c>
      <c r="E157" s="241" t="str">
        <f>'Daftar Harga'!D181</f>
        <v/>
      </c>
      <c r="F157" s="242" t="str">
        <f t="shared" si="37"/>
        <v/>
      </c>
      <c r="G157" s="186">
        <v>26000.0</v>
      </c>
      <c r="H157" s="243">
        <f t="shared" si="38"/>
        <v>260000</v>
      </c>
      <c r="I157" s="188">
        <v>26000.0</v>
      </c>
      <c r="J157" s="244">
        <f t="shared" si="39"/>
        <v>260000</v>
      </c>
      <c r="K157" s="250">
        <f t="shared" si="40"/>
        <v>0</v>
      </c>
      <c r="L157" s="251">
        <f t="shared" si="41"/>
        <v>0</v>
      </c>
      <c r="M157" s="252"/>
    </row>
    <row r="158" ht="15.75" customHeight="1">
      <c r="A158" s="239">
        <v>19.0</v>
      </c>
      <c r="B158" s="240" t="s">
        <v>1609</v>
      </c>
      <c r="C158" s="239" t="s">
        <v>109</v>
      </c>
      <c r="D158" s="213">
        <v>45.5</v>
      </c>
      <c r="E158" s="241" t="str">
        <f>'Daftar Harga'!D188</f>
        <v/>
      </c>
      <c r="F158" s="242" t="str">
        <f t="shared" si="37"/>
        <v/>
      </c>
      <c r="G158" s="186">
        <v>14000.0</v>
      </c>
      <c r="H158" s="263">
        <f t="shared" si="38"/>
        <v>637000</v>
      </c>
      <c r="I158" s="188">
        <v>18000.0</v>
      </c>
      <c r="J158" s="264">
        <f t="shared" si="39"/>
        <v>819000</v>
      </c>
      <c r="K158" s="245">
        <f t="shared" si="40"/>
        <v>182000</v>
      </c>
      <c r="L158" s="246">
        <f t="shared" si="41"/>
        <v>0.2857142857</v>
      </c>
      <c r="M158" s="247"/>
    </row>
    <row r="159" ht="15.75" customHeight="1">
      <c r="A159" s="256" t="s">
        <v>1666</v>
      </c>
      <c r="B159" s="206"/>
      <c r="C159" s="206"/>
      <c r="D159" s="174"/>
      <c r="E159" s="257"/>
      <c r="F159" s="258">
        <f>SUMIF(F140:F158,"&lt;&gt;",F140:F158)</f>
        <v>5614100</v>
      </c>
      <c r="G159" s="259"/>
      <c r="H159" s="260">
        <f>SUMIF(H140:H158,"&lt;&gt;",H140:H158)</f>
        <v>14270125</v>
      </c>
      <c r="I159" s="265"/>
      <c r="J159" s="260">
        <f>SUMIF(J140:J158,"&lt;&gt;",J140:J158)</f>
        <v>15693300</v>
      </c>
      <c r="K159" s="261">
        <f t="shared" si="40"/>
        <v>1423175</v>
      </c>
      <c r="L159" s="262">
        <f t="shared" si="41"/>
        <v>0.09973108154</v>
      </c>
      <c r="M159" s="257"/>
    </row>
    <row r="160" ht="15.75" customHeight="1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</row>
    <row r="161" ht="15.75" customHeight="1">
      <c r="A161" s="228" t="s">
        <v>1825</v>
      </c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6"/>
    </row>
    <row r="162" ht="15.75" customHeight="1">
      <c r="A162" s="229" t="s">
        <v>1509</v>
      </c>
      <c r="B162" s="229" t="s">
        <v>1510</v>
      </c>
      <c r="C162" s="229" t="s">
        <v>1511</v>
      </c>
      <c r="D162" s="229" t="s">
        <v>1614</v>
      </c>
      <c r="E162" s="230" t="s">
        <v>1615</v>
      </c>
      <c r="F162" s="174"/>
      <c r="G162" s="231" t="s">
        <v>1616</v>
      </c>
      <c r="H162" s="174"/>
      <c r="I162" s="232" t="s">
        <v>1617</v>
      </c>
      <c r="J162" s="174"/>
      <c r="K162" s="233" t="s">
        <v>1618</v>
      </c>
      <c r="L162" s="174"/>
      <c r="M162" s="229" t="s">
        <v>1619</v>
      </c>
    </row>
    <row r="163" ht="15.75" customHeight="1">
      <c r="A163" s="234" t="s">
        <v>1509</v>
      </c>
      <c r="B163" s="234" t="s">
        <v>1510</v>
      </c>
      <c r="C163" s="234" t="s">
        <v>1511</v>
      </c>
      <c r="D163" s="234" t="s">
        <v>1614</v>
      </c>
      <c r="E163" s="235" t="s">
        <v>1620</v>
      </c>
      <c r="F163" s="235" t="s">
        <v>1621</v>
      </c>
      <c r="G163" s="236" t="s">
        <v>1622</v>
      </c>
      <c r="H163" s="236" t="s">
        <v>1623</v>
      </c>
      <c r="I163" s="237" t="s">
        <v>1624</v>
      </c>
      <c r="J163" s="237" t="s">
        <v>1625</v>
      </c>
      <c r="K163" s="238" t="s">
        <v>1626</v>
      </c>
      <c r="L163" s="238" t="s">
        <v>1627</v>
      </c>
      <c r="M163" s="234" t="s">
        <v>1619</v>
      </c>
    </row>
    <row r="164" ht="15.75" customHeight="1">
      <c r="A164" s="239">
        <v>1.0</v>
      </c>
      <c r="B164" s="240" t="s">
        <v>1549</v>
      </c>
      <c r="C164" s="239" t="s">
        <v>109</v>
      </c>
      <c r="D164" s="213">
        <v>130.0</v>
      </c>
      <c r="E164" s="241" t="str">
        <f>'Daftar Harga'!D121</f>
        <v/>
      </c>
      <c r="F164" s="242" t="str">
        <f t="shared" ref="F164:F166" si="42">IF(E164&lt;&gt;"",D164*E164,"")</f>
        <v/>
      </c>
      <c r="G164" s="186">
        <v>25000.0</v>
      </c>
      <c r="H164" s="243">
        <f t="shared" ref="H164:H166" si="43">IF(G164&lt;&gt;"",D164*G164,"")</f>
        <v>3250000</v>
      </c>
      <c r="I164" s="188">
        <v>28000.0</v>
      </c>
      <c r="J164" s="244">
        <f t="shared" ref="J164:J166" si="44">IF(I164&lt;&gt;"",D164*I164,"")</f>
        <v>3640000</v>
      </c>
      <c r="K164" s="245">
        <f t="shared" ref="K164:K167" si="45">IF(J164&lt;&gt;"",IF(H164&lt;&gt;"",J164-H164,IF(F164&lt;&gt;"",J164-F164,"")),"")</f>
        <v>390000</v>
      </c>
      <c r="L164" s="246">
        <f t="shared" ref="L164:L167" si="46">IF(K164&lt;&gt;"",IF(H164&lt;&gt;"",IF(H164&lt;&gt;0,K164/H164,""),IF(F164&lt;&gt;"",IF(F164&lt;&gt;0,K164/F164,""),"")),"")</f>
        <v>0.12</v>
      </c>
      <c r="M164" s="247"/>
    </row>
    <row r="165" ht="15.75" customHeight="1">
      <c r="A165" s="248">
        <v>2.0</v>
      </c>
      <c r="B165" s="249" t="s">
        <v>1596</v>
      </c>
      <c r="C165" s="248" t="s">
        <v>69</v>
      </c>
      <c r="D165" s="216">
        <v>1035.0</v>
      </c>
      <c r="E165" s="241" t="str">
        <f>'Daftar Harga'!D171</f>
        <v/>
      </c>
      <c r="F165" s="242" t="str">
        <f t="shared" si="42"/>
        <v/>
      </c>
      <c r="G165" s="186">
        <v>3250.0</v>
      </c>
      <c r="H165" s="243">
        <f t="shared" si="43"/>
        <v>3363750</v>
      </c>
      <c r="I165" s="188">
        <v>3600.0</v>
      </c>
      <c r="J165" s="244">
        <f t="shared" si="44"/>
        <v>3726000</v>
      </c>
      <c r="K165" s="250">
        <f t="shared" si="45"/>
        <v>362250</v>
      </c>
      <c r="L165" s="251">
        <f t="shared" si="46"/>
        <v>0.1076923077</v>
      </c>
      <c r="M165" s="252"/>
    </row>
    <row r="166" ht="15.75" customHeight="1">
      <c r="A166" s="239">
        <v>3.0</v>
      </c>
      <c r="B166" s="240" t="s">
        <v>1957</v>
      </c>
      <c r="C166" s="239" t="s">
        <v>69</v>
      </c>
      <c r="D166" s="213">
        <v>247.0</v>
      </c>
      <c r="E166" s="241" t="str">
        <f>'Daftar Harga'!D177</f>
        <v/>
      </c>
      <c r="F166" s="242" t="str">
        <f t="shared" si="42"/>
        <v/>
      </c>
      <c r="G166" s="186">
        <v>2800.0</v>
      </c>
      <c r="H166" s="263">
        <f t="shared" si="43"/>
        <v>691600</v>
      </c>
      <c r="I166" s="188">
        <v>3700.0</v>
      </c>
      <c r="J166" s="264">
        <f t="shared" si="44"/>
        <v>913900</v>
      </c>
      <c r="K166" s="245">
        <f t="shared" si="45"/>
        <v>222300</v>
      </c>
      <c r="L166" s="246">
        <f t="shared" si="46"/>
        <v>0.3214285714</v>
      </c>
      <c r="M166" s="247"/>
    </row>
    <row r="167" ht="15.75" customHeight="1">
      <c r="A167" s="256" t="s">
        <v>1670</v>
      </c>
      <c r="B167" s="206"/>
      <c r="C167" s="206"/>
      <c r="D167" s="174"/>
      <c r="E167" s="257"/>
      <c r="F167" s="258">
        <f>SUMIF(F164:F166,"&lt;&gt;",F164:F166)</f>
        <v>0</v>
      </c>
      <c r="G167" s="259"/>
      <c r="H167" s="260">
        <f>SUMIF(H164:H166,"&lt;&gt;",H164:H166)</f>
        <v>7305350</v>
      </c>
      <c r="I167" s="265"/>
      <c r="J167" s="260">
        <f>SUMIF(J164:J166,"&lt;&gt;",J164:J166)</f>
        <v>8279900</v>
      </c>
      <c r="K167" s="261">
        <f t="shared" si="45"/>
        <v>974550</v>
      </c>
      <c r="L167" s="262">
        <f t="shared" si="46"/>
        <v>0.1334022326</v>
      </c>
      <c r="M167" s="257"/>
    </row>
    <row r="168" ht="15.75" customHeight="1"/>
    <row r="169" ht="15.75" customHeight="1"/>
    <row r="170" ht="15.75" customHeight="1">
      <c r="A170" s="273" t="s">
        <v>2029</v>
      </c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6"/>
    </row>
    <row r="171" ht="15.75" customHeight="1">
      <c r="A171" s="229" t="s">
        <v>1509</v>
      </c>
      <c r="B171" s="229" t="s">
        <v>1510</v>
      </c>
      <c r="C171" s="229" t="s">
        <v>1511</v>
      </c>
      <c r="D171" s="229" t="s">
        <v>1614</v>
      </c>
      <c r="E171" s="230" t="s">
        <v>1615</v>
      </c>
      <c r="F171" s="174"/>
      <c r="G171" s="231" t="s">
        <v>1616</v>
      </c>
      <c r="H171" s="174"/>
      <c r="I171" s="232" t="s">
        <v>1617</v>
      </c>
      <c r="J171" s="174"/>
      <c r="K171" s="233" t="s">
        <v>1618</v>
      </c>
      <c r="L171" s="174"/>
      <c r="M171" s="229" t="s">
        <v>1619</v>
      </c>
    </row>
    <row r="172" ht="15.75" customHeight="1">
      <c r="A172" s="234" t="s">
        <v>1509</v>
      </c>
      <c r="B172" s="234" t="s">
        <v>1510</v>
      </c>
      <c r="C172" s="234" t="s">
        <v>1511</v>
      </c>
      <c r="D172" s="234" t="s">
        <v>1614</v>
      </c>
      <c r="E172" s="235" t="s">
        <v>1620</v>
      </c>
      <c r="F172" s="235" t="s">
        <v>1621</v>
      </c>
      <c r="G172" s="236" t="s">
        <v>1622</v>
      </c>
      <c r="H172" s="236" t="s">
        <v>1623</v>
      </c>
      <c r="I172" s="237" t="s">
        <v>1624</v>
      </c>
      <c r="J172" s="237" t="s">
        <v>1625</v>
      </c>
      <c r="K172" s="238" t="s">
        <v>1626</v>
      </c>
      <c r="L172" s="238" t="s">
        <v>1627</v>
      </c>
      <c r="M172" s="234" t="s">
        <v>1619</v>
      </c>
    </row>
    <row r="173" ht="15.75" customHeight="1">
      <c r="A173" s="239">
        <v>1.0</v>
      </c>
      <c r="B173" s="275" t="s">
        <v>1527</v>
      </c>
      <c r="C173" s="239" t="s">
        <v>109</v>
      </c>
      <c r="D173" s="254">
        <v>100.0</v>
      </c>
      <c r="E173" s="241" t="str">
        <f>'Daftar Harga'!D117</f>
        <v/>
      </c>
      <c r="F173" s="242" t="str">
        <f t="shared" ref="F173:F189" si="47">IF(E173&lt;&gt;"",D173*E173,"")</f>
        <v/>
      </c>
      <c r="G173" s="199">
        <v>14500.0</v>
      </c>
      <c r="H173" s="243">
        <f t="shared" ref="H173:H189" si="48">IF(G173&lt;&gt;"",D173*G173,"")</f>
        <v>1450000</v>
      </c>
      <c r="I173" s="200">
        <v>15700.0</v>
      </c>
      <c r="J173" s="244">
        <f t="shared" ref="J173:J189" si="49">IF(I173&lt;&gt;"",D173*I173,"")</f>
        <v>1570000</v>
      </c>
      <c r="K173" s="245">
        <f t="shared" ref="K173:K190" si="50">IF(J173&lt;&gt;"",IF(H173&lt;&gt;"",J173-H173,IF(F173&lt;&gt;"",J173-F173,"")),"")</f>
        <v>120000</v>
      </c>
      <c r="L173" s="246">
        <f t="shared" ref="L173:L190" si="51">IF(K173&lt;&gt;"",IF(H173&lt;&gt;"",IF(H173&lt;&gt;0,K173/H173,""),IF(F173&lt;&gt;"",IF(F173&lt;&gt;0,K173/F173,""),"")),"")</f>
        <v>0.08275862069</v>
      </c>
      <c r="M173" s="247"/>
    </row>
    <row r="174" ht="15.75" customHeight="1">
      <c r="A174" s="248">
        <v>2.0</v>
      </c>
      <c r="B174" s="276" t="s">
        <v>1116</v>
      </c>
      <c r="C174" s="248" t="s">
        <v>109</v>
      </c>
      <c r="D174" s="277">
        <v>182.0</v>
      </c>
      <c r="E174" s="241" t="str">
        <f>'Daftar Harga'!D119</f>
        <v/>
      </c>
      <c r="F174" s="242" t="str">
        <f t="shared" si="47"/>
        <v/>
      </c>
      <c r="G174" s="199">
        <v>28500.0</v>
      </c>
      <c r="H174" s="243">
        <f t="shared" si="48"/>
        <v>5187000</v>
      </c>
      <c r="I174" s="200">
        <v>38000.0</v>
      </c>
      <c r="J174" s="244">
        <f t="shared" si="49"/>
        <v>6916000</v>
      </c>
      <c r="K174" s="250">
        <f t="shared" si="50"/>
        <v>1729000</v>
      </c>
      <c r="L174" s="251">
        <f t="shared" si="51"/>
        <v>0.3333333333</v>
      </c>
      <c r="M174" s="252"/>
    </row>
    <row r="175" ht="15.75" customHeight="1">
      <c r="A175" s="239">
        <v>3.0</v>
      </c>
      <c r="B175" s="275" t="s">
        <v>1603</v>
      </c>
      <c r="C175" s="239" t="s">
        <v>109</v>
      </c>
      <c r="D175" s="254">
        <v>14.6</v>
      </c>
      <c r="E175" s="241" t="str">
        <f>'Daftar Harga'!D121</f>
        <v/>
      </c>
      <c r="F175" s="242" t="str">
        <f t="shared" si="47"/>
        <v/>
      </c>
      <c r="G175" s="199">
        <v>22700.0</v>
      </c>
      <c r="H175" s="243">
        <f t="shared" si="48"/>
        <v>331420</v>
      </c>
      <c r="I175" s="200">
        <v>26000.0</v>
      </c>
      <c r="J175" s="244">
        <f t="shared" si="49"/>
        <v>379600</v>
      </c>
      <c r="K175" s="245">
        <f t="shared" si="50"/>
        <v>48180</v>
      </c>
      <c r="L175" s="246">
        <f t="shared" si="51"/>
        <v>0.1453744493</v>
      </c>
      <c r="M175" s="247"/>
    </row>
    <row r="176" ht="15.75" customHeight="1">
      <c r="A176" s="248">
        <v>4.0</v>
      </c>
      <c r="B176" s="276" t="s">
        <v>1604</v>
      </c>
      <c r="C176" s="248" t="s">
        <v>109</v>
      </c>
      <c r="D176" s="277">
        <v>6.55</v>
      </c>
      <c r="E176" s="241" t="str">
        <f>'Daftar Harga'!D123</f>
        <v/>
      </c>
      <c r="F176" s="242" t="str">
        <f t="shared" si="47"/>
        <v/>
      </c>
      <c r="G176" s="199">
        <v>8800.0</v>
      </c>
      <c r="H176" s="243">
        <f t="shared" si="48"/>
        <v>57640</v>
      </c>
      <c r="I176" s="200">
        <v>14000.0</v>
      </c>
      <c r="J176" s="244">
        <f t="shared" si="49"/>
        <v>91700</v>
      </c>
      <c r="K176" s="250">
        <f t="shared" si="50"/>
        <v>34060</v>
      </c>
      <c r="L176" s="251">
        <f t="shared" si="51"/>
        <v>0.5909090909</v>
      </c>
      <c r="M176" s="252"/>
    </row>
    <row r="177" ht="15.75" customHeight="1">
      <c r="A177" s="239">
        <v>5.0</v>
      </c>
      <c r="B177" s="275" t="s">
        <v>1605</v>
      </c>
      <c r="C177" s="239" t="s">
        <v>109</v>
      </c>
      <c r="D177" s="254">
        <v>17.0</v>
      </c>
      <c r="E177" s="241" t="str">
        <f>'Daftar Harga'!D128</f>
        <v/>
      </c>
      <c r="F177" s="242" t="str">
        <f t="shared" si="47"/>
        <v/>
      </c>
      <c r="G177" s="199">
        <v>11250.0</v>
      </c>
      <c r="H177" s="243">
        <f t="shared" si="48"/>
        <v>191250</v>
      </c>
      <c r="I177" s="200">
        <v>12000.0</v>
      </c>
      <c r="J177" s="244">
        <f t="shared" si="49"/>
        <v>204000</v>
      </c>
      <c r="K177" s="245">
        <f t="shared" si="50"/>
        <v>12750</v>
      </c>
      <c r="L177" s="246">
        <f t="shared" si="51"/>
        <v>0.06666666667</v>
      </c>
      <c r="M177" s="247"/>
    </row>
    <row r="178" ht="15.75" customHeight="1">
      <c r="A178" s="248">
        <v>6.0</v>
      </c>
      <c r="B178" s="276" t="s">
        <v>1637</v>
      </c>
      <c r="C178" s="280" t="s">
        <v>1824</v>
      </c>
      <c r="D178" s="277">
        <v>2.0</v>
      </c>
      <c r="E178" s="241" t="str">
        <f>'Daftar Harga'!D130</f>
        <v/>
      </c>
      <c r="F178" s="242" t="str">
        <f t="shared" si="47"/>
        <v/>
      </c>
      <c r="G178" s="199">
        <v>18500.0</v>
      </c>
      <c r="H178" s="243">
        <f t="shared" si="48"/>
        <v>37000</v>
      </c>
      <c r="I178" s="200">
        <v>22000.0</v>
      </c>
      <c r="J178" s="244">
        <f t="shared" si="49"/>
        <v>44000</v>
      </c>
      <c r="K178" s="250">
        <f t="shared" si="50"/>
        <v>7000</v>
      </c>
      <c r="L178" s="251">
        <f t="shared" si="51"/>
        <v>0.1891891892</v>
      </c>
      <c r="M178" s="252"/>
    </row>
    <row r="179" ht="15.75" customHeight="1">
      <c r="A179" s="239">
        <v>7.0</v>
      </c>
      <c r="B179" s="275" t="s">
        <v>2030</v>
      </c>
      <c r="C179" s="239" t="s">
        <v>109</v>
      </c>
      <c r="D179" s="254">
        <v>10.95</v>
      </c>
      <c r="E179" s="241" t="str">
        <f>'Daftar Harga'!D133</f>
        <v/>
      </c>
      <c r="F179" s="242" t="str">
        <f t="shared" si="47"/>
        <v/>
      </c>
      <c r="G179" s="199">
        <v>24000.0</v>
      </c>
      <c r="H179" s="243">
        <f t="shared" si="48"/>
        <v>262800</v>
      </c>
      <c r="I179" s="200">
        <v>25000.0</v>
      </c>
      <c r="J179" s="244">
        <f t="shared" si="49"/>
        <v>273750</v>
      </c>
      <c r="K179" s="245">
        <f t="shared" si="50"/>
        <v>10950</v>
      </c>
      <c r="L179" s="246">
        <f t="shared" si="51"/>
        <v>0.04166666667</v>
      </c>
      <c r="M179" s="247"/>
    </row>
    <row r="180" ht="15.75" customHeight="1">
      <c r="A180" s="248">
        <v>8.0</v>
      </c>
      <c r="B180" s="276" t="s">
        <v>2031</v>
      </c>
      <c r="C180" s="280" t="s">
        <v>1557</v>
      </c>
      <c r="D180" s="216">
        <v>1.0</v>
      </c>
      <c r="E180" s="241" t="str">
        <f>'Daftar Harga'!D148</f>
        <v/>
      </c>
      <c r="F180" s="242" t="str">
        <f t="shared" si="47"/>
        <v/>
      </c>
      <c r="G180" s="199">
        <v>92000.0</v>
      </c>
      <c r="H180" s="243">
        <f t="shared" si="48"/>
        <v>92000</v>
      </c>
      <c r="I180" s="200">
        <v>110000.0</v>
      </c>
      <c r="J180" s="244">
        <f t="shared" si="49"/>
        <v>110000</v>
      </c>
      <c r="K180" s="250">
        <f t="shared" si="50"/>
        <v>18000</v>
      </c>
      <c r="L180" s="251">
        <f t="shared" si="51"/>
        <v>0.1956521739</v>
      </c>
      <c r="M180" s="252"/>
    </row>
    <row r="181" ht="15.75" customHeight="1">
      <c r="A181" s="239">
        <v>9.0</v>
      </c>
      <c r="B181" s="275" t="s">
        <v>2032</v>
      </c>
      <c r="C181" s="239" t="s">
        <v>109</v>
      </c>
      <c r="D181" s="254">
        <v>0.5</v>
      </c>
      <c r="E181" s="241" t="str">
        <f>'Daftar Harga'!D160</f>
        <v/>
      </c>
      <c r="F181" s="242" t="str">
        <f t="shared" si="47"/>
        <v/>
      </c>
      <c r="G181" s="199">
        <v>18000.0</v>
      </c>
      <c r="H181" s="243">
        <f t="shared" si="48"/>
        <v>9000</v>
      </c>
      <c r="I181" s="200">
        <v>24000.0</v>
      </c>
      <c r="J181" s="244">
        <f t="shared" si="49"/>
        <v>12000</v>
      </c>
      <c r="K181" s="245">
        <f t="shared" si="50"/>
        <v>3000</v>
      </c>
      <c r="L181" s="246">
        <f t="shared" si="51"/>
        <v>0.3333333333</v>
      </c>
      <c r="M181" s="247"/>
    </row>
    <row r="182" ht="15.75" customHeight="1">
      <c r="A182" s="248">
        <v>10.0</v>
      </c>
      <c r="B182" s="276" t="s">
        <v>2033</v>
      </c>
      <c r="C182" s="239" t="s">
        <v>109</v>
      </c>
      <c r="D182" s="277">
        <v>0.45</v>
      </c>
      <c r="E182" s="241" t="str">
        <f>'Daftar Harga'!D162</f>
        <v/>
      </c>
      <c r="F182" s="242" t="str">
        <f t="shared" si="47"/>
        <v/>
      </c>
      <c r="G182" s="199">
        <v>86333.4</v>
      </c>
      <c r="H182" s="243">
        <f t="shared" si="48"/>
        <v>38850.03</v>
      </c>
      <c r="I182" s="200">
        <v>95000.0</v>
      </c>
      <c r="J182" s="244">
        <f t="shared" si="49"/>
        <v>42750</v>
      </c>
      <c r="K182" s="250">
        <f t="shared" si="50"/>
        <v>3899.97</v>
      </c>
      <c r="L182" s="251">
        <f t="shared" si="51"/>
        <v>0.1003852507</v>
      </c>
      <c r="M182" s="252"/>
    </row>
    <row r="183" ht="15.75" customHeight="1">
      <c r="A183" s="239">
        <v>11.0</v>
      </c>
      <c r="B183" s="275" t="s">
        <v>1578</v>
      </c>
      <c r="C183" s="239" t="s">
        <v>109</v>
      </c>
      <c r="D183" s="254">
        <v>13.9</v>
      </c>
      <c r="E183" s="241" t="str">
        <f>'Daftar Harga'!D172</f>
        <v/>
      </c>
      <c r="F183" s="242" t="str">
        <f t="shared" si="47"/>
        <v/>
      </c>
      <c r="G183" s="199">
        <v>21250.0</v>
      </c>
      <c r="H183" s="243">
        <f t="shared" si="48"/>
        <v>295375</v>
      </c>
      <c r="I183" s="200">
        <v>24000.0</v>
      </c>
      <c r="J183" s="244">
        <f t="shared" si="49"/>
        <v>333600</v>
      </c>
      <c r="K183" s="245">
        <f t="shared" si="50"/>
        <v>38225</v>
      </c>
      <c r="L183" s="246">
        <f t="shared" si="51"/>
        <v>0.1294117647</v>
      </c>
      <c r="M183" s="247"/>
    </row>
    <row r="184" ht="15.75" customHeight="1">
      <c r="A184" s="248">
        <v>12.0</v>
      </c>
      <c r="B184" s="276" t="s">
        <v>1543</v>
      </c>
      <c r="C184" s="239" t="s">
        <v>109</v>
      </c>
      <c r="D184" s="277">
        <v>3.0</v>
      </c>
      <c r="E184" s="241" t="str">
        <f>'Daftar Harga'!D174</f>
        <v/>
      </c>
      <c r="F184" s="242" t="str">
        <f t="shared" si="47"/>
        <v/>
      </c>
      <c r="G184" s="199">
        <v>8000.0</v>
      </c>
      <c r="H184" s="243">
        <f t="shared" si="48"/>
        <v>24000</v>
      </c>
      <c r="I184" s="200">
        <v>10000.0</v>
      </c>
      <c r="J184" s="244">
        <f t="shared" si="49"/>
        <v>30000</v>
      </c>
      <c r="K184" s="250">
        <f t="shared" si="50"/>
        <v>6000</v>
      </c>
      <c r="L184" s="251">
        <f t="shared" si="51"/>
        <v>0.25</v>
      </c>
      <c r="M184" s="252"/>
    </row>
    <row r="185" ht="15.75" customHeight="1">
      <c r="A185" s="239">
        <v>13.0</v>
      </c>
      <c r="B185" s="275" t="s">
        <v>1936</v>
      </c>
      <c r="C185" s="239" t="s">
        <v>109</v>
      </c>
      <c r="D185" s="254">
        <v>1.0</v>
      </c>
      <c r="E185" s="241" t="str">
        <f>'Daftar Harga'!D183</f>
        <v/>
      </c>
      <c r="F185" s="242" t="str">
        <f t="shared" si="47"/>
        <v/>
      </c>
      <c r="G185" s="199">
        <v>11000.0</v>
      </c>
      <c r="H185" s="243">
        <f t="shared" si="48"/>
        <v>11000</v>
      </c>
      <c r="I185" s="200">
        <v>125000.0</v>
      </c>
      <c r="J185" s="244">
        <f t="shared" si="49"/>
        <v>125000</v>
      </c>
      <c r="K185" s="245">
        <f t="shared" si="50"/>
        <v>114000</v>
      </c>
      <c r="L185" s="246">
        <f t="shared" si="51"/>
        <v>10.36363636</v>
      </c>
      <c r="M185" s="247"/>
    </row>
    <row r="186" ht="15.75" customHeight="1">
      <c r="A186" s="248">
        <v>14.0</v>
      </c>
      <c r="B186" s="276" t="s">
        <v>1567</v>
      </c>
      <c r="C186" s="239" t="s">
        <v>109</v>
      </c>
      <c r="D186" s="277">
        <v>50.0</v>
      </c>
      <c r="E186" s="241" t="str">
        <f>'Daftar Harga'!D189</f>
        <v/>
      </c>
      <c r="F186" s="242" t="str">
        <f t="shared" si="47"/>
        <v/>
      </c>
      <c r="G186" s="199">
        <v>6800.0</v>
      </c>
      <c r="H186" s="243">
        <f t="shared" si="48"/>
        <v>340000</v>
      </c>
      <c r="I186" s="200">
        <v>14000.0</v>
      </c>
      <c r="J186" s="244">
        <f t="shared" si="49"/>
        <v>700000</v>
      </c>
      <c r="K186" s="250">
        <f t="shared" si="50"/>
        <v>360000</v>
      </c>
      <c r="L186" s="251">
        <f t="shared" si="51"/>
        <v>1.058823529</v>
      </c>
      <c r="M186" s="252"/>
    </row>
    <row r="187" ht="15.75" customHeight="1">
      <c r="A187" s="239">
        <v>15.0</v>
      </c>
      <c r="B187" s="275" t="s">
        <v>1609</v>
      </c>
      <c r="C187" s="239" t="s">
        <v>109</v>
      </c>
      <c r="D187" s="254">
        <v>35.0</v>
      </c>
      <c r="E187" s="241" t="str">
        <f>'Daftar Harga'!D191</f>
        <v/>
      </c>
      <c r="F187" s="242" t="str">
        <f t="shared" si="47"/>
        <v/>
      </c>
      <c r="G187" s="199">
        <v>14000.0</v>
      </c>
      <c r="H187" s="243">
        <f t="shared" si="48"/>
        <v>490000</v>
      </c>
      <c r="I187" s="200">
        <v>18000.0</v>
      </c>
      <c r="J187" s="244">
        <f t="shared" si="49"/>
        <v>630000</v>
      </c>
      <c r="K187" s="245">
        <f t="shared" si="50"/>
        <v>140000</v>
      </c>
      <c r="L187" s="246">
        <f t="shared" si="51"/>
        <v>0.2857142857</v>
      </c>
      <c r="M187" s="247"/>
    </row>
    <row r="188" ht="15.75" customHeight="1">
      <c r="A188" s="248">
        <v>16.0</v>
      </c>
      <c r="B188" s="276" t="s">
        <v>2034</v>
      </c>
      <c r="C188" s="278" t="s">
        <v>67</v>
      </c>
      <c r="D188" s="277">
        <v>75.0</v>
      </c>
      <c r="E188" s="241" t="str">
        <f>'Daftar Harga'!D193</f>
        <v/>
      </c>
      <c r="F188" s="242" t="str">
        <f t="shared" si="47"/>
        <v/>
      </c>
      <c r="G188" s="199">
        <v>9600.0</v>
      </c>
      <c r="H188" s="243">
        <f t="shared" si="48"/>
        <v>720000</v>
      </c>
      <c r="I188" s="200">
        <v>12000.0</v>
      </c>
      <c r="J188" s="244">
        <f t="shared" si="49"/>
        <v>900000</v>
      </c>
      <c r="K188" s="250">
        <f t="shared" si="50"/>
        <v>180000</v>
      </c>
      <c r="L188" s="251">
        <f t="shared" si="51"/>
        <v>0.25</v>
      </c>
      <c r="M188" s="252"/>
    </row>
    <row r="189" ht="15.75" customHeight="1">
      <c r="A189" s="239">
        <v>17.0</v>
      </c>
      <c r="B189" s="275" t="s">
        <v>1112</v>
      </c>
      <c r="C189" s="239" t="s">
        <v>109</v>
      </c>
      <c r="D189" s="254">
        <v>150.0</v>
      </c>
      <c r="E189" s="241" t="str">
        <f>'Daftar Harga'!D213</f>
        <v/>
      </c>
      <c r="F189" s="242" t="str">
        <f t="shared" si="47"/>
        <v/>
      </c>
      <c r="G189" s="199">
        <v>18500.0</v>
      </c>
      <c r="H189" s="243">
        <f t="shared" si="48"/>
        <v>2775000</v>
      </c>
      <c r="I189" s="200">
        <v>21000.0</v>
      </c>
      <c r="J189" s="244">
        <f t="shared" si="49"/>
        <v>3150000</v>
      </c>
      <c r="K189" s="245">
        <f t="shared" si="50"/>
        <v>375000</v>
      </c>
      <c r="L189" s="246">
        <f t="shared" si="51"/>
        <v>0.1351351351</v>
      </c>
      <c r="M189" s="247"/>
    </row>
    <row r="190" ht="15.75" customHeight="1">
      <c r="A190" s="272" t="s">
        <v>1672</v>
      </c>
      <c r="B190" s="206"/>
      <c r="C190" s="206"/>
      <c r="D190" s="174"/>
      <c r="E190" s="257"/>
      <c r="F190" s="258">
        <f>SUMIF(F173:F189,"&lt;&gt;",F173:F189)</f>
        <v>0</v>
      </c>
      <c r="G190" s="259"/>
      <c r="H190" s="260">
        <f>SUMIF(H173:H189,"&lt;&gt;",H173:H189)</f>
        <v>12312335.03</v>
      </c>
      <c r="I190" s="265"/>
      <c r="J190" s="260">
        <f>SUMIF(J173:J189,"&lt;&gt;",J173:J189)</f>
        <v>15512400</v>
      </c>
      <c r="K190" s="261">
        <f t="shared" si="50"/>
        <v>3200064.97</v>
      </c>
      <c r="L190" s="262">
        <f t="shared" si="51"/>
        <v>0.2599072363</v>
      </c>
      <c r="M190" s="257"/>
    </row>
    <row r="191" ht="15.75" customHeight="1"/>
    <row r="192" ht="15.75" customHeight="1">
      <c r="A192" s="273" t="s">
        <v>1683</v>
      </c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6"/>
    </row>
    <row r="193" ht="15.75" customHeight="1">
      <c r="A193" s="229" t="s">
        <v>1509</v>
      </c>
      <c r="B193" s="229" t="s">
        <v>1510</v>
      </c>
      <c r="C193" s="229" t="s">
        <v>1511</v>
      </c>
      <c r="D193" s="229" t="s">
        <v>1614</v>
      </c>
      <c r="E193" s="230" t="s">
        <v>1615</v>
      </c>
      <c r="F193" s="174"/>
      <c r="G193" s="231" t="s">
        <v>1616</v>
      </c>
      <c r="H193" s="174"/>
      <c r="I193" s="232" t="s">
        <v>1617</v>
      </c>
      <c r="J193" s="174"/>
      <c r="K193" s="233" t="s">
        <v>1618</v>
      </c>
      <c r="L193" s="174"/>
      <c r="M193" s="229" t="s">
        <v>1619</v>
      </c>
    </row>
    <row r="194" ht="15.75" customHeight="1">
      <c r="A194" s="234" t="s">
        <v>1509</v>
      </c>
      <c r="B194" s="234" t="s">
        <v>1510</v>
      </c>
      <c r="C194" s="234" t="s">
        <v>1511</v>
      </c>
      <c r="D194" s="234" t="s">
        <v>1614</v>
      </c>
      <c r="E194" s="235" t="s">
        <v>1620</v>
      </c>
      <c r="F194" s="235" t="s">
        <v>1621</v>
      </c>
      <c r="G194" s="236" t="s">
        <v>1622</v>
      </c>
      <c r="H194" s="236" t="s">
        <v>1623</v>
      </c>
      <c r="I194" s="237" t="s">
        <v>1624</v>
      </c>
      <c r="J194" s="237" t="s">
        <v>1625</v>
      </c>
      <c r="K194" s="238" t="s">
        <v>1626</v>
      </c>
      <c r="L194" s="238" t="s">
        <v>1627</v>
      </c>
      <c r="M194" s="234" t="s">
        <v>1619</v>
      </c>
    </row>
    <row r="195" ht="15.75" customHeight="1">
      <c r="A195" s="239">
        <v>1.0</v>
      </c>
      <c r="B195" s="275" t="s">
        <v>1527</v>
      </c>
      <c r="C195" s="239" t="s">
        <v>109</v>
      </c>
      <c r="D195" s="254">
        <v>125.0</v>
      </c>
      <c r="E195" s="241" t="str">
        <f>'Daftar Harga'!D139</f>
        <v/>
      </c>
      <c r="F195" s="242" t="str">
        <f t="shared" ref="F195:F208" si="52">IF(E195&lt;&gt;"",D195*E195,"")</f>
        <v/>
      </c>
      <c r="G195" s="199">
        <v>14500.0</v>
      </c>
      <c r="H195" s="243">
        <f t="shared" ref="H195:H215" si="53">IF(G195&lt;&gt;"",D195*G195,"")</f>
        <v>1812500</v>
      </c>
      <c r="I195" s="200">
        <v>15700.0</v>
      </c>
      <c r="J195" s="244">
        <f t="shared" ref="J195:J215" si="54">IF(I195&lt;&gt;"",D195*I195,"")</f>
        <v>1962500</v>
      </c>
      <c r="K195" s="245">
        <f t="shared" ref="K195:K216" si="55">IF(J195&lt;&gt;"",IF(H195&lt;&gt;"",J195-H195,IF(F195&lt;&gt;"",J195-F195,"")),"")</f>
        <v>150000</v>
      </c>
      <c r="L195" s="246">
        <f t="shared" ref="L195:L216" si="56">IF(K195&lt;&gt;"",IF(H195&lt;&gt;"",IF(H195&lt;&gt;0,K195/H195,""),IF(F195&lt;&gt;"",IF(F195&lt;&gt;0,K195/F195,""),"")),"")</f>
        <v>0.08275862069</v>
      </c>
      <c r="M195" s="247"/>
    </row>
    <row r="196" ht="15.75" customHeight="1">
      <c r="A196" s="248">
        <v>2.0</v>
      </c>
      <c r="B196" s="276" t="s">
        <v>2035</v>
      </c>
      <c r="C196" s="248" t="s">
        <v>109</v>
      </c>
      <c r="D196" s="277">
        <v>235.0</v>
      </c>
      <c r="E196" s="241" t="str">
        <f>'Daftar Harga'!D141</f>
        <v/>
      </c>
      <c r="F196" s="242" t="str">
        <f t="shared" si="52"/>
        <v/>
      </c>
      <c r="G196" s="199">
        <v>27500.0</v>
      </c>
      <c r="H196" s="243">
        <f t="shared" si="53"/>
        <v>6462500</v>
      </c>
      <c r="I196" s="200">
        <v>29000.0</v>
      </c>
      <c r="J196" s="244">
        <f t="shared" si="54"/>
        <v>6815000</v>
      </c>
      <c r="K196" s="250">
        <f t="shared" si="55"/>
        <v>352500</v>
      </c>
      <c r="L196" s="251">
        <f t="shared" si="56"/>
        <v>0.05454545455</v>
      </c>
      <c r="M196" s="252"/>
    </row>
    <row r="197" ht="15.75" customHeight="1">
      <c r="A197" s="239">
        <v>3.0</v>
      </c>
      <c r="B197" s="275" t="s">
        <v>1603</v>
      </c>
      <c r="C197" s="239" t="s">
        <v>109</v>
      </c>
      <c r="D197" s="254">
        <v>9.5</v>
      </c>
      <c r="E197" s="241" t="str">
        <f>'Daftar Harga'!D143</f>
        <v/>
      </c>
      <c r="F197" s="242" t="str">
        <f t="shared" si="52"/>
        <v/>
      </c>
      <c r="G197" s="199">
        <v>24000.0</v>
      </c>
      <c r="H197" s="243">
        <f t="shared" si="53"/>
        <v>228000</v>
      </c>
      <c r="I197" s="200">
        <v>26000.0</v>
      </c>
      <c r="J197" s="244">
        <f t="shared" si="54"/>
        <v>247000</v>
      </c>
      <c r="K197" s="245">
        <f t="shared" si="55"/>
        <v>19000</v>
      </c>
      <c r="L197" s="246">
        <f t="shared" si="56"/>
        <v>0.08333333333</v>
      </c>
      <c r="M197" s="247"/>
    </row>
    <row r="198" ht="15.75" customHeight="1">
      <c r="A198" s="248">
        <v>4.0</v>
      </c>
      <c r="B198" s="276" t="s">
        <v>1605</v>
      </c>
      <c r="C198" s="248" t="s">
        <v>109</v>
      </c>
      <c r="D198" s="277">
        <v>40.0</v>
      </c>
      <c r="E198" s="241" t="str">
        <f>'Daftar Harga'!D145</f>
        <v/>
      </c>
      <c r="F198" s="242" t="str">
        <f t="shared" si="52"/>
        <v/>
      </c>
      <c r="G198" s="199">
        <v>11250.0</v>
      </c>
      <c r="H198" s="243">
        <f t="shared" si="53"/>
        <v>450000</v>
      </c>
      <c r="I198" s="200">
        <v>12000.0</v>
      </c>
      <c r="J198" s="244">
        <f t="shared" si="54"/>
        <v>480000</v>
      </c>
      <c r="K198" s="250">
        <f t="shared" si="55"/>
        <v>30000</v>
      </c>
      <c r="L198" s="251">
        <f t="shared" si="56"/>
        <v>0.06666666667</v>
      </c>
      <c r="M198" s="252"/>
    </row>
    <row r="199" ht="15.75" customHeight="1">
      <c r="A199" s="239">
        <v>5.0</v>
      </c>
      <c r="B199" s="275" t="s">
        <v>1685</v>
      </c>
      <c r="C199" s="239" t="s">
        <v>109</v>
      </c>
      <c r="D199" s="254">
        <v>0.5</v>
      </c>
      <c r="E199" s="241" t="str">
        <f>'Daftar Harga'!D150</f>
        <v/>
      </c>
      <c r="F199" s="242" t="str">
        <f t="shared" si="52"/>
        <v/>
      </c>
      <c r="G199" s="199">
        <v>50000.0</v>
      </c>
      <c r="H199" s="243">
        <f t="shared" si="53"/>
        <v>25000</v>
      </c>
      <c r="I199" s="200">
        <v>65000.0</v>
      </c>
      <c r="J199" s="244">
        <f t="shared" si="54"/>
        <v>32500</v>
      </c>
      <c r="K199" s="245">
        <f t="shared" si="55"/>
        <v>7500</v>
      </c>
      <c r="L199" s="246">
        <f t="shared" si="56"/>
        <v>0.3</v>
      </c>
      <c r="M199" s="247"/>
    </row>
    <row r="200" ht="15.75" customHeight="1">
      <c r="A200" s="248">
        <v>6.0</v>
      </c>
      <c r="B200" s="276" t="s">
        <v>2036</v>
      </c>
      <c r="C200" s="239" t="s">
        <v>109</v>
      </c>
      <c r="D200" s="277">
        <v>0.6</v>
      </c>
      <c r="E200" s="241" t="str">
        <f>'Daftar Harga'!D152</f>
        <v/>
      </c>
      <c r="F200" s="242" t="str">
        <f t="shared" si="52"/>
        <v/>
      </c>
      <c r="G200" s="199">
        <v>23000.0</v>
      </c>
      <c r="H200" s="243">
        <f t="shared" si="53"/>
        <v>13800</v>
      </c>
      <c r="I200" s="200">
        <v>24000.0</v>
      </c>
      <c r="J200" s="244">
        <f t="shared" si="54"/>
        <v>14400</v>
      </c>
      <c r="K200" s="250">
        <f t="shared" si="55"/>
        <v>600</v>
      </c>
      <c r="L200" s="251">
        <f t="shared" si="56"/>
        <v>0.04347826087</v>
      </c>
      <c r="M200" s="252"/>
    </row>
    <row r="201" ht="15.75" customHeight="1">
      <c r="A201" s="239">
        <v>7.0</v>
      </c>
      <c r="B201" s="275" t="s">
        <v>1808</v>
      </c>
      <c r="C201" s="239" t="s">
        <v>109</v>
      </c>
      <c r="D201" s="254">
        <v>2.0</v>
      </c>
      <c r="E201" s="241" t="str">
        <f>'Daftar Harga'!D155</f>
        <v/>
      </c>
      <c r="F201" s="242" t="str">
        <f t="shared" si="52"/>
        <v/>
      </c>
      <c r="G201" s="199">
        <v>18500.0</v>
      </c>
      <c r="H201" s="243">
        <f t="shared" si="53"/>
        <v>37000</v>
      </c>
      <c r="I201" s="200">
        <v>95000.0</v>
      </c>
      <c r="J201" s="244">
        <f t="shared" si="54"/>
        <v>190000</v>
      </c>
      <c r="K201" s="245">
        <f t="shared" si="55"/>
        <v>153000</v>
      </c>
      <c r="L201" s="246">
        <f t="shared" si="56"/>
        <v>4.135135135</v>
      </c>
      <c r="M201" s="247"/>
    </row>
    <row r="202" ht="15.75" customHeight="1">
      <c r="A202" s="248">
        <v>8.0</v>
      </c>
      <c r="B202" s="276" t="s">
        <v>1818</v>
      </c>
      <c r="C202" s="239" t="s">
        <v>109</v>
      </c>
      <c r="D202" s="277">
        <v>3.0</v>
      </c>
      <c r="E202" s="241" t="str">
        <f>'Daftar Harga'!D170</f>
        <v/>
      </c>
      <c r="F202" s="242" t="str">
        <f t="shared" si="52"/>
        <v/>
      </c>
      <c r="G202" s="199">
        <v>26000.0</v>
      </c>
      <c r="H202" s="243">
        <f t="shared" si="53"/>
        <v>78000</v>
      </c>
      <c r="I202" s="200">
        <v>27000.0</v>
      </c>
      <c r="J202" s="244">
        <f t="shared" si="54"/>
        <v>81000</v>
      </c>
      <c r="K202" s="250">
        <f t="shared" si="55"/>
        <v>3000</v>
      </c>
      <c r="L202" s="251">
        <f t="shared" si="56"/>
        <v>0.03846153846</v>
      </c>
      <c r="M202" s="252"/>
    </row>
    <row r="203" ht="15.75" customHeight="1">
      <c r="A203" s="239">
        <v>9.0</v>
      </c>
      <c r="B203" s="275" t="s">
        <v>2037</v>
      </c>
      <c r="C203" s="278" t="s">
        <v>1676</v>
      </c>
      <c r="D203" s="254">
        <v>1.0</v>
      </c>
      <c r="E203" s="241" t="str">
        <f>'Daftar Harga'!D182</f>
        <v/>
      </c>
      <c r="F203" s="242" t="str">
        <f t="shared" si="52"/>
        <v/>
      </c>
      <c r="G203" s="199">
        <v>95000.0</v>
      </c>
      <c r="H203" s="243">
        <f t="shared" si="53"/>
        <v>95000</v>
      </c>
      <c r="I203" s="200">
        <v>105000.0</v>
      </c>
      <c r="J203" s="244">
        <f t="shared" si="54"/>
        <v>105000</v>
      </c>
      <c r="K203" s="245">
        <f t="shared" si="55"/>
        <v>10000</v>
      </c>
      <c r="L203" s="246">
        <f t="shared" si="56"/>
        <v>0.1052631579</v>
      </c>
      <c r="M203" s="247"/>
    </row>
    <row r="204" ht="15.75" customHeight="1">
      <c r="A204" s="248">
        <v>10.0</v>
      </c>
      <c r="B204" s="276" t="s">
        <v>1522</v>
      </c>
      <c r="C204" s="239" t="s">
        <v>109</v>
      </c>
      <c r="D204" s="277">
        <v>3.0</v>
      </c>
      <c r="E204" s="241" t="str">
        <f>'Daftar Harga'!D184</f>
        <v/>
      </c>
      <c r="F204" s="242" t="str">
        <f t="shared" si="52"/>
        <v/>
      </c>
      <c r="G204" s="199">
        <v>28000.0</v>
      </c>
      <c r="H204" s="243">
        <f t="shared" si="53"/>
        <v>84000</v>
      </c>
      <c r="I204" s="200">
        <v>30000.0</v>
      </c>
      <c r="J204" s="244">
        <f t="shared" si="54"/>
        <v>90000</v>
      </c>
      <c r="K204" s="250">
        <f t="shared" si="55"/>
        <v>6000</v>
      </c>
      <c r="L204" s="251">
        <f t="shared" si="56"/>
        <v>0.07142857143</v>
      </c>
      <c r="M204" s="252"/>
    </row>
    <row r="205" ht="15.75" customHeight="1">
      <c r="A205" s="239">
        <v>11.0</v>
      </c>
      <c r="B205" s="275" t="s">
        <v>1935</v>
      </c>
      <c r="C205" s="239" t="s">
        <v>109</v>
      </c>
      <c r="D205" s="254">
        <v>3.95</v>
      </c>
      <c r="E205" s="241" t="str">
        <f>'Daftar Harga'!D194</f>
        <v/>
      </c>
      <c r="F205" s="242" t="str">
        <f t="shared" si="52"/>
        <v/>
      </c>
      <c r="G205" s="199">
        <v>45000.0</v>
      </c>
      <c r="H205" s="243">
        <f t="shared" si="53"/>
        <v>177750</v>
      </c>
      <c r="I205" s="200">
        <v>36000.0</v>
      </c>
      <c r="J205" s="244">
        <f t="shared" si="54"/>
        <v>142200</v>
      </c>
      <c r="K205" s="245">
        <f t="shared" si="55"/>
        <v>-35550</v>
      </c>
      <c r="L205" s="246">
        <f t="shared" si="56"/>
        <v>-0.2</v>
      </c>
      <c r="M205" s="247"/>
    </row>
    <row r="206" ht="15.75" customHeight="1">
      <c r="A206" s="248">
        <v>12.0</v>
      </c>
      <c r="B206" s="276" t="s">
        <v>1578</v>
      </c>
      <c r="C206" s="239" t="s">
        <v>109</v>
      </c>
      <c r="D206" s="277">
        <v>32.4</v>
      </c>
      <c r="E206" s="241" t="str">
        <f>'Daftar Harga'!D196</f>
        <v/>
      </c>
      <c r="F206" s="242" t="str">
        <f t="shared" si="52"/>
        <v/>
      </c>
      <c r="G206" s="199">
        <v>21500.0</v>
      </c>
      <c r="H206" s="243">
        <f t="shared" si="53"/>
        <v>696600</v>
      </c>
      <c r="I206" s="200">
        <v>23000.0</v>
      </c>
      <c r="J206" s="244">
        <f t="shared" si="54"/>
        <v>745200</v>
      </c>
      <c r="K206" s="250">
        <f t="shared" si="55"/>
        <v>48600</v>
      </c>
      <c r="L206" s="251">
        <f t="shared" si="56"/>
        <v>0.06976744186</v>
      </c>
      <c r="M206" s="252"/>
    </row>
    <row r="207" ht="15.75" customHeight="1">
      <c r="A207" s="239">
        <v>13.0</v>
      </c>
      <c r="B207" s="275" t="s">
        <v>1543</v>
      </c>
      <c r="C207" s="239" t="s">
        <v>109</v>
      </c>
      <c r="D207" s="254">
        <v>4.0</v>
      </c>
      <c r="E207" s="241" t="str">
        <f>'Daftar Harga'!D205</f>
        <v/>
      </c>
      <c r="F207" s="242" t="str">
        <f t="shared" si="52"/>
        <v/>
      </c>
      <c r="G207" s="199">
        <v>8000.0</v>
      </c>
      <c r="H207" s="243">
        <f t="shared" si="53"/>
        <v>32000</v>
      </c>
      <c r="I207" s="200">
        <v>10000.0</v>
      </c>
      <c r="J207" s="244">
        <f t="shared" si="54"/>
        <v>40000</v>
      </c>
      <c r="K207" s="245">
        <f t="shared" si="55"/>
        <v>8000</v>
      </c>
      <c r="L207" s="246">
        <f t="shared" si="56"/>
        <v>0.25</v>
      </c>
      <c r="M207" s="247"/>
    </row>
    <row r="208" ht="15.75" customHeight="1">
      <c r="A208" s="248">
        <v>14.0</v>
      </c>
      <c r="B208" s="276" t="s">
        <v>1811</v>
      </c>
      <c r="C208" s="239" t="s">
        <v>109</v>
      </c>
      <c r="D208" s="277">
        <v>1.0</v>
      </c>
      <c r="E208" s="241" t="str">
        <f>'Daftar Harga'!D211</f>
        <v/>
      </c>
      <c r="F208" s="242" t="str">
        <f t="shared" si="52"/>
        <v/>
      </c>
      <c r="G208" s="199">
        <v>42000.0</v>
      </c>
      <c r="H208" s="243">
        <f t="shared" si="53"/>
        <v>42000</v>
      </c>
      <c r="I208" s="200">
        <v>46000.0</v>
      </c>
      <c r="J208" s="244">
        <f t="shared" si="54"/>
        <v>46000</v>
      </c>
      <c r="K208" s="250">
        <f t="shared" si="55"/>
        <v>4000</v>
      </c>
      <c r="L208" s="251">
        <f t="shared" si="56"/>
        <v>0.09523809524</v>
      </c>
      <c r="M208" s="252"/>
    </row>
    <row r="209" ht="15.75" customHeight="1">
      <c r="A209" s="239">
        <v>15.0</v>
      </c>
      <c r="B209" s="275" t="s">
        <v>2021</v>
      </c>
      <c r="C209" s="239" t="s">
        <v>109</v>
      </c>
      <c r="D209" s="254">
        <v>2.85</v>
      </c>
      <c r="E209" s="241"/>
      <c r="F209" s="242"/>
      <c r="G209" s="199">
        <v>18500.0</v>
      </c>
      <c r="H209" s="243">
        <f t="shared" si="53"/>
        <v>52725</v>
      </c>
      <c r="I209" s="200">
        <v>20000.0</v>
      </c>
      <c r="J209" s="244">
        <f t="shared" si="54"/>
        <v>57000</v>
      </c>
      <c r="K209" s="250">
        <f t="shared" si="55"/>
        <v>4275</v>
      </c>
      <c r="L209" s="251">
        <f t="shared" si="56"/>
        <v>0.08108108108</v>
      </c>
      <c r="M209" s="247"/>
    </row>
    <row r="210" ht="15.75" customHeight="1">
      <c r="A210" s="248">
        <v>16.0</v>
      </c>
      <c r="B210" s="275" t="s">
        <v>1936</v>
      </c>
      <c r="C210" s="239" t="s">
        <v>109</v>
      </c>
      <c r="D210" s="254">
        <v>2.0</v>
      </c>
      <c r="E210" s="241"/>
      <c r="F210" s="242"/>
      <c r="G210" s="199">
        <v>110000.0</v>
      </c>
      <c r="H210" s="243">
        <f t="shared" si="53"/>
        <v>220000</v>
      </c>
      <c r="I210" s="200">
        <v>120000.0</v>
      </c>
      <c r="J210" s="244">
        <f t="shared" si="54"/>
        <v>240000</v>
      </c>
      <c r="K210" s="250">
        <f t="shared" si="55"/>
        <v>20000</v>
      </c>
      <c r="L210" s="251">
        <f t="shared" si="56"/>
        <v>0.09090909091</v>
      </c>
      <c r="M210" s="247"/>
    </row>
    <row r="211" ht="15.75" customHeight="1">
      <c r="A211" s="239">
        <v>17.0</v>
      </c>
      <c r="B211" s="275" t="s">
        <v>1345</v>
      </c>
      <c r="C211" s="278" t="s">
        <v>69</v>
      </c>
      <c r="D211" s="254">
        <v>2050.0</v>
      </c>
      <c r="E211" s="241"/>
      <c r="F211" s="242"/>
      <c r="G211" s="199">
        <v>480.0</v>
      </c>
      <c r="H211" s="243">
        <f t="shared" si="53"/>
        <v>984000</v>
      </c>
      <c r="I211" s="200">
        <v>700.0</v>
      </c>
      <c r="J211" s="244">
        <f t="shared" si="54"/>
        <v>1435000</v>
      </c>
      <c r="K211" s="250">
        <f t="shared" si="55"/>
        <v>451000</v>
      </c>
      <c r="L211" s="251">
        <f t="shared" si="56"/>
        <v>0.4583333333</v>
      </c>
      <c r="M211" s="247"/>
    </row>
    <row r="212" ht="15.75" customHeight="1">
      <c r="A212" s="248">
        <v>18.0</v>
      </c>
      <c r="B212" s="275" t="s">
        <v>1534</v>
      </c>
      <c r="C212" s="239" t="s">
        <v>109</v>
      </c>
      <c r="D212" s="254">
        <v>95.0</v>
      </c>
      <c r="E212" s="241"/>
      <c r="F212" s="242"/>
      <c r="G212" s="199">
        <v>13000.0</v>
      </c>
      <c r="H212" s="243">
        <f t="shared" si="53"/>
        <v>1235000</v>
      </c>
      <c r="I212" s="200">
        <v>15000.0</v>
      </c>
      <c r="J212" s="244">
        <f t="shared" si="54"/>
        <v>1425000</v>
      </c>
      <c r="K212" s="250">
        <f t="shared" si="55"/>
        <v>190000</v>
      </c>
      <c r="L212" s="251">
        <f t="shared" si="56"/>
        <v>0.1538461538</v>
      </c>
      <c r="M212" s="247"/>
    </row>
    <row r="213" ht="15.75" customHeight="1">
      <c r="A213" s="239">
        <v>19.0</v>
      </c>
      <c r="B213" s="275" t="s">
        <v>1642</v>
      </c>
      <c r="C213" s="239" t="s">
        <v>109</v>
      </c>
      <c r="D213" s="254">
        <v>2.0</v>
      </c>
      <c r="E213" s="241"/>
      <c r="F213" s="242"/>
      <c r="G213" s="199">
        <v>15000.0</v>
      </c>
      <c r="H213" s="243">
        <f t="shared" si="53"/>
        <v>30000</v>
      </c>
      <c r="I213" s="200">
        <v>16000.0</v>
      </c>
      <c r="J213" s="244">
        <f t="shared" si="54"/>
        <v>32000</v>
      </c>
      <c r="K213" s="250">
        <f t="shared" si="55"/>
        <v>2000</v>
      </c>
      <c r="L213" s="251">
        <f t="shared" si="56"/>
        <v>0.06666666667</v>
      </c>
      <c r="M213" s="247"/>
    </row>
    <row r="214" ht="15.75" customHeight="1">
      <c r="A214" s="248">
        <v>20.0</v>
      </c>
      <c r="B214" s="275" t="s">
        <v>1651</v>
      </c>
      <c r="C214" s="239" t="s">
        <v>109</v>
      </c>
      <c r="D214" s="254">
        <v>245.0</v>
      </c>
      <c r="E214" s="241"/>
      <c r="F214" s="242"/>
      <c r="G214" s="199">
        <v>19500.0</v>
      </c>
      <c r="H214" s="243">
        <f t="shared" si="53"/>
        <v>4777500</v>
      </c>
      <c r="I214" s="200">
        <v>21000.0</v>
      </c>
      <c r="J214" s="244">
        <f t="shared" si="54"/>
        <v>5145000</v>
      </c>
      <c r="K214" s="250">
        <f t="shared" si="55"/>
        <v>367500</v>
      </c>
      <c r="L214" s="251">
        <f t="shared" si="56"/>
        <v>0.07692307692</v>
      </c>
      <c r="M214" s="247"/>
    </row>
    <row r="215" ht="15.75" customHeight="1">
      <c r="A215" s="239">
        <v>21.0</v>
      </c>
      <c r="B215" s="275" t="s">
        <v>2038</v>
      </c>
      <c r="C215" s="239" t="s">
        <v>109</v>
      </c>
      <c r="D215" s="254">
        <v>22.3</v>
      </c>
      <c r="E215" s="241" t="str">
        <f>'Daftar Harga'!D213</f>
        <v/>
      </c>
      <c r="F215" s="242" t="str">
        <f>IF(E215&lt;&gt;"",D215*E215,"")</f>
        <v/>
      </c>
      <c r="G215" s="199">
        <v>23000.0</v>
      </c>
      <c r="H215" s="243">
        <f t="shared" si="53"/>
        <v>512900</v>
      </c>
      <c r="I215" s="200">
        <v>23000.0</v>
      </c>
      <c r="J215" s="244">
        <f t="shared" si="54"/>
        <v>512900</v>
      </c>
      <c r="K215" s="250">
        <f t="shared" si="55"/>
        <v>0</v>
      </c>
      <c r="L215" s="251">
        <f t="shared" si="56"/>
        <v>0</v>
      </c>
      <c r="M215" s="247"/>
    </row>
    <row r="216" ht="15.75" customHeight="1">
      <c r="A216" s="272" t="s">
        <v>1694</v>
      </c>
      <c r="B216" s="206"/>
      <c r="C216" s="206"/>
      <c r="D216" s="174"/>
      <c r="E216" s="257"/>
      <c r="F216" s="258">
        <f>SUMIF(F195:F215,"&lt;&gt;",F195:F215)</f>
        <v>0</v>
      </c>
      <c r="G216" s="259"/>
      <c r="H216" s="260">
        <f>SUMIF(H195:H215,"&lt;&gt;",H195:H215)</f>
        <v>18046275</v>
      </c>
      <c r="I216" s="265"/>
      <c r="J216" s="260">
        <f>SUMIF(J195:J215,"&lt;&gt;",J195:J215)</f>
        <v>19837700</v>
      </c>
      <c r="K216" s="261">
        <f t="shared" si="55"/>
        <v>1791425</v>
      </c>
      <c r="L216" s="251">
        <f t="shared" si="56"/>
        <v>0.09926840858</v>
      </c>
      <c r="M216" s="257"/>
    </row>
    <row r="217" ht="15.75" customHeight="1"/>
    <row r="218" ht="15.75" customHeight="1">
      <c r="A218" s="273" t="s">
        <v>2039</v>
      </c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6"/>
    </row>
    <row r="219" ht="15.75" customHeight="1">
      <c r="A219" s="229" t="s">
        <v>1509</v>
      </c>
      <c r="B219" s="229" t="s">
        <v>1510</v>
      </c>
      <c r="C219" s="229" t="s">
        <v>1511</v>
      </c>
      <c r="D219" s="229" t="s">
        <v>1614</v>
      </c>
      <c r="E219" s="230" t="s">
        <v>1615</v>
      </c>
      <c r="F219" s="174"/>
      <c r="G219" s="231" t="s">
        <v>1616</v>
      </c>
      <c r="H219" s="174"/>
      <c r="I219" s="232" t="s">
        <v>1617</v>
      </c>
      <c r="J219" s="174"/>
      <c r="K219" s="233" t="s">
        <v>1618</v>
      </c>
      <c r="L219" s="174"/>
      <c r="M219" s="229" t="s">
        <v>1619</v>
      </c>
    </row>
    <row r="220" ht="15.75" customHeight="1">
      <c r="A220" s="234" t="s">
        <v>1509</v>
      </c>
      <c r="B220" s="234" t="s">
        <v>1510</v>
      </c>
      <c r="C220" s="234" t="s">
        <v>1511</v>
      </c>
      <c r="D220" s="234" t="s">
        <v>1614</v>
      </c>
      <c r="E220" s="235" t="s">
        <v>1620</v>
      </c>
      <c r="F220" s="235" t="s">
        <v>1621</v>
      </c>
      <c r="G220" s="236" t="s">
        <v>1622</v>
      </c>
      <c r="H220" s="236" t="s">
        <v>1623</v>
      </c>
      <c r="I220" s="237" t="s">
        <v>1624</v>
      </c>
      <c r="J220" s="237" t="s">
        <v>1625</v>
      </c>
      <c r="K220" s="238" t="s">
        <v>1626</v>
      </c>
      <c r="L220" s="238" t="s">
        <v>1627</v>
      </c>
      <c r="M220" s="234" t="s">
        <v>1619</v>
      </c>
    </row>
    <row r="221" ht="15.75" customHeight="1">
      <c r="A221" s="239">
        <v>1.0</v>
      </c>
      <c r="B221" s="275" t="s">
        <v>1527</v>
      </c>
      <c r="C221" s="239" t="s">
        <v>109</v>
      </c>
      <c r="D221" s="254">
        <v>100.0</v>
      </c>
      <c r="E221" s="241" t="str">
        <f>'Daftar Harga'!D165</f>
        <v/>
      </c>
      <c r="F221" s="242" t="str">
        <f t="shared" ref="F221:F233" si="57">IF(E221&lt;&gt;"",D221*E221,"")</f>
        <v/>
      </c>
      <c r="G221" s="199">
        <v>14500.0</v>
      </c>
      <c r="H221" s="243">
        <f t="shared" ref="H221:H233" si="58">IF(G221&lt;&gt;"",D221*G221,"")</f>
        <v>1450000</v>
      </c>
      <c r="I221" s="200">
        <v>15700.0</v>
      </c>
      <c r="J221" s="244">
        <f t="shared" ref="J221:J233" si="59">IF(I221&lt;&gt;"",D221*I221,"")</f>
        <v>1570000</v>
      </c>
      <c r="K221" s="245">
        <f t="shared" ref="K221:K234" si="60">IF(J221&lt;&gt;"",IF(H221&lt;&gt;"",J221-H221,IF(F221&lt;&gt;"",J221-F221,"")),"")</f>
        <v>120000</v>
      </c>
      <c r="L221" s="246">
        <f t="shared" ref="L221:L234" si="61">IF(K221&lt;&gt;"",IF(H221&lt;&gt;"",IF(H221&lt;&gt;0,K221/H221,""),IF(F221&lt;&gt;"",IF(F221&lt;&gt;0,K221/F221,""),"")),"")</f>
        <v>0.08275862069</v>
      </c>
      <c r="M221" s="247"/>
    </row>
    <row r="222" ht="15.75" customHeight="1">
      <c r="A222" s="248">
        <v>2.0</v>
      </c>
      <c r="B222" s="276" t="s">
        <v>2040</v>
      </c>
      <c r="C222" s="239" t="s">
        <v>109</v>
      </c>
      <c r="D222" s="277">
        <v>55.0</v>
      </c>
      <c r="E222" s="241" t="str">
        <f>'Daftar Harga'!D167</f>
        <v/>
      </c>
      <c r="F222" s="242" t="str">
        <f t="shared" si="57"/>
        <v/>
      </c>
      <c r="G222" s="199">
        <v>123500.0</v>
      </c>
      <c r="H222" s="243">
        <f t="shared" si="58"/>
        <v>6792500</v>
      </c>
      <c r="I222" s="200">
        <v>135000.0</v>
      </c>
      <c r="J222" s="244">
        <f t="shared" si="59"/>
        <v>7425000</v>
      </c>
      <c r="K222" s="250">
        <f t="shared" si="60"/>
        <v>632500</v>
      </c>
      <c r="L222" s="251">
        <f t="shared" si="61"/>
        <v>0.09311740891</v>
      </c>
      <c r="M222" s="252"/>
    </row>
    <row r="223" ht="15.75" customHeight="1">
      <c r="A223" s="239">
        <v>3.0</v>
      </c>
      <c r="B223" s="275" t="s">
        <v>2027</v>
      </c>
      <c r="C223" s="239" t="s">
        <v>109</v>
      </c>
      <c r="D223" s="254">
        <v>0.5</v>
      </c>
      <c r="E223" s="241" t="str">
        <f>'Daftar Harga'!D169</f>
        <v/>
      </c>
      <c r="F223" s="242" t="str">
        <f t="shared" si="57"/>
        <v/>
      </c>
      <c r="G223" s="199">
        <v>48000.0</v>
      </c>
      <c r="H223" s="243">
        <f t="shared" si="58"/>
        <v>24000</v>
      </c>
      <c r="I223" s="200">
        <v>60000.0</v>
      </c>
      <c r="J223" s="244">
        <f t="shared" si="59"/>
        <v>30000</v>
      </c>
      <c r="K223" s="245">
        <f t="shared" si="60"/>
        <v>6000</v>
      </c>
      <c r="L223" s="246">
        <f t="shared" si="61"/>
        <v>0.25</v>
      </c>
      <c r="M223" s="247"/>
    </row>
    <row r="224" ht="15.75" customHeight="1">
      <c r="A224" s="248">
        <v>4.0</v>
      </c>
      <c r="B224" s="276" t="s">
        <v>1522</v>
      </c>
      <c r="C224" s="239" t="s">
        <v>109</v>
      </c>
      <c r="D224" s="277">
        <v>1.0</v>
      </c>
      <c r="E224" s="241" t="str">
        <f>'Daftar Harga'!D171</f>
        <v/>
      </c>
      <c r="F224" s="242" t="str">
        <f t="shared" si="57"/>
        <v/>
      </c>
      <c r="G224" s="199">
        <v>33000.0</v>
      </c>
      <c r="H224" s="243">
        <f t="shared" si="58"/>
        <v>33000</v>
      </c>
      <c r="I224" s="200">
        <v>35000.0</v>
      </c>
      <c r="J224" s="244">
        <f t="shared" si="59"/>
        <v>35000</v>
      </c>
      <c r="K224" s="250">
        <f t="shared" si="60"/>
        <v>2000</v>
      </c>
      <c r="L224" s="251">
        <f t="shared" si="61"/>
        <v>0.06060606061</v>
      </c>
      <c r="M224" s="252"/>
    </row>
    <row r="225" ht="15.75" customHeight="1">
      <c r="A225" s="239">
        <v>5.0</v>
      </c>
      <c r="B225" s="275" t="s">
        <v>1935</v>
      </c>
      <c r="C225" s="239" t="s">
        <v>109</v>
      </c>
      <c r="D225" s="254">
        <v>1.0</v>
      </c>
      <c r="E225" s="241" t="str">
        <f>'Daftar Harga'!D176</f>
        <v/>
      </c>
      <c r="F225" s="242" t="str">
        <f t="shared" si="57"/>
        <v/>
      </c>
      <c r="G225" s="199">
        <v>45000.0</v>
      </c>
      <c r="H225" s="243">
        <f t="shared" si="58"/>
        <v>45000</v>
      </c>
      <c r="I225" s="200">
        <v>36000.0</v>
      </c>
      <c r="J225" s="244">
        <f t="shared" si="59"/>
        <v>36000</v>
      </c>
      <c r="K225" s="245">
        <f t="shared" si="60"/>
        <v>-9000</v>
      </c>
      <c r="L225" s="246">
        <f t="shared" si="61"/>
        <v>-0.2</v>
      </c>
      <c r="M225" s="247"/>
    </row>
    <row r="226" ht="15.75" customHeight="1">
      <c r="A226" s="248">
        <v>6.0</v>
      </c>
      <c r="B226" s="276" t="s">
        <v>2041</v>
      </c>
      <c r="C226" s="239" t="s">
        <v>109</v>
      </c>
      <c r="D226" s="277">
        <v>3.0</v>
      </c>
      <c r="E226" s="241" t="str">
        <f>'Daftar Harga'!D178</f>
        <v/>
      </c>
      <c r="F226" s="242" t="str">
        <f t="shared" si="57"/>
        <v/>
      </c>
      <c r="G226" s="199">
        <v>53000.0</v>
      </c>
      <c r="H226" s="243">
        <f t="shared" si="58"/>
        <v>159000</v>
      </c>
      <c r="I226" s="200">
        <v>57000.0</v>
      </c>
      <c r="J226" s="244">
        <f t="shared" si="59"/>
        <v>171000</v>
      </c>
      <c r="K226" s="250">
        <f t="shared" si="60"/>
        <v>12000</v>
      </c>
      <c r="L226" s="251">
        <f t="shared" si="61"/>
        <v>0.07547169811</v>
      </c>
      <c r="M226" s="252"/>
    </row>
    <row r="227" ht="15.75" customHeight="1">
      <c r="A227" s="239">
        <v>7.0</v>
      </c>
      <c r="B227" s="275" t="s">
        <v>1543</v>
      </c>
      <c r="C227" s="239" t="s">
        <v>109</v>
      </c>
      <c r="D227" s="254">
        <v>1.0</v>
      </c>
      <c r="E227" s="241" t="str">
        <f>'Daftar Harga'!D181</f>
        <v/>
      </c>
      <c r="F227" s="242" t="str">
        <f t="shared" si="57"/>
        <v/>
      </c>
      <c r="G227" s="199">
        <v>8000.0</v>
      </c>
      <c r="H227" s="243">
        <f t="shared" si="58"/>
        <v>8000</v>
      </c>
      <c r="I227" s="200">
        <v>10000.0</v>
      </c>
      <c r="J227" s="244">
        <f t="shared" si="59"/>
        <v>10000</v>
      </c>
      <c r="K227" s="245">
        <f t="shared" si="60"/>
        <v>2000</v>
      </c>
      <c r="L227" s="246">
        <f t="shared" si="61"/>
        <v>0.25</v>
      </c>
      <c r="M227" s="247"/>
    </row>
    <row r="228" ht="15.75" customHeight="1">
      <c r="A228" s="248">
        <v>8.0</v>
      </c>
      <c r="B228" s="276" t="s">
        <v>2021</v>
      </c>
      <c r="C228" s="239" t="s">
        <v>109</v>
      </c>
      <c r="D228" s="277">
        <v>0.9</v>
      </c>
      <c r="E228" s="241" t="str">
        <f>'Daftar Harga'!D196</f>
        <v/>
      </c>
      <c r="F228" s="242" t="str">
        <f t="shared" si="57"/>
        <v/>
      </c>
      <c r="G228" s="199">
        <v>18500.0</v>
      </c>
      <c r="H228" s="243">
        <f t="shared" si="58"/>
        <v>16650</v>
      </c>
      <c r="I228" s="200">
        <v>20000.0</v>
      </c>
      <c r="J228" s="244">
        <f t="shared" si="59"/>
        <v>18000</v>
      </c>
      <c r="K228" s="250">
        <f t="shared" si="60"/>
        <v>1350</v>
      </c>
      <c r="L228" s="251">
        <f t="shared" si="61"/>
        <v>0.08108108108</v>
      </c>
      <c r="M228" s="252"/>
    </row>
    <row r="229" ht="15.75" customHeight="1">
      <c r="A229" s="239">
        <v>9.0</v>
      </c>
      <c r="B229" s="275" t="s">
        <v>1578</v>
      </c>
      <c r="C229" s="239" t="s">
        <v>109</v>
      </c>
      <c r="D229" s="254">
        <v>15.0</v>
      </c>
      <c r="E229" s="241" t="str">
        <f>'Daftar Harga'!D208</f>
        <v/>
      </c>
      <c r="F229" s="242" t="str">
        <f t="shared" si="57"/>
        <v/>
      </c>
      <c r="G229" s="199">
        <v>21500.0</v>
      </c>
      <c r="H229" s="243">
        <f t="shared" si="58"/>
        <v>322500</v>
      </c>
      <c r="I229" s="200">
        <v>24000.0</v>
      </c>
      <c r="J229" s="244">
        <f t="shared" si="59"/>
        <v>360000</v>
      </c>
      <c r="K229" s="245">
        <f t="shared" si="60"/>
        <v>37500</v>
      </c>
      <c r="L229" s="246">
        <f t="shared" si="61"/>
        <v>0.1162790698</v>
      </c>
      <c r="M229" s="247"/>
    </row>
    <row r="230" ht="15.75" customHeight="1">
      <c r="A230" s="248">
        <v>10.0</v>
      </c>
      <c r="B230" s="276" t="s">
        <v>1601</v>
      </c>
      <c r="C230" s="239" t="s">
        <v>109</v>
      </c>
      <c r="D230" s="277">
        <v>85.0</v>
      </c>
      <c r="E230" s="241" t="str">
        <f>'Daftar Harga'!D210</f>
        <v/>
      </c>
      <c r="F230" s="242" t="str">
        <f t="shared" si="57"/>
        <v/>
      </c>
      <c r="G230" s="199">
        <v>12000.0</v>
      </c>
      <c r="H230" s="243">
        <f t="shared" si="58"/>
        <v>1020000</v>
      </c>
      <c r="I230" s="200">
        <v>14000.0</v>
      </c>
      <c r="J230" s="244">
        <f t="shared" si="59"/>
        <v>1190000</v>
      </c>
      <c r="K230" s="250">
        <f t="shared" si="60"/>
        <v>170000</v>
      </c>
      <c r="L230" s="251">
        <f t="shared" si="61"/>
        <v>0.1666666667</v>
      </c>
      <c r="M230" s="252"/>
    </row>
    <row r="231" ht="15.75" customHeight="1">
      <c r="A231" s="239">
        <v>11.0</v>
      </c>
      <c r="B231" s="275" t="s">
        <v>1534</v>
      </c>
      <c r="C231" s="239" t="s">
        <v>109</v>
      </c>
      <c r="D231" s="254">
        <v>29.9</v>
      </c>
      <c r="E231" s="241" t="str">
        <f>'Daftar Harga'!D220</f>
        <v/>
      </c>
      <c r="F231" s="242" t="str">
        <f t="shared" si="57"/>
        <v/>
      </c>
      <c r="G231" s="199">
        <v>13000.0</v>
      </c>
      <c r="H231" s="243">
        <f t="shared" si="58"/>
        <v>388700</v>
      </c>
      <c r="I231" s="200">
        <v>14000.0</v>
      </c>
      <c r="J231" s="244">
        <f t="shared" si="59"/>
        <v>418600</v>
      </c>
      <c r="K231" s="245">
        <f t="shared" si="60"/>
        <v>29900</v>
      </c>
      <c r="L231" s="246">
        <f t="shared" si="61"/>
        <v>0.07692307692</v>
      </c>
      <c r="M231" s="247"/>
    </row>
    <row r="232" ht="15.75" customHeight="1">
      <c r="A232" s="248">
        <v>12.0</v>
      </c>
      <c r="B232" s="276" t="s">
        <v>1609</v>
      </c>
      <c r="C232" s="239" t="s">
        <v>109</v>
      </c>
      <c r="D232" s="277">
        <v>30.0</v>
      </c>
      <c r="E232" s="241" t="str">
        <f>'Daftar Harga'!D222</f>
        <v/>
      </c>
      <c r="F232" s="242" t="str">
        <f t="shared" si="57"/>
        <v/>
      </c>
      <c r="G232" s="199">
        <v>14000.0</v>
      </c>
      <c r="H232" s="243">
        <f t="shared" si="58"/>
        <v>420000</v>
      </c>
      <c r="I232" s="200">
        <v>18000.0</v>
      </c>
      <c r="J232" s="244">
        <f t="shared" si="59"/>
        <v>540000</v>
      </c>
      <c r="K232" s="250">
        <f t="shared" si="60"/>
        <v>120000</v>
      </c>
      <c r="L232" s="251">
        <f t="shared" si="61"/>
        <v>0.2857142857</v>
      </c>
      <c r="M232" s="252"/>
    </row>
    <row r="233" ht="15.75" customHeight="1">
      <c r="A233" s="239">
        <v>13.0</v>
      </c>
      <c r="B233" s="275" t="s">
        <v>1152</v>
      </c>
      <c r="C233" s="239" t="s">
        <v>109</v>
      </c>
      <c r="D233" s="254">
        <v>1750.0</v>
      </c>
      <c r="E233" s="241" t="str">
        <f>'Daftar Harga'!D231</f>
        <v/>
      </c>
      <c r="F233" s="242" t="str">
        <f t="shared" si="57"/>
        <v/>
      </c>
      <c r="G233" s="199">
        <v>1750.0</v>
      </c>
      <c r="H233" s="243">
        <f t="shared" si="58"/>
        <v>3062500</v>
      </c>
      <c r="I233" s="200">
        <v>2000.0</v>
      </c>
      <c r="J233" s="244">
        <f t="shared" si="59"/>
        <v>3500000</v>
      </c>
      <c r="K233" s="245">
        <f t="shared" si="60"/>
        <v>437500</v>
      </c>
      <c r="L233" s="246">
        <f t="shared" si="61"/>
        <v>0.1428571429</v>
      </c>
      <c r="M233" s="247"/>
    </row>
    <row r="234" ht="15.75" customHeight="1">
      <c r="A234" s="272" t="s">
        <v>1698</v>
      </c>
      <c r="B234" s="206"/>
      <c r="C234" s="206"/>
      <c r="D234" s="174"/>
      <c r="E234" s="257"/>
      <c r="F234" s="258">
        <f>SUMIF(F221:F233,"&lt;&gt;",F221:F233)</f>
        <v>0</v>
      </c>
      <c r="G234" s="259"/>
      <c r="H234" s="260">
        <f>SUMIF(H221:H233,"&lt;&gt;",H221:H233)</f>
        <v>13741850</v>
      </c>
      <c r="I234" s="265"/>
      <c r="J234" s="260">
        <f>SUMIF(J221:J233,"&lt;&gt;",J221:J233)</f>
        <v>15303600</v>
      </c>
      <c r="K234" s="261">
        <f t="shared" si="60"/>
        <v>1561750</v>
      </c>
      <c r="L234" s="262">
        <f t="shared" si="61"/>
        <v>0.1136491812</v>
      </c>
      <c r="M234" s="257"/>
    </row>
    <row r="235" ht="15.75" customHeight="1"/>
    <row r="236" ht="15.75" customHeight="1">
      <c r="A236" s="273" t="s">
        <v>1914</v>
      </c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6"/>
    </row>
    <row r="237" ht="15.75" customHeight="1">
      <c r="A237" s="229" t="s">
        <v>1509</v>
      </c>
      <c r="B237" s="229" t="s">
        <v>1510</v>
      </c>
      <c r="C237" s="229" t="s">
        <v>1511</v>
      </c>
      <c r="D237" s="229" t="s">
        <v>1614</v>
      </c>
      <c r="E237" s="230" t="s">
        <v>1615</v>
      </c>
      <c r="F237" s="174"/>
      <c r="G237" s="231" t="s">
        <v>1616</v>
      </c>
      <c r="H237" s="174"/>
      <c r="I237" s="232" t="s">
        <v>1617</v>
      </c>
      <c r="J237" s="174"/>
      <c r="K237" s="233" t="s">
        <v>1618</v>
      </c>
      <c r="L237" s="174"/>
      <c r="M237" s="229" t="s">
        <v>1619</v>
      </c>
    </row>
    <row r="238" ht="15.75" customHeight="1">
      <c r="A238" s="234" t="s">
        <v>1509</v>
      </c>
      <c r="B238" s="234" t="s">
        <v>1510</v>
      </c>
      <c r="C238" s="234" t="s">
        <v>1511</v>
      </c>
      <c r="D238" s="234" t="s">
        <v>1614</v>
      </c>
      <c r="E238" s="235" t="s">
        <v>1620</v>
      </c>
      <c r="F238" s="235" t="s">
        <v>1621</v>
      </c>
      <c r="G238" s="236" t="s">
        <v>1622</v>
      </c>
      <c r="H238" s="236" t="s">
        <v>1623</v>
      </c>
      <c r="I238" s="237" t="s">
        <v>1624</v>
      </c>
      <c r="J238" s="237" t="s">
        <v>1625</v>
      </c>
      <c r="K238" s="238" t="s">
        <v>1626</v>
      </c>
      <c r="L238" s="238" t="s">
        <v>1627</v>
      </c>
      <c r="M238" s="234" t="s">
        <v>1619</v>
      </c>
    </row>
    <row r="239" ht="15.75" customHeight="1">
      <c r="A239" s="239">
        <v>1.0</v>
      </c>
      <c r="B239" s="275" t="s">
        <v>1527</v>
      </c>
      <c r="C239" s="239" t="s">
        <v>109</v>
      </c>
      <c r="D239" s="254">
        <v>75.0</v>
      </c>
      <c r="E239" s="241" t="str">
        <f>'Daftar Harga'!D183</f>
        <v/>
      </c>
      <c r="F239" s="242" t="str">
        <f t="shared" ref="F239:F243" si="62">IF(E239&lt;&gt;"",D239*E239,"")</f>
        <v/>
      </c>
      <c r="G239" s="199">
        <v>14500.0</v>
      </c>
      <c r="H239" s="243">
        <f t="shared" ref="H239:H257" si="63">IF(G239&lt;&gt;"",D239*G239,"")</f>
        <v>1087500</v>
      </c>
      <c r="I239" s="200">
        <v>15700.0</v>
      </c>
      <c r="J239" s="244">
        <f t="shared" ref="J239:J257" si="64">IF(I239&lt;&gt;"",D239*I239,"")</f>
        <v>1177500</v>
      </c>
      <c r="K239" s="245">
        <f t="shared" ref="K239:K258" si="65">IF(J239&lt;&gt;"",IF(H239&lt;&gt;"",J239-H239,IF(F239&lt;&gt;"",J239-F239,"")),"")</f>
        <v>90000</v>
      </c>
      <c r="L239" s="246">
        <f t="shared" ref="L239:L258" si="66">IF(K239&lt;&gt;"",IF(H239&lt;&gt;"",IF(H239&lt;&gt;0,K239/H239,""),IF(F239&lt;&gt;"",IF(F239&lt;&gt;0,K239/F239,""),"")),"")</f>
        <v>0.08275862069</v>
      </c>
      <c r="M239" s="247"/>
    </row>
    <row r="240" ht="15.75" customHeight="1">
      <c r="A240" s="248">
        <v>2.0</v>
      </c>
      <c r="B240" s="276" t="s">
        <v>2042</v>
      </c>
      <c r="C240" s="239" t="s">
        <v>109</v>
      </c>
      <c r="D240" s="277">
        <v>130.0</v>
      </c>
      <c r="E240" s="241" t="str">
        <f>'Daftar Harga'!D185</f>
        <v/>
      </c>
      <c r="F240" s="242" t="str">
        <f t="shared" si="62"/>
        <v/>
      </c>
      <c r="G240" s="199">
        <v>25000.0</v>
      </c>
      <c r="H240" s="243">
        <f t="shared" si="63"/>
        <v>3250000</v>
      </c>
      <c r="I240" s="200">
        <v>28000.0</v>
      </c>
      <c r="J240" s="244">
        <f t="shared" si="64"/>
        <v>3640000</v>
      </c>
      <c r="K240" s="250">
        <f t="shared" si="65"/>
        <v>390000</v>
      </c>
      <c r="L240" s="251">
        <f t="shared" si="66"/>
        <v>0.12</v>
      </c>
      <c r="M240" s="252"/>
    </row>
    <row r="241" ht="15.75" customHeight="1">
      <c r="A241" s="239">
        <v>3.0</v>
      </c>
      <c r="B241" s="275" t="s">
        <v>1344</v>
      </c>
      <c r="C241" s="278" t="s">
        <v>69</v>
      </c>
      <c r="D241" s="254">
        <v>1750.0</v>
      </c>
      <c r="E241" s="241" t="str">
        <f>'Daftar Harga'!D187</f>
        <v/>
      </c>
      <c r="F241" s="242" t="str">
        <f t="shared" si="62"/>
        <v/>
      </c>
      <c r="G241" s="199">
        <v>480.0</v>
      </c>
      <c r="H241" s="243">
        <f t="shared" si="63"/>
        <v>840000</v>
      </c>
      <c r="I241" s="200">
        <v>700.0</v>
      </c>
      <c r="J241" s="244">
        <f t="shared" si="64"/>
        <v>1225000</v>
      </c>
      <c r="K241" s="245">
        <f t="shared" si="65"/>
        <v>385000</v>
      </c>
      <c r="L241" s="246">
        <f t="shared" si="66"/>
        <v>0.4583333333</v>
      </c>
      <c r="M241" s="247"/>
    </row>
    <row r="242" ht="15.75" customHeight="1">
      <c r="A242" s="248">
        <v>4.0</v>
      </c>
      <c r="B242" s="276" t="s">
        <v>1230</v>
      </c>
      <c r="C242" s="239" t="s">
        <v>109</v>
      </c>
      <c r="D242" s="277">
        <v>80.0</v>
      </c>
      <c r="E242" s="241" t="str">
        <f>'Daftar Harga'!D189</f>
        <v/>
      </c>
      <c r="F242" s="242" t="str">
        <f t="shared" si="62"/>
        <v/>
      </c>
      <c r="G242" s="199">
        <v>14000.0</v>
      </c>
      <c r="H242" s="243">
        <f t="shared" si="63"/>
        <v>1120000</v>
      </c>
      <c r="I242" s="200">
        <v>16000.0</v>
      </c>
      <c r="J242" s="244">
        <f t="shared" si="64"/>
        <v>1280000</v>
      </c>
      <c r="K242" s="250">
        <f t="shared" si="65"/>
        <v>160000</v>
      </c>
      <c r="L242" s="251">
        <f t="shared" si="66"/>
        <v>0.1428571429</v>
      </c>
      <c r="M242" s="252"/>
    </row>
    <row r="243" ht="15.75" customHeight="1">
      <c r="A243" s="239">
        <v>5.0</v>
      </c>
      <c r="B243" s="275" t="s">
        <v>1607</v>
      </c>
      <c r="C243" s="239" t="s">
        <v>109</v>
      </c>
      <c r="D243" s="254">
        <v>15.0</v>
      </c>
      <c r="E243" s="241" t="str">
        <f>'Daftar Harga'!D194</f>
        <v/>
      </c>
      <c r="F243" s="242" t="str">
        <f t="shared" si="62"/>
        <v/>
      </c>
      <c r="G243" s="199">
        <v>8000.0</v>
      </c>
      <c r="H243" s="243">
        <f t="shared" si="63"/>
        <v>120000</v>
      </c>
      <c r="I243" s="200">
        <v>12000.0</v>
      </c>
      <c r="J243" s="244">
        <f t="shared" si="64"/>
        <v>180000</v>
      </c>
      <c r="K243" s="245">
        <f t="shared" si="65"/>
        <v>60000</v>
      </c>
      <c r="L243" s="246">
        <f t="shared" si="66"/>
        <v>0.5</v>
      </c>
      <c r="M243" s="247"/>
    </row>
    <row r="244" ht="15.75" customHeight="1">
      <c r="A244" s="239">
        <v>6.0</v>
      </c>
      <c r="B244" s="276" t="s">
        <v>2043</v>
      </c>
      <c r="C244" s="239" t="s">
        <v>109</v>
      </c>
      <c r="D244" s="277">
        <v>35.0</v>
      </c>
      <c r="E244" s="241"/>
      <c r="F244" s="242"/>
      <c r="G244" s="199">
        <v>11000.0</v>
      </c>
      <c r="H244" s="243">
        <f t="shared" si="63"/>
        <v>385000</v>
      </c>
      <c r="I244" s="200">
        <v>13000.0</v>
      </c>
      <c r="J244" s="244">
        <f t="shared" si="64"/>
        <v>455000</v>
      </c>
      <c r="K244" s="245">
        <f t="shared" si="65"/>
        <v>70000</v>
      </c>
      <c r="L244" s="246">
        <f t="shared" si="66"/>
        <v>0.1818181818</v>
      </c>
      <c r="M244" s="252"/>
    </row>
    <row r="245" ht="15.75" customHeight="1">
      <c r="A245" s="248">
        <v>7.0</v>
      </c>
      <c r="B245" s="276" t="s">
        <v>1567</v>
      </c>
      <c r="C245" s="239" t="s">
        <v>109</v>
      </c>
      <c r="D245" s="277">
        <v>9.55</v>
      </c>
      <c r="E245" s="241"/>
      <c r="F245" s="242"/>
      <c r="G245" s="199">
        <v>8000.0</v>
      </c>
      <c r="H245" s="243">
        <f t="shared" si="63"/>
        <v>76400</v>
      </c>
      <c r="I245" s="200">
        <v>12000.0</v>
      </c>
      <c r="J245" s="244">
        <f t="shared" si="64"/>
        <v>114600</v>
      </c>
      <c r="K245" s="245">
        <f t="shared" si="65"/>
        <v>38200</v>
      </c>
      <c r="L245" s="246">
        <f t="shared" si="66"/>
        <v>0.5</v>
      </c>
      <c r="M245" s="252"/>
    </row>
    <row r="246" ht="15.75" customHeight="1">
      <c r="A246" s="239">
        <v>8.0</v>
      </c>
      <c r="B246" s="276" t="s">
        <v>108</v>
      </c>
      <c r="C246" s="239" t="s">
        <v>109</v>
      </c>
      <c r="D246" s="277">
        <v>0.8</v>
      </c>
      <c r="E246" s="241"/>
      <c r="F246" s="242"/>
      <c r="G246" s="199">
        <v>60000.0</v>
      </c>
      <c r="H246" s="243">
        <f t="shared" si="63"/>
        <v>48000</v>
      </c>
      <c r="I246" s="200">
        <v>80000.0</v>
      </c>
      <c r="J246" s="244">
        <f t="shared" si="64"/>
        <v>64000</v>
      </c>
      <c r="K246" s="245">
        <f t="shared" si="65"/>
        <v>16000</v>
      </c>
      <c r="L246" s="246">
        <f t="shared" si="66"/>
        <v>0.3333333333</v>
      </c>
      <c r="M246" s="252"/>
    </row>
    <row r="247" ht="15.75" customHeight="1">
      <c r="A247" s="248">
        <v>9.0</v>
      </c>
      <c r="B247" s="276" t="s">
        <v>1674</v>
      </c>
      <c r="C247" s="239" t="s">
        <v>109</v>
      </c>
      <c r="D247" s="277">
        <v>1.0</v>
      </c>
      <c r="E247" s="241"/>
      <c r="F247" s="242"/>
      <c r="G247" s="199">
        <v>45000.0</v>
      </c>
      <c r="H247" s="243">
        <f t="shared" si="63"/>
        <v>45000</v>
      </c>
      <c r="I247" s="200">
        <v>70000.0</v>
      </c>
      <c r="J247" s="244">
        <f t="shared" si="64"/>
        <v>70000</v>
      </c>
      <c r="K247" s="245">
        <f t="shared" si="65"/>
        <v>25000</v>
      </c>
      <c r="L247" s="246">
        <f t="shared" si="66"/>
        <v>0.5555555556</v>
      </c>
      <c r="M247" s="252"/>
    </row>
    <row r="248" ht="15.75" customHeight="1">
      <c r="A248" s="239">
        <v>10.0</v>
      </c>
      <c r="B248" s="276" t="s">
        <v>1934</v>
      </c>
      <c r="C248" s="239" t="s">
        <v>109</v>
      </c>
      <c r="D248" s="277">
        <v>1.0</v>
      </c>
      <c r="E248" s="241"/>
      <c r="F248" s="242"/>
      <c r="G248" s="199">
        <v>35000.0</v>
      </c>
      <c r="H248" s="243">
        <f t="shared" si="63"/>
        <v>35000</v>
      </c>
      <c r="I248" s="200">
        <v>36000.0</v>
      </c>
      <c r="J248" s="244">
        <f t="shared" si="64"/>
        <v>36000</v>
      </c>
      <c r="K248" s="245">
        <f t="shared" si="65"/>
        <v>1000</v>
      </c>
      <c r="L248" s="246">
        <f t="shared" si="66"/>
        <v>0.02857142857</v>
      </c>
      <c r="M248" s="252"/>
    </row>
    <row r="249" ht="15.75" customHeight="1">
      <c r="A249" s="239">
        <v>11.0</v>
      </c>
      <c r="B249" s="276" t="s">
        <v>1935</v>
      </c>
      <c r="C249" s="239" t="s">
        <v>109</v>
      </c>
      <c r="D249" s="277">
        <v>1.0</v>
      </c>
      <c r="E249" s="241"/>
      <c r="F249" s="242"/>
      <c r="G249" s="199">
        <v>45000.0</v>
      </c>
      <c r="H249" s="243">
        <f t="shared" si="63"/>
        <v>45000</v>
      </c>
      <c r="I249" s="200">
        <v>45000.0</v>
      </c>
      <c r="J249" s="244">
        <f t="shared" si="64"/>
        <v>45000</v>
      </c>
      <c r="K249" s="245">
        <f t="shared" si="65"/>
        <v>0</v>
      </c>
      <c r="L249" s="246">
        <f t="shared" si="66"/>
        <v>0</v>
      </c>
      <c r="M249" s="252"/>
    </row>
    <row r="250" ht="15.75" customHeight="1">
      <c r="A250" s="248">
        <v>12.0</v>
      </c>
      <c r="B250" s="276" t="s">
        <v>2044</v>
      </c>
      <c r="C250" s="278" t="s">
        <v>1824</v>
      </c>
      <c r="D250" s="277">
        <v>4.0</v>
      </c>
      <c r="E250" s="241"/>
      <c r="F250" s="242"/>
      <c r="G250" s="199">
        <v>22111.0</v>
      </c>
      <c r="H250" s="243">
        <f t="shared" si="63"/>
        <v>88444</v>
      </c>
      <c r="I250" s="200">
        <v>25000.0</v>
      </c>
      <c r="J250" s="244">
        <f t="shared" si="64"/>
        <v>100000</v>
      </c>
      <c r="K250" s="245">
        <f t="shared" si="65"/>
        <v>11556</v>
      </c>
      <c r="L250" s="246">
        <f t="shared" si="66"/>
        <v>0.130658948</v>
      </c>
      <c r="M250" s="252"/>
    </row>
    <row r="251" ht="15.75" customHeight="1">
      <c r="A251" s="239">
        <v>13.0</v>
      </c>
      <c r="B251" s="276" t="s">
        <v>1680</v>
      </c>
      <c r="C251" s="239" t="s">
        <v>109</v>
      </c>
      <c r="D251" s="277">
        <v>2.0</v>
      </c>
      <c r="E251" s="241"/>
      <c r="F251" s="242"/>
      <c r="G251" s="199">
        <v>17000.0</v>
      </c>
      <c r="H251" s="243">
        <f t="shared" si="63"/>
        <v>34000</v>
      </c>
      <c r="I251" s="200">
        <v>20000.0</v>
      </c>
      <c r="J251" s="244">
        <f t="shared" si="64"/>
        <v>40000</v>
      </c>
      <c r="K251" s="245">
        <f t="shared" si="65"/>
        <v>6000</v>
      </c>
      <c r="L251" s="246">
        <f t="shared" si="66"/>
        <v>0.1764705882</v>
      </c>
      <c r="M251" s="252"/>
    </row>
    <row r="252" ht="15.75" customHeight="1">
      <c r="A252" s="248">
        <v>14.0</v>
      </c>
      <c r="B252" s="276" t="s">
        <v>1543</v>
      </c>
      <c r="C252" s="239" t="s">
        <v>109</v>
      </c>
      <c r="D252" s="277">
        <v>2.0</v>
      </c>
      <c r="E252" s="241" t="str">
        <f>'Daftar Harga'!D196</f>
        <v/>
      </c>
      <c r="F252" s="242" t="str">
        <f t="shared" ref="F252:F257" si="67">IF(E252&lt;&gt;"",D252*E252,"")</f>
        <v/>
      </c>
      <c r="G252" s="199">
        <v>8000.0</v>
      </c>
      <c r="H252" s="243">
        <f t="shared" si="63"/>
        <v>16000</v>
      </c>
      <c r="I252" s="200">
        <v>10000.0</v>
      </c>
      <c r="J252" s="244">
        <f t="shared" si="64"/>
        <v>20000</v>
      </c>
      <c r="K252" s="245">
        <f t="shared" si="65"/>
        <v>4000</v>
      </c>
      <c r="L252" s="246">
        <f t="shared" si="66"/>
        <v>0.25</v>
      </c>
      <c r="M252" s="252"/>
    </row>
    <row r="253" ht="15.75" customHeight="1">
      <c r="A253" s="239">
        <v>15.0</v>
      </c>
      <c r="B253" s="275" t="s">
        <v>2021</v>
      </c>
      <c r="C253" s="239" t="s">
        <v>109</v>
      </c>
      <c r="D253" s="254">
        <v>1.0</v>
      </c>
      <c r="E253" s="241" t="str">
        <f>'Daftar Harga'!D199</f>
        <v/>
      </c>
      <c r="F253" s="242" t="str">
        <f t="shared" si="67"/>
        <v/>
      </c>
      <c r="G253" s="199">
        <v>18500.0</v>
      </c>
      <c r="H253" s="243">
        <f t="shared" si="63"/>
        <v>18500</v>
      </c>
      <c r="I253" s="200">
        <v>19000.0</v>
      </c>
      <c r="J253" s="244">
        <f t="shared" si="64"/>
        <v>19000</v>
      </c>
      <c r="K253" s="245">
        <f t="shared" si="65"/>
        <v>500</v>
      </c>
      <c r="L253" s="246">
        <f t="shared" si="66"/>
        <v>0.02702702703</v>
      </c>
      <c r="M253" s="247"/>
    </row>
    <row r="254" ht="15.75" customHeight="1">
      <c r="A254" s="239">
        <v>16.0</v>
      </c>
      <c r="B254" s="276" t="s">
        <v>1566</v>
      </c>
      <c r="C254" s="239" t="s">
        <v>109</v>
      </c>
      <c r="D254" s="277">
        <v>1.0</v>
      </c>
      <c r="E254" s="241" t="str">
        <f>'Daftar Harga'!D214</f>
        <v/>
      </c>
      <c r="F254" s="242" t="str">
        <f t="shared" si="67"/>
        <v/>
      </c>
      <c r="G254" s="199">
        <v>95000.0</v>
      </c>
      <c r="H254" s="243">
        <f t="shared" si="63"/>
        <v>95000</v>
      </c>
      <c r="I254" s="200">
        <v>105000.0</v>
      </c>
      <c r="J254" s="244">
        <f t="shared" si="64"/>
        <v>105000</v>
      </c>
      <c r="K254" s="245">
        <f t="shared" si="65"/>
        <v>10000</v>
      </c>
      <c r="L254" s="246">
        <f t="shared" si="66"/>
        <v>0.1052631579</v>
      </c>
      <c r="M254" s="252"/>
    </row>
    <row r="255" ht="15.75" customHeight="1">
      <c r="A255" s="248">
        <v>17.0</v>
      </c>
      <c r="B255" s="275" t="s">
        <v>1578</v>
      </c>
      <c r="C255" s="278" t="s">
        <v>1689</v>
      </c>
      <c r="D255" s="254">
        <v>5.0</v>
      </c>
      <c r="E255" s="241" t="str">
        <f>'Daftar Harga'!D226</f>
        <v/>
      </c>
      <c r="F255" s="242" t="str">
        <f t="shared" si="67"/>
        <v/>
      </c>
      <c r="G255" s="199">
        <v>21500.0</v>
      </c>
      <c r="H255" s="243">
        <f t="shared" si="63"/>
        <v>107500</v>
      </c>
      <c r="I255" s="200">
        <v>24000.0</v>
      </c>
      <c r="J255" s="244">
        <f t="shared" si="64"/>
        <v>120000</v>
      </c>
      <c r="K255" s="245">
        <f t="shared" si="65"/>
        <v>12500</v>
      </c>
      <c r="L255" s="246">
        <f t="shared" si="66"/>
        <v>0.1162790698</v>
      </c>
      <c r="M255" s="247"/>
    </row>
    <row r="256" ht="15.75" customHeight="1">
      <c r="A256" s="239">
        <v>18.0</v>
      </c>
      <c r="B256" s="276" t="s">
        <v>2045</v>
      </c>
      <c r="C256" s="278" t="s">
        <v>2046</v>
      </c>
      <c r="D256" s="277">
        <v>1.0</v>
      </c>
      <c r="E256" s="241" t="str">
        <f>'Daftar Harga'!D228</f>
        <v/>
      </c>
      <c r="F256" s="242" t="str">
        <f t="shared" si="67"/>
        <v/>
      </c>
      <c r="G256" s="199">
        <v>25000.0</v>
      </c>
      <c r="H256" s="243">
        <f t="shared" si="63"/>
        <v>25000</v>
      </c>
      <c r="I256" s="200">
        <v>25000.0</v>
      </c>
      <c r="J256" s="244">
        <f t="shared" si="64"/>
        <v>25000</v>
      </c>
      <c r="K256" s="245">
        <f t="shared" si="65"/>
        <v>0</v>
      </c>
      <c r="L256" s="246">
        <f t="shared" si="66"/>
        <v>0</v>
      </c>
      <c r="M256" s="252"/>
    </row>
    <row r="257" ht="15.75" customHeight="1">
      <c r="A257" s="248">
        <v>19.0</v>
      </c>
      <c r="B257" s="275" t="s">
        <v>1112</v>
      </c>
      <c r="C257" s="239" t="s">
        <v>109</v>
      </c>
      <c r="D257" s="254">
        <v>200.0</v>
      </c>
      <c r="E257" s="241" t="str">
        <f>'Daftar Harga'!D238</f>
        <v/>
      </c>
      <c r="F257" s="242" t="str">
        <f t="shared" si="67"/>
        <v/>
      </c>
      <c r="G257" s="199">
        <v>19000.0</v>
      </c>
      <c r="H257" s="243">
        <f t="shared" si="63"/>
        <v>3800000</v>
      </c>
      <c r="I257" s="200">
        <v>19500.0</v>
      </c>
      <c r="J257" s="244">
        <f t="shared" si="64"/>
        <v>3900000</v>
      </c>
      <c r="K257" s="245">
        <f t="shared" si="65"/>
        <v>100000</v>
      </c>
      <c r="L257" s="246">
        <f t="shared" si="66"/>
        <v>0.02631578947</v>
      </c>
      <c r="M257" s="247"/>
    </row>
    <row r="258" ht="15.75" customHeight="1">
      <c r="A258" s="406" t="s">
        <v>1701</v>
      </c>
      <c r="B258" s="206"/>
      <c r="C258" s="206"/>
      <c r="D258" s="174"/>
      <c r="E258" s="257"/>
      <c r="F258" s="258">
        <f>SUMIF(F239:F257,"&lt;&gt;",F239:F257)</f>
        <v>0</v>
      </c>
      <c r="G258" s="259"/>
      <c r="H258" s="260">
        <f>SUMIF(H239:H257,"&lt;&gt;",H239:H257)</f>
        <v>11236344</v>
      </c>
      <c r="I258" s="265"/>
      <c r="J258" s="260">
        <f>SUMIF(J239:J257,"&lt;&gt;",J239:J257)</f>
        <v>12616100</v>
      </c>
      <c r="K258" s="261">
        <f t="shared" si="65"/>
        <v>1379756</v>
      </c>
      <c r="L258" s="262">
        <f t="shared" si="66"/>
        <v>0.1227940334</v>
      </c>
      <c r="M258" s="257"/>
    </row>
    <row r="259" ht="15.75" customHeight="1"/>
    <row r="260" ht="15.75" customHeight="1">
      <c r="A260" s="273" t="s">
        <v>1841</v>
      </c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6"/>
    </row>
    <row r="261" ht="15.75" customHeight="1">
      <c r="A261" s="229" t="s">
        <v>1509</v>
      </c>
      <c r="B261" s="229" t="s">
        <v>1510</v>
      </c>
      <c r="C261" s="229" t="s">
        <v>1511</v>
      </c>
      <c r="D261" s="229" t="s">
        <v>1614</v>
      </c>
      <c r="E261" s="230" t="s">
        <v>1615</v>
      </c>
      <c r="F261" s="174"/>
      <c r="G261" s="231" t="s">
        <v>1616</v>
      </c>
      <c r="H261" s="174"/>
      <c r="I261" s="232" t="s">
        <v>1617</v>
      </c>
      <c r="J261" s="174"/>
      <c r="K261" s="233" t="s">
        <v>1618</v>
      </c>
      <c r="L261" s="174"/>
      <c r="M261" s="229" t="s">
        <v>1619</v>
      </c>
    </row>
    <row r="262" ht="15.75" customHeight="1">
      <c r="A262" s="234" t="s">
        <v>1509</v>
      </c>
      <c r="B262" s="234" t="s">
        <v>1510</v>
      </c>
      <c r="C262" s="234" t="s">
        <v>1511</v>
      </c>
      <c r="D262" s="234" t="s">
        <v>1614</v>
      </c>
      <c r="E262" s="235" t="s">
        <v>1620</v>
      </c>
      <c r="F262" s="235" t="s">
        <v>1621</v>
      </c>
      <c r="G262" s="236" t="s">
        <v>1622</v>
      </c>
      <c r="H262" s="236" t="s">
        <v>1623</v>
      </c>
      <c r="I262" s="237" t="s">
        <v>1624</v>
      </c>
      <c r="J262" s="237" t="s">
        <v>1625</v>
      </c>
      <c r="K262" s="238" t="s">
        <v>1626</v>
      </c>
      <c r="L262" s="238" t="s">
        <v>1627</v>
      </c>
      <c r="M262" s="234" t="s">
        <v>1619</v>
      </c>
    </row>
    <row r="263" ht="15.75" customHeight="1">
      <c r="A263" s="239">
        <v>1.0</v>
      </c>
      <c r="B263" s="275" t="s">
        <v>2047</v>
      </c>
      <c r="C263" s="239" t="s">
        <v>109</v>
      </c>
      <c r="D263" s="254">
        <v>24.0</v>
      </c>
      <c r="E263" s="241" t="str">
        <f>'Daftar Harga'!D207</f>
        <v/>
      </c>
      <c r="F263" s="242" t="str">
        <f t="shared" ref="F263:F272" si="68">IF(E263&lt;&gt;"",D263*E263,"")</f>
        <v/>
      </c>
      <c r="G263" s="199">
        <v>11000.0</v>
      </c>
      <c r="H263" s="243">
        <f t="shared" ref="H263:H272" si="69">IF(G263&lt;&gt;"",D263*G263,"")</f>
        <v>264000</v>
      </c>
      <c r="I263" s="200">
        <v>12000.0</v>
      </c>
      <c r="J263" s="244">
        <f t="shared" ref="J263:J272" si="70">IF(I263&lt;&gt;"",D263*I263,"")</f>
        <v>288000</v>
      </c>
      <c r="K263" s="245">
        <f t="shared" ref="K263:K273" si="71">IF(J263&lt;&gt;"",IF(H263&lt;&gt;"",J263-H263,IF(F263&lt;&gt;"",J263-F263,"")),"")</f>
        <v>24000</v>
      </c>
      <c r="L263" s="246">
        <f t="shared" ref="L263:L273" si="72">IF(K263&lt;&gt;"",IF(H263&lt;&gt;"",IF(H263&lt;&gt;0,K263/H263,""),IF(F263&lt;&gt;"",IF(F263&lt;&gt;0,K263/F263,""),"")),"")</f>
        <v>0.09090909091</v>
      </c>
      <c r="M263" s="247"/>
    </row>
    <row r="264" ht="15.75" customHeight="1">
      <c r="A264" s="248">
        <v>2.0</v>
      </c>
      <c r="B264" s="276" t="s">
        <v>2048</v>
      </c>
      <c r="C264" s="239" t="s">
        <v>109</v>
      </c>
      <c r="D264" s="277">
        <v>2.0</v>
      </c>
      <c r="E264" s="241" t="str">
        <f>'Daftar Harga'!D209</f>
        <v/>
      </c>
      <c r="F264" s="242" t="str">
        <f t="shared" si="68"/>
        <v/>
      </c>
      <c r="G264" s="199">
        <v>65000.0</v>
      </c>
      <c r="H264" s="243">
        <f t="shared" si="69"/>
        <v>130000</v>
      </c>
      <c r="I264" s="200">
        <v>70000.0</v>
      </c>
      <c r="J264" s="244">
        <f t="shared" si="70"/>
        <v>140000</v>
      </c>
      <c r="K264" s="250">
        <f t="shared" si="71"/>
        <v>10000</v>
      </c>
      <c r="L264" s="251">
        <f t="shared" si="72"/>
        <v>0.07692307692</v>
      </c>
      <c r="M264" s="252"/>
    </row>
    <row r="265" ht="15.75" customHeight="1">
      <c r="A265" s="239">
        <v>3.0</v>
      </c>
      <c r="B265" s="275" t="s">
        <v>1814</v>
      </c>
      <c r="C265" s="239" t="s">
        <v>109</v>
      </c>
      <c r="D265" s="254">
        <v>0.4</v>
      </c>
      <c r="E265" s="241" t="str">
        <f>'Daftar Harga'!D211</f>
        <v/>
      </c>
      <c r="F265" s="242" t="str">
        <f t="shared" si="68"/>
        <v/>
      </c>
      <c r="G265" s="199">
        <v>20000.0</v>
      </c>
      <c r="H265" s="243">
        <f t="shared" si="69"/>
        <v>8000</v>
      </c>
      <c r="I265" s="200">
        <v>35000.0</v>
      </c>
      <c r="J265" s="244">
        <f t="shared" si="70"/>
        <v>14000</v>
      </c>
      <c r="K265" s="245">
        <f t="shared" si="71"/>
        <v>6000</v>
      </c>
      <c r="L265" s="246">
        <f t="shared" si="72"/>
        <v>0.75</v>
      </c>
      <c r="M265" s="247"/>
    </row>
    <row r="266" ht="15.75" customHeight="1">
      <c r="A266" s="248">
        <v>4.0</v>
      </c>
      <c r="B266" s="276" t="s">
        <v>2049</v>
      </c>
      <c r="C266" s="278" t="s">
        <v>69</v>
      </c>
      <c r="D266" s="277">
        <v>240.0</v>
      </c>
      <c r="E266" s="241" t="str">
        <f>'Daftar Harga'!D213</f>
        <v/>
      </c>
      <c r="F266" s="242" t="str">
        <f t="shared" si="68"/>
        <v/>
      </c>
      <c r="G266" s="199">
        <v>2450.0</v>
      </c>
      <c r="H266" s="243">
        <f t="shared" si="69"/>
        <v>588000</v>
      </c>
      <c r="I266" s="200">
        <v>3000.0</v>
      </c>
      <c r="J266" s="244">
        <f t="shared" si="70"/>
        <v>720000</v>
      </c>
      <c r="K266" s="250">
        <f t="shared" si="71"/>
        <v>132000</v>
      </c>
      <c r="L266" s="251">
        <f t="shared" si="72"/>
        <v>0.2244897959</v>
      </c>
      <c r="M266" s="252"/>
    </row>
    <row r="267" ht="15.75" customHeight="1">
      <c r="A267" s="239">
        <v>5.0</v>
      </c>
      <c r="B267" s="275" t="s">
        <v>1655</v>
      </c>
      <c r="C267" s="239" t="s">
        <v>109</v>
      </c>
      <c r="D267" s="254">
        <v>3.0</v>
      </c>
      <c r="E267" s="241" t="str">
        <f>'Daftar Harga'!D218</f>
        <v/>
      </c>
      <c r="F267" s="242" t="str">
        <f t="shared" si="68"/>
        <v/>
      </c>
      <c r="G267" s="199">
        <v>18500.0</v>
      </c>
      <c r="H267" s="243">
        <f t="shared" si="69"/>
        <v>55500</v>
      </c>
      <c r="I267" s="200">
        <v>20000.0</v>
      </c>
      <c r="J267" s="244">
        <f t="shared" si="70"/>
        <v>60000</v>
      </c>
      <c r="K267" s="245">
        <f t="shared" si="71"/>
        <v>4500</v>
      </c>
      <c r="L267" s="246">
        <f t="shared" si="72"/>
        <v>0.08108108108</v>
      </c>
      <c r="M267" s="247"/>
    </row>
    <row r="268" ht="15.75" customHeight="1">
      <c r="A268" s="248">
        <v>6.0</v>
      </c>
      <c r="B268" s="276" t="s">
        <v>1818</v>
      </c>
      <c r="C268" s="239" t="s">
        <v>109</v>
      </c>
      <c r="D268" s="277">
        <v>3.0</v>
      </c>
      <c r="E268" s="241" t="str">
        <f>'Daftar Harga'!D220</f>
        <v/>
      </c>
      <c r="F268" s="242" t="str">
        <f t="shared" si="68"/>
        <v/>
      </c>
      <c r="G268" s="199">
        <v>26000.0</v>
      </c>
      <c r="H268" s="243">
        <f t="shared" si="69"/>
        <v>78000</v>
      </c>
      <c r="I268" s="200">
        <v>27000.0</v>
      </c>
      <c r="J268" s="244">
        <f t="shared" si="70"/>
        <v>81000</v>
      </c>
      <c r="K268" s="250">
        <f t="shared" si="71"/>
        <v>3000</v>
      </c>
      <c r="L268" s="251">
        <f t="shared" si="72"/>
        <v>0.03846153846</v>
      </c>
      <c r="M268" s="252"/>
    </row>
    <row r="269" ht="15.75" customHeight="1">
      <c r="A269" s="239">
        <v>7.0</v>
      </c>
      <c r="B269" s="275" t="s">
        <v>1680</v>
      </c>
      <c r="C269" s="239" t="s">
        <v>109</v>
      </c>
      <c r="D269" s="254">
        <v>4.0</v>
      </c>
      <c r="E269" s="241" t="str">
        <f>'Daftar Harga'!D223</f>
        <v/>
      </c>
      <c r="F269" s="242" t="str">
        <f t="shared" si="68"/>
        <v/>
      </c>
      <c r="G269" s="199">
        <v>17000.0</v>
      </c>
      <c r="H269" s="243">
        <f t="shared" si="69"/>
        <v>68000</v>
      </c>
      <c r="I269" s="200">
        <v>20000.0</v>
      </c>
      <c r="J269" s="244">
        <f t="shared" si="70"/>
        <v>80000</v>
      </c>
      <c r="K269" s="245">
        <f t="shared" si="71"/>
        <v>12000</v>
      </c>
      <c r="L269" s="246">
        <f t="shared" si="72"/>
        <v>0.1764705882</v>
      </c>
      <c r="M269" s="247"/>
    </row>
    <row r="270" ht="15.75" customHeight="1">
      <c r="A270" s="248">
        <v>8.0</v>
      </c>
      <c r="B270" s="276" t="s">
        <v>1596</v>
      </c>
      <c r="C270" s="278" t="s">
        <v>1390</v>
      </c>
      <c r="D270" s="277">
        <v>684.0</v>
      </c>
      <c r="E270" s="241" t="str">
        <f>'Daftar Harga'!D238</f>
        <v/>
      </c>
      <c r="F270" s="242" t="str">
        <f t="shared" si="68"/>
        <v/>
      </c>
      <c r="G270" s="199">
        <v>3230.0</v>
      </c>
      <c r="H270" s="243">
        <f t="shared" si="69"/>
        <v>2209320</v>
      </c>
      <c r="I270" s="200">
        <v>3600.0</v>
      </c>
      <c r="J270" s="244">
        <f t="shared" si="70"/>
        <v>2462400</v>
      </c>
      <c r="K270" s="250">
        <f t="shared" si="71"/>
        <v>253080</v>
      </c>
      <c r="L270" s="251">
        <f t="shared" si="72"/>
        <v>0.1145510836</v>
      </c>
      <c r="M270" s="252"/>
    </row>
    <row r="271" ht="15.75" customHeight="1">
      <c r="A271" s="239">
        <v>9.0</v>
      </c>
      <c r="B271" s="275" t="s">
        <v>2050</v>
      </c>
      <c r="C271" s="239" t="s">
        <v>109</v>
      </c>
      <c r="D271" s="254">
        <v>50.0</v>
      </c>
      <c r="E271" s="241" t="str">
        <f>'Daftar Harga'!D250</f>
        <v/>
      </c>
      <c r="F271" s="242" t="str">
        <f t="shared" si="68"/>
        <v/>
      </c>
      <c r="G271" s="199">
        <v>23800.0</v>
      </c>
      <c r="H271" s="243">
        <f t="shared" si="69"/>
        <v>1190000</v>
      </c>
      <c r="I271" s="200">
        <v>28000.0</v>
      </c>
      <c r="J271" s="244">
        <f t="shared" si="70"/>
        <v>1400000</v>
      </c>
      <c r="K271" s="245">
        <f t="shared" si="71"/>
        <v>210000</v>
      </c>
      <c r="L271" s="246">
        <f t="shared" si="72"/>
        <v>0.1764705882</v>
      </c>
      <c r="M271" s="247"/>
    </row>
    <row r="272" ht="15.75" customHeight="1">
      <c r="A272" s="248">
        <v>10.0</v>
      </c>
      <c r="B272" s="276" t="s">
        <v>1549</v>
      </c>
      <c r="C272" s="239" t="s">
        <v>109</v>
      </c>
      <c r="D272" s="277">
        <v>63.0</v>
      </c>
      <c r="E272" s="241" t="str">
        <f>'Daftar Harga'!D252</f>
        <v/>
      </c>
      <c r="F272" s="242" t="str">
        <f t="shared" si="68"/>
        <v/>
      </c>
      <c r="G272" s="199">
        <v>25000.0</v>
      </c>
      <c r="H272" s="243">
        <f t="shared" si="69"/>
        <v>1575000</v>
      </c>
      <c r="I272" s="200">
        <v>27500.0</v>
      </c>
      <c r="J272" s="244">
        <f t="shared" si="70"/>
        <v>1732500</v>
      </c>
      <c r="K272" s="250">
        <f t="shared" si="71"/>
        <v>157500</v>
      </c>
      <c r="L272" s="251">
        <f t="shared" si="72"/>
        <v>0.1</v>
      </c>
      <c r="M272" s="252"/>
    </row>
    <row r="273" ht="15.75" customHeight="1">
      <c r="A273" s="272" t="s">
        <v>1704</v>
      </c>
      <c r="B273" s="206"/>
      <c r="C273" s="206"/>
      <c r="D273" s="174"/>
      <c r="E273" s="257"/>
      <c r="F273" s="258">
        <f>SUMIF(F263:F272,"&lt;&gt;",F263:F272)</f>
        <v>0</v>
      </c>
      <c r="G273" s="259"/>
      <c r="H273" s="260">
        <f>SUMIF(H263:H272,"&lt;&gt;",H263:H272)</f>
        <v>6165820</v>
      </c>
      <c r="I273" s="265"/>
      <c r="J273" s="260">
        <f>SUMIF(J263:J272,"&lt;&gt;",J263:J272)</f>
        <v>6977900</v>
      </c>
      <c r="K273" s="261">
        <f t="shared" si="71"/>
        <v>812080</v>
      </c>
      <c r="L273" s="262">
        <f t="shared" si="72"/>
        <v>0.1317067316</v>
      </c>
      <c r="M273" s="257"/>
    </row>
    <row r="274" ht="15.75" customHeight="1"/>
    <row r="275" ht="15.75" customHeight="1">
      <c r="A275" s="273" t="s">
        <v>1705</v>
      </c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6"/>
    </row>
    <row r="276" ht="15.75" customHeight="1">
      <c r="A276" s="229" t="s">
        <v>1509</v>
      </c>
      <c r="B276" s="229" t="s">
        <v>1510</v>
      </c>
      <c r="C276" s="229" t="s">
        <v>1511</v>
      </c>
      <c r="D276" s="229" t="s">
        <v>1614</v>
      </c>
      <c r="E276" s="230" t="s">
        <v>1615</v>
      </c>
      <c r="F276" s="174"/>
      <c r="G276" s="231" t="s">
        <v>1616</v>
      </c>
      <c r="H276" s="174"/>
      <c r="I276" s="232" t="s">
        <v>1617</v>
      </c>
      <c r="J276" s="174"/>
      <c r="K276" s="233" t="s">
        <v>1618</v>
      </c>
      <c r="L276" s="174"/>
      <c r="M276" s="229" t="s">
        <v>1619</v>
      </c>
    </row>
    <row r="277" ht="15.75" customHeight="1">
      <c r="A277" s="234" t="s">
        <v>1509</v>
      </c>
      <c r="B277" s="234" t="s">
        <v>1510</v>
      </c>
      <c r="C277" s="234" t="s">
        <v>1511</v>
      </c>
      <c r="D277" s="234" t="s">
        <v>1614</v>
      </c>
      <c r="E277" s="235" t="s">
        <v>1620</v>
      </c>
      <c r="F277" s="235" t="s">
        <v>1621</v>
      </c>
      <c r="G277" s="236" t="s">
        <v>1622</v>
      </c>
      <c r="H277" s="236" t="s">
        <v>1623</v>
      </c>
      <c r="I277" s="237" t="s">
        <v>1624</v>
      </c>
      <c r="J277" s="237" t="s">
        <v>1625</v>
      </c>
      <c r="K277" s="238" t="s">
        <v>1626</v>
      </c>
      <c r="L277" s="238" t="s">
        <v>1627</v>
      </c>
      <c r="M277" s="234" t="s">
        <v>1619</v>
      </c>
    </row>
    <row r="278" ht="15.75" customHeight="1">
      <c r="A278" s="239">
        <v>1.0</v>
      </c>
      <c r="B278" s="275" t="s">
        <v>1527</v>
      </c>
      <c r="C278" s="239" t="s">
        <v>109</v>
      </c>
      <c r="D278" s="254">
        <v>50.0</v>
      </c>
      <c r="E278" s="241" t="str">
        <f>'Daftar Harga'!D222</f>
        <v/>
      </c>
      <c r="F278" s="242" t="str">
        <f t="shared" ref="F278:F281" si="73">IF(E278&lt;&gt;"",D278*E278,"")</f>
        <v/>
      </c>
      <c r="G278" s="199">
        <v>14500.0</v>
      </c>
      <c r="H278" s="243">
        <f t="shared" ref="H278:H293" si="74">IF(G278&lt;&gt;"",D278*G278,"")</f>
        <v>725000</v>
      </c>
      <c r="I278" s="200">
        <v>15700.0</v>
      </c>
      <c r="J278" s="244">
        <f t="shared" ref="J278:J293" si="75">IF(I278&lt;&gt;"",D278*I278,"")</f>
        <v>785000</v>
      </c>
      <c r="K278" s="245">
        <f t="shared" ref="K278:K294" si="76">IF(J278&lt;&gt;"",IF(H278&lt;&gt;"",J278-H278,IF(F278&lt;&gt;"",J278-F278,"")),"")</f>
        <v>60000</v>
      </c>
      <c r="L278" s="246">
        <f t="shared" ref="L278:L294" si="77">IF(K278&lt;&gt;"",IF(H278&lt;&gt;"",IF(H278&lt;&gt;0,K278/H278,""),IF(F278&lt;&gt;"",IF(F278&lt;&gt;0,K278/F278,""),"")),"")</f>
        <v>0.08275862069</v>
      </c>
      <c r="M278" s="247"/>
    </row>
    <row r="279" ht="15.75" customHeight="1">
      <c r="A279" s="248">
        <v>2.0</v>
      </c>
      <c r="B279" s="276" t="s">
        <v>1116</v>
      </c>
      <c r="C279" s="239" t="s">
        <v>109</v>
      </c>
      <c r="D279" s="277">
        <v>170.0</v>
      </c>
      <c r="E279" s="241" t="str">
        <f>'Daftar Harga'!D224</f>
        <v/>
      </c>
      <c r="F279" s="242" t="str">
        <f t="shared" si="73"/>
        <v/>
      </c>
      <c r="G279" s="199">
        <v>31000.0</v>
      </c>
      <c r="H279" s="243">
        <f t="shared" si="74"/>
        <v>5270000</v>
      </c>
      <c r="I279" s="200">
        <v>35000.0</v>
      </c>
      <c r="J279" s="244">
        <f t="shared" si="75"/>
        <v>5950000</v>
      </c>
      <c r="K279" s="250">
        <f t="shared" si="76"/>
        <v>680000</v>
      </c>
      <c r="L279" s="251">
        <f t="shared" si="77"/>
        <v>0.1290322581</v>
      </c>
      <c r="M279" s="252"/>
    </row>
    <row r="280" ht="15.75" customHeight="1">
      <c r="A280" s="239">
        <v>3.0</v>
      </c>
      <c r="B280" s="275" t="s">
        <v>1934</v>
      </c>
      <c r="C280" s="239" t="s">
        <v>109</v>
      </c>
      <c r="D280" s="254">
        <v>0.95</v>
      </c>
      <c r="E280" s="241" t="str">
        <f>'Daftar Harga'!D226</f>
        <v/>
      </c>
      <c r="F280" s="242" t="str">
        <f t="shared" si="73"/>
        <v/>
      </c>
      <c r="G280" s="199">
        <v>35000.0</v>
      </c>
      <c r="H280" s="243">
        <f t="shared" si="74"/>
        <v>33250</v>
      </c>
      <c r="I280" s="200">
        <v>45000.0</v>
      </c>
      <c r="J280" s="244">
        <f t="shared" si="75"/>
        <v>42750</v>
      </c>
      <c r="K280" s="245">
        <f t="shared" si="76"/>
        <v>9500</v>
      </c>
      <c r="L280" s="246">
        <f t="shared" si="77"/>
        <v>0.2857142857</v>
      </c>
      <c r="M280" s="247"/>
    </row>
    <row r="281" ht="15.75" customHeight="1">
      <c r="A281" s="248">
        <v>4.0</v>
      </c>
      <c r="B281" s="276" t="s">
        <v>1935</v>
      </c>
      <c r="C281" s="239" t="s">
        <v>109</v>
      </c>
      <c r="D281" s="277">
        <v>1.0</v>
      </c>
      <c r="E281" s="241" t="str">
        <f>'Daftar Harga'!D228</f>
        <v/>
      </c>
      <c r="F281" s="242" t="str">
        <f t="shared" si="73"/>
        <v/>
      </c>
      <c r="G281" s="199">
        <v>40000.0</v>
      </c>
      <c r="H281" s="243">
        <f t="shared" si="74"/>
        <v>40000</v>
      </c>
      <c r="I281" s="200">
        <v>36000.0</v>
      </c>
      <c r="J281" s="244">
        <f t="shared" si="75"/>
        <v>36000</v>
      </c>
      <c r="K281" s="250">
        <f t="shared" si="76"/>
        <v>-4000</v>
      </c>
      <c r="L281" s="251">
        <f t="shared" si="77"/>
        <v>-0.1</v>
      </c>
      <c r="M281" s="252"/>
    </row>
    <row r="282" ht="15.75" customHeight="1">
      <c r="A282" s="239">
        <v>5.0</v>
      </c>
      <c r="B282" s="275" t="s">
        <v>1674</v>
      </c>
      <c r="C282" s="239" t="s">
        <v>109</v>
      </c>
      <c r="D282" s="254">
        <v>1.0</v>
      </c>
      <c r="E282" s="241"/>
      <c r="F282" s="242"/>
      <c r="G282" s="199">
        <v>37000.0</v>
      </c>
      <c r="H282" s="243">
        <f t="shared" si="74"/>
        <v>37000</v>
      </c>
      <c r="I282" s="200">
        <v>70000.0</v>
      </c>
      <c r="J282" s="244">
        <f t="shared" si="75"/>
        <v>70000</v>
      </c>
      <c r="K282" s="250">
        <f t="shared" si="76"/>
        <v>33000</v>
      </c>
      <c r="L282" s="251">
        <f t="shared" si="77"/>
        <v>0.8918918919</v>
      </c>
      <c r="M282" s="247"/>
    </row>
    <row r="283" ht="15.75" customHeight="1">
      <c r="A283" s="248">
        <v>6.0</v>
      </c>
      <c r="B283" s="275" t="s">
        <v>108</v>
      </c>
      <c r="C283" s="239" t="s">
        <v>109</v>
      </c>
      <c r="D283" s="254">
        <v>2.0</v>
      </c>
      <c r="E283" s="241"/>
      <c r="F283" s="242"/>
      <c r="G283" s="199">
        <v>60000.0</v>
      </c>
      <c r="H283" s="243">
        <f t="shared" si="74"/>
        <v>120000</v>
      </c>
      <c r="I283" s="200">
        <v>80000.0</v>
      </c>
      <c r="J283" s="244">
        <f t="shared" si="75"/>
        <v>160000</v>
      </c>
      <c r="K283" s="250">
        <f t="shared" si="76"/>
        <v>40000</v>
      </c>
      <c r="L283" s="251">
        <f t="shared" si="77"/>
        <v>0.3333333333</v>
      </c>
      <c r="M283" s="247"/>
    </row>
    <row r="284" ht="15.75" customHeight="1">
      <c r="A284" s="239">
        <v>7.0</v>
      </c>
      <c r="B284" s="275" t="s">
        <v>2051</v>
      </c>
      <c r="C284" s="278" t="s">
        <v>1824</v>
      </c>
      <c r="D284" s="254">
        <v>2.0</v>
      </c>
      <c r="E284" s="241"/>
      <c r="F284" s="242"/>
      <c r="G284" s="199">
        <v>22000.0</v>
      </c>
      <c r="H284" s="243">
        <f t="shared" si="74"/>
        <v>44000</v>
      </c>
      <c r="I284" s="200">
        <v>27000.0</v>
      </c>
      <c r="J284" s="244">
        <f t="shared" si="75"/>
        <v>54000</v>
      </c>
      <c r="K284" s="250">
        <f t="shared" si="76"/>
        <v>10000</v>
      </c>
      <c r="L284" s="251">
        <f t="shared" si="77"/>
        <v>0.2272727273</v>
      </c>
      <c r="M284" s="247"/>
    </row>
    <row r="285" ht="15.75" customHeight="1">
      <c r="A285" s="248">
        <v>8.0</v>
      </c>
      <c r="B285" s="275" t="s">
        <v>1543</v>
      </c>
      <c r="C285" s="239" t="s">
        <v>109</v>
      </c>
      <c r="D285" s="254">
        <v>1.0</v>
      </c>
      <c r="E285" s="241"/>
      <c r="F285" s="242"/>
      <c r="G285" s="199">
        <v>8000.0</v>
      </c>
      <c r="H285" s="243">
        <f t="shared" si="74"/>
        <v>8000</v>
      </c>
      <c r="I285" s="200">
        <v>10000.0</v>
      </c>
      <c r="J285" s="244">
        <f t="shared" si="75"/>
        <v>10000</v>
      </c>
      <c r="K285" s="250">
        <f t="shared" si="76"/>
        <v>2000</v>
      </c>
      <c r="L285" s="251">
        <f t="shared" si="77"/>
        <v>0.25</v>
      </c>
      <c r="M285" s="247"/>
    </row>
    <row r="286" ht="15.75" customHeight="1">
      <c r="A286" s="239">
        <v>9.0</v>
      </c>
      <c r="B286" s="275" t="s">
        <v>2021</v>
      </c>
      <c r="C286" s="239" t="s">
        <v>109</v>
      </c>
      <c r="D286" s="254">
        <v>1.95</v>
      </c>
      <c r="E286" s="241"/>
      <c r="F286" s="242"/>
      <c r="G286" s="199">
        <v>18500.0</v>
      </c>
      <c r="H286" s="243">
        <f t="shared" si="74"/>
        <v>36075</v>
      </c>
      <c r="I286" s="200">
        <v>20000.0</v>
      </c>
      <c r="J286" s="244">
        <f t="shared" si="75"/>
        <v>39000</v>
      </c>
      <c r="K286" s="250">
        <f t="shared" si="76"/>
        <v>2925</v>
      </c>
      <c r="L286" s="251">
        <f t="shared" si="77"/>
        <v>0.08108108108</v>
      </c>
      <c r="M286" s="247"/>
    </row>
    <row r="287" ht="15.75" customHeight="1">
      <c r="A287" s="248">
        <v>10.0</v>
      </c>
      <c r="B287" s="275" t="s">
        <v>1566</v>
      </c>
      <c r="C287" s="239" t="s">
        <v>109</v>
      </c>
      <c r="D287" s="254">
        <v>1.0</v>
      </c>
      <c r="E287" s="241"/>
      <c r="F287" s="242"/>
      <c r="G287" s="199">
        <v>95000.0</v>
      </c>
      <c r="H287" s="243">
        <f t="shared" si="74"/>
        <v>95000</v>
      </c>
      <c r="I287" s="200">
        <v>105000.0</v>
      </c>
      <c r="J287" s="244">
        <f t="shared" si="75"/>
        <v>105000</v>
      </c>
      <c r="K287" s="250">
        <f t="shared" si="76"/>
        <v>10000</v>
      </c>
      <c r="L287" s="251">
        <f t="shared" si="77"/>
        <v>0.1052631579</v>
      </c>
      <c r="M287" s="247"/>
    </row>
    <row r="288" ht="15.75" customHeight="1">
      <c r="A288" s="239">
        <v>11.0</v>
      </c>
      <c r="B288" s="275" t="s">
        <v>1578</v>
      </c>
      <c r="C288" s="278" t="s">
        <v>1689</v>
      </c>
      <c r="D288" s="254">
        <v>11.4</v>
      </c>
      <c r="E288" s="241"/>
      <c r="F288" s="242"/>
      <c r="G288" s="199">
        <v>21500.0</v>
      </c>
      <c r="H288" s="243">
        <f t="shared" si="74"/>
        <v>245100</v>
      </c>
      <c r="I288" s="200">
        <v>24000.0</v>
      </c>
      <c r="J288" s="244">
        <f t="shared" si="75"/>
        <v>273600</v>
      </c>
      <c r="K288" s="250">
        <f t="shared" si="76"/>
        <v>28500</v>
      </c>
      <c r="L288" s="251">
        <f t="shared" si="77"/>
        <v>0.1162790698</v>
      </c>
      <c r="M288" s="247"/>
    </row>
    <row r="289" ht="15.75" customHeight="1">
      <c r="A289" s="248">
        <v>12.0</v>
      </c>
      <c r="B289" s="275" t="s">
        <v>1601</v>
      </c>
      <c r="C289" s="278" t="s">
        <v>67</v>
      </c>
      <c r="D289" s="254">
        <v>68.0</v>
      </c>
      <c r="E289" s="241"/>
      <c r="F289" s="242"/>
      <c r="G289" s="199">
        <v>12000.0</v>
      </c>
      <c r="H289" s="243">
        <f t="shared" si="74"/>
        <v>816000</v>
      </c>
      <c r="I289" s="200">
        <v>14000.0</v>
      </c>
      <c r="J289" s="244">
        <f t="shared" si="75"/>
        <v>952000</v>
      </c>
      <c r="K289" s="250">
        <f t="shared" si="76"/>
        <v>136000</v>
      </c>
      <c r="L289" s="251">
        <f t="shared" si="77"/>
        <v>0.1666666667</v>
      </c>
      <c r="M289" s="247"/>
    </row>
    <row r="290" ht="15.75" customHeight="1">
      <c r="A290" s="239">
        <v>13.0</v>
      </c>
      <c r="B290" s="275" t="s">
        <v>1944</v>
      </c>
      <c r="C290" s="239" t="s">
        <v>109</v>
      </c>
      <c r="D290" s="254">
        <v>40.0</v>
      </c>
      <c r="E290" s="241"/>
      <c r="F290" s="242"/>
      <c r="G290" s="199">
        <v>7000.0</v>
      </c>
      <c r="H290" s="243">
        <f t="shared" si="74"/>
        <v>280000</v>
      </c>
      <c r="I290" s="200">
        <v>14000.0</v>
      </c>
      <c r="J290" s="244">
        <f t="shared" si="75"/>
        <v>560000</v>
      </c>
      <c r="K290" s="250">
        <f t="shared" si="76"/>
        <v>280000</v>
      </c>
      <c r="L290" s="251">
        <f t="shared" si="77"/>
        <v>1</v>
      </c>
      <c r="M290" s="247"/>
    </row>
    <row r="291" ht="15.75" customHeight="1">
      <c r="A291" s="248">
        <v>14.0</v>
      </c>
      <c r="B291" s="275" t="s">
        <v>1609</v>
      </c>
      <c r="C291" s="239" t="s">
        <v>109</v>
      </c>
      <c r="D291" s="254">
        <v>29.8</v>
      </c>
      <c r="E291" s="241"/>
      <c r="F291" s="242"/>
      <c r="G291" s="199">
        <v>15500.0</v>
      </c>
      <c r="H291" s="243">
        <f t="shared" si="74"/>
        <v>461900</v>
      </c>
      <c r="I291" s="200">
        <v>17000.0</v>
      </c>
      <c r="J291" s="244">
        <f t="shared" si="75"/>
        <v>506600</v>
      </c>
      <c r="K291" s="250">
        <f t="shared" si="76"/>
        <v>44700</v>
      </c>
      <c r="L291" s="251">
        <f t="shared" si="77"/>
        <v>0.09677419355</v>
      </c>
      <c r="M291" s="247"/>
    </row>
    <row r="292" ht="15.75" customHeight="1">
      <c r="A292" s="239">
        <v>15.0</v>
      </c>
      <c r="B292" s="275" t="s">
        <v>1112</v>
      </c>
      <c r="C292" s="239" t="s">
        <v>109</v>
      </c>
      <c r="D292" s="254">
        <v>185.0</v>
      </c>
      <c r="E292" s="241" t="str">
        <f>'Daftar Harga'!D233</f>
        <v/>
      </c>
      <c r="F292" s="242" t="str">
        <f>IF(E292&lt;&gt;"",D293*E292,"")</f>
        <v/>
      </c>
      <c r="G292" s="199">
        <v>18000.0</v>
      </c>
      <c r="H292" s="243">
        <f t="shared" si="74"/>
        <v>3330000</v>
      </c>
      <c r="I292" s="200">
        <v>19000.0</v>
      </c>
      <c r="J292" s="244">
        <f t="shared" si="75"/>
        <v>3515000</v>
      </c>
      <c r="K292" s="250">
        <f t="shared" si="76"/>
        <v>185000</v>
      </c>
      <c r="L292" s="251">
        <f t="shared" si="77"/>
        <v>0.05555555556</v>
      </c>
      <c r="M292" s="247"/>
    </row>
    <row r="293" ht="15.75" customHeight="1">
      <c r="A293" s="248">
        <v>16.0</v>
      </c>
      <c r="B293" s="276" t="s">
        <v>108</v>
      </c>
      <c r="C293" s="239" t="s">
        <v>109</v>
      </c>
      <c r="D293" s="254">
        <v>8.0</v>
      </c>
      <c r="E293" s="241" t="str">
        <f>'Daftar Harga'!D235</f>
        <v/>
      </c>
      <c r="F293" s="242" t="str">
        <f>IF(E293&lt;&gt;"",#REF!*E293,"")</f>
        <v/>
      </c>
      <c r="G293" s="199">
        <v>60000.0</v>
      </c>
      <c r="H293" s="263">
        <f t="shared" si="74"/>
        <v>480000</v>
      </c>
      <c r="I293" s="281">
        <v>72000.0</v>
      </c>
      <c r="J293" s="264">
        <f t="shared" si="75"/>
        <v>576000</v>
      </c>
      <c r="K293" s="250">
        <f t="shared" si="76"/>
        <v>96000</v>
      </c>
      <c r="L293" s="251">
        <f t="shared" si="77"/>
        <v>0.2</v>
      </c>
      <c r="M293" s="252"/>
    </row>
    <row r="294" ht="15.75" customHeight="1">
      <c r="A294" s="272" t="s">
        <v>1708</v>
      </c>
      <c r="B294" s="206"/>
      <c r="C294" s="206"/>
      <c r="D294" s="174"/>
      <c r="E294" s="257"/>
      <c r="F294" s="258">
        <f>SUMIF(F278:F293,"&lt;&gt;",F278:F293)</f>
        <v>0</v>
      </c>
      <c r="G294" s="259"/>
      <c r="H294" s="282">
        <f>SUMIF(H278:H293,"&lt;&gt;",H278:H293)</f>
        <v>12021325</v>
      </c>
      <c r="I294" s="283"/>
      <c r="J294" s="282">
        <f>SUMIF(J278:J293,"&lt;&gt;",J278:J293)</f>
        <v>13634950</v>
      </c>
      <c r="K294" s="261">
        <f t="shared" si="76"/>
        <v>1613625</v>
      </c>
      <c r="L294" s="262">
        <f t="shared" si="77"/>
        <v>0.1342302117</v>
      </c>
      <c r="M294" s="257"/>
    </row>
    <row r="295" ht="15.75" customHeight="1"/>
    <row r="296" ht="15.75" customHeight="1">
      <c r="A296" s="273" t="s">
        <v>2052</v>
      </c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6"/>
    </row>
    <row r="297" ht="15.75" customHeight="1">
      <c r="A297" s="229" t="s">
        <v>1509</v>
      </c>
      <c r="B297" s="229" t="s">
        <v>1510</v>
      </c>
      <c r="C297" s="229" t="s">
        <v>1511</v>
      </c>
      <c r="D297" s="229" t="s">
        <v>1614</v>
      </c>
      <c r="E297" s="230" t="s">
        <v>1615</v>
      </c>
      <c r="F297" s="174"/>
      <c r="G297" s="231" t="s">
        <v>1616</v>
      </c>
      <c r="H297" s="174"/>
      <c r="I297" s="232" t="s">
        <v>1617</v>
      </c>
      <c r="J297" s="174"/>
      <c r="K297" s="233" t="s">
        <v>1618</v>
      </c>
      <c r="L297" s="174"/>
      <c r="M297" s="229" t="s">
        <v>1619</v>
      </c>
    </row>
    <row r="298" ht="15.75" customHeight="1">
      <c r="A298" s="234" t="s">
        <v>1509</v>
      </c>
      <c r="B298" s="234" t="s">
        <v>1510</v>
      </c>
      <c r="C298" s="234" t="s">
        <v>1511</v>
      </c>
      <c r="D298" s="234" t="s">
        <v>1614</v>
      </c>
      <c r="E298" s="235" t="s">
        <v>1620</v>
      </c>
      <c r="F298" s="235" t="s">
        <v>1621</v>
      </c>
      <c r="G298" s="236" t="s">
        <v>1622</v>
      </c>
      <c r="H298" s="236" t="s">
        <v>1623</v>
      </c>
      <c r="I298" s="237" t="s">
        <v>1624</v>
      </c>
      <c r="J298" s="237" t="s">
        <v>1625</v>
      </c>
      <c r="K298" s="238" t="s">
        <v>1626</v>
      </c>
      <c r="L298" s="238" t="s">
        <v>1627</v>
      </c>
      <c r="M298" s="234" t="s">
        <v>1619</v>
      </c>
    </row>
    <row r="299" ht="15.75" customHeight="1">
      <c r="A299" s="239">
        <v>1.0</v>
      </c>
      <c r="B299" s="275" t="s">
        <v>1527</v>
      </c>
      <c r="C299" s="239" t="s">
        <v>109</v>
      </c>
      <c r="D299" s="254">
        <v>50.0</v>
      </c>
      <c r="E299" s="241" t="str">
        <f>'Daftar Harga'!D243</f>
        <v/>
      </c>
      <c r="F299" s="242" t="str">
        <f t="shared" ref="F299:F302" si="78">IF(E299&lt;&gt;"",D299*E299,"")</f>
        <v/>
      </c>
      <c r="G299" s="199">
        <v>14500.0</v>
      </c>
      <c r="H299" s="243">
        <f t="shared" ref="H299:H314" si="79">IF(G299&lt;&gt;"",D299*G299,"")</f>
        <v>725000</v>
      </c>
      <c r="I299" s="200">
        <v>15700.0</v>
      </c>
      <c r="J299" s="244">
        <f t="shared" ref="J299:J314" si="80">IF(I299&lt;&gt;"",D299*I299,"")</f>
        <v>785000</v>
      </c>
      <c r="K299" s="245">
        <f t="shared" ref="K299:K315" si="81">IF(J299&lt;&gt;"",IF(H299&lt;&gt;"",J299-H299,IF(F299&lt;&gt;"",J299-F299,"")),"")</f>
        <v>60000</v>
      </c>
      <c r="L299" s="246">
        <f t="shared" ref="L299:L315" si="82">IF(K299&lt;&gt;"",IF(H299&lt;&gt;"",IF(H299&lt;&gt;0,K299/H299,""),IF(F299&lt;&gt;"",IF(F299&lt;&gt;0,K299/F299,""),"")),"")</f>
        <v>0.08275862069</v>
      </c>
      <c r="M299" s="247"/>
    </row>
    <row r="300" ht="15.75" customHeight="1">
      <c r="A300" s="248">
        <v>2.0</v>
      </c>
      <c r="B300" s="276" t="s">
        <v>2042</v>
      </c>
      <c r="C300" s="239" t="s">
        <v>109</v>
      </c>
      <c r="D300" s="277">
        <v>110.0</v>
      </c>
      <c r="E300" s="241" t="str">
        <f>'Daftar Harga'!D245</f>
        <v/>
      </c>
      <c r="F300" s="242" t="str">
        <f t="shared" si="78"/>
        <v/>
      </c>
      <c r="G300" s="199">
        <v>24500.0</v>
      </c>
      <c r="H300" s="243">
        <f t="shared" si="79"/>
        <v>2695000</v>
      </c>
      <c r="I300" s="200">
        <v>28000.0</v>
      </c>
      <c r="J300" s="244">
        <f t="shared" si="80"/>
        <v>3080000</v>
      </c>
      <c r="K300" s="245">
        <f t="shared" si="81"/>
        <v>385000</v>
      </c>
      <c r="L300" s="246">
        <f t="shared" si="82"/>
        <v>0.1428571429</v>
      </c>
      <c r="M300" s="252"/>
    </row>
    <row r="301" ht="15.75" customHeight="1">
      <c r="A301" s="239">
        <v>3.0</v>
      </c>
      <c r="B301" s="275" t="s">
        <v>1605</v>
      </c>
      <c r="C301" s="239" t="s">
        <v>109</v>
      </c>
      <c r="D301" s="254">
        <v>10.0</v>
      </c>
      <c r="E301" s="241" t="str">
        <f>'Daftar Harga'!D247</f>
        <v/>
      </c>
      <c r="F301" s="242" t="str">
        <f t="shared" si="78"/>
        <v/>
      </c>
      <c r="G301" s="199">
        <v>11250.0</v>
      </c>
      <c r="H301" s="243">
        <f t="shared" si="79"/>
        <v>112500</v>
      </c>
      <c r="I301" s="200">
        <v>12000.0</v>
      </c>
      <c r="J301" s="244">
        <f t="shared" si="80"/>
        <v>120000</v>
      </c>
      <c r="K301" s="245">
        <f t="shared" si="81"/>
        <v>7500</v>
      </c>
      <c r="L301" s="246">
        <f t="shared" si="82"/>
        <v>0.06666666667</v>
      </c>
      <c r="M301" s="247"/>
    </row>
    <row r="302" ht="15.75" customHeight="1">
      <c r="A302" s="248">
        <v>4.0</v>
      </c>
      <c r="B302" s="276" t="s">
        <v>1839</v>
      </c>
      <c r="C302" s="239" t="s">
        <v>109</v>
      </c>
      <c r="D302" s="277">
        <v>20.0</v>
      </c>
      <c r="E302" s="241" t="str">
        <f>'Daftar Harga'!D249</f>
        <v/>
      </c>
      <c r="F302" s="242" t="str">
        <f t="shared" si="78"/>
        <v/>
      </c>
      <c r="G302" s="199">
        <v>14000.0</v>
      </c>
      <c r="H302" s="243">
        <f t="shared" si="79"/>
        <v>280000</v>
      </c>
      <c r="I302" s="200">
        <v>16000.0</v>
      </c>
      <c r="J302" s="244">
        <f t="shared" si="80"/>
        <v>320000</v>
      </c>
      <c r="K302" s="245">
        <f t="shared" si="81"/>
        <v>40000</v>
      </c>
      <c r="L302" s="246">
        <f t="shared" si="82"/>
        <v>0.1428571429</v>
      </c>
      <c r="M302" s="252"/>
    </row>
    <row r="303" ht="15.75" customHeight="1">
      <c r="A303" s="239">
        <v>5.0</v>
      </c>
      <c r="B303" s="275" t="s">
        <v>1543</v>
      </c>
      <c r="C303" s="239" t="s">
        <v>109</v>
      </c>
      <c r="D303" s="254">
        <v>1.0</v>
      </c>
      <c r="E303" s="241"/>
      <c r="F303" s="242"/>
      <c r="G303" s="199">
        <v>8000.0</v>
      </c>
      <c r="H303" s="243">
        <f t="shared" si="79"/>
        <v>8000</v>
      </c>
      <c r="I303" s="200">
        <v>10000.0</v>
      </c>
      <c r="J303" s="244">
        <f t="shared" si="80"/>
        <v>10000</v>
      </c>
      <c r="K303" s="245">
        <f t="shared" si="81"/>
        <v>2000</v>
      </c>
      <c r="L303" s="246">
        <f t="shared" si="82"/>
        <v>0.25</v>
      </c>
      <c r="M303" s="247"/>
    </row>
    <row r="304" ht="15.75" customHeight="1">
      <c r="A304" s="248">
        <v>6.0</v>
      </c>
      <c r="B304" s="275" t="s">
        <v>1566</v>
      </c>
      <c r="C304" s="239" t="s">
        <v>109</v>
      </c>
      <c r="D304" s="254">
        <v>1.0</v>
      </c>
      <c r="E304" s="241"/>
      <c r="F304" s="242"/>
      <c r="G304" s="199">
        <v>95000.0</v>
      </c>
      <c r="H304" s="243">
        <f t="shared" si="79"/>
        <v>95000</v>
      </c>
      <c r="I304" s="200">
        <v>105000.0</v>
      </c>
      <c r="J304" s="244">
        <f t="shared" si="80"/>
        <v>105000</v>
      </c>
      <c r="K304" s="245">
        <f t="shared" si="81"/>
        <v>10000</v>
      </c>
      <c r="L304" s="246">
        <f t="shared" si="82"/>
        <v>0.1052631579</v>
      </c>
      <c r="M304" s="247"/>
    </row>
    <row r="305" ht="15.75" customHeight="1">
      <c r="A305" s="239">
        <v>7.0</v>
      </c>
      <c r="B305" s="275" t="s">
        <v>1578</v>
      </c>
      <c r="C305" s="239" t="s">
        <v>109</v>
      </c>
      <c r="D305" s="254">
        <v>22.85</v>
      </c>
      <c r="E305" s="241"/>
      <c r="F305" s="242"/>
      <c r="G305" s="199">
        <v>21500.0</v>
      </c>
      <c r="H305" s="243">
        <f t="shared" si="79"/>
        <v>491275</v>
      </c>
      <c r="I305" s="200">
        <v>24000.0</v>
      </c>
      <c r="J305" s="244">
        <f t="shared" si="80"/>
        <v>548400</v>
      </c>
      <c r="K305" s="245">
        <f t="shared" si="81"/>
        <v>57125</v>
      </c>
      <c r="L305" s="246">
        <f t="shared" si="82"/>
        <v>0.1162790698</v>
      </c>
      <c r="M305" s="247"/>
    </row>
    <row r="306" ht="15.75" customHeight="1">
      <c r="A306" s="248">
        <v>8.0</v>
      </c>
      <c r="B306" s="275" t="s">
        <v>1601</v>
      </c>
      <c r="C306" s="278" t="s">
        <v>67</v>
      </c>
      <c r="D306" s="254">
        <v>65.0</v>
      </c>
      <c r="E306" s="241"/>
      <c r="F306" s="242"/>
      <c r="G306" s="199">
        <v>12000.0</v>
      </c>
      <c r="H306" s="243">
        <f t="shared" si="79"/>
        <v>780000</v>
      </c>
      <c r="I306" s="200">
        <v>14000.0</v>
      </c>
      <c r="J306" s="244">
        <f t="shared" si="80"/>
        <v>910000</v>
      </c>
      <c r="K306" s="245">
        <f t="shared" si="81"/>
        <v>130000</v>
      </c>
      <c r="L306" s="246">
        <f t="shared" si="82"/>
        <v>0.1666666667</v>
      </c>
      <c r="M306" s="247"/>
    </row>
    <row r="307" ht="15.75" customHeight="1">
      <c r="A307" s="239">
        <v>9.0</v>
      </c>
      <c r="B307" s="275" t="s">
        <v>1567</v>
      </c>
      <c r="C307" s="239" t="s">
        <v>109</v>
      </c>
      <c r="D307" s="254">
        <v>29.78</v>
      </c>
      <c r="E307" s="241"/>
      <c r="F307" s="242"/>
      <c r="G307" s="199">
        <v>7500.0</v>
      </c>
      <c r="H307" s="243">
        <f t="shared" si="79"/>
        <v>223350</v>
      </c>
      <c r="I307" s="200">
        <v>13000.0</v>
      </c>
      <c r="J307" s="244">
        <f t="shared" si="80"/>
        <v>387140</v>
      </c>
      <c r="K307" s="245">
        <f t="shared" si="81"/>
        <v>163790</v>
      </c>
      <c r="L307" s="246">
        <f t="shared" si="82"/>
        <v>0.7333333333</v>
      </c>
      <c r="M307" s="247"/>
    </row>
    <row r="308" ht="15.75" customHeight="1">
      <c r="A308" s="248">
        <v>10.0</v>
      </c>
      <c r="B308" s="275" t="s">
        <v>1609</v>
      </c>
      <c r="C308" s="239" t="s">
        <v>109</v>
      </c>
      <c r="D308" s="254">
        <v>30.25</v>
      </c>
      <c r="E308" s="241"/>
      <c r="F308" s="242"/>
      <c r="G308" s="199">
        <v>15000.0</v>
      </c>
      <c r="H308" s="243">
        <f t="shared" si="79"/>
        <v>453750</v>
      </c>
      <c r="I308" s="200">
        <v>17000.0</v>
      </c>
      <c r="J308" s="244">
        <f t="shared" si="80"/>
        <v>514250</v>
      </c>
      <c r="K308" s="245">
        <f t="shared" si="81"/>
        <v>60500</v>
      </c>
      <c r="L308" s="246">
        <f t="shared" si="82"/>
        <v>0.1333333333</v>
      </c>
      <c r="M308" s="247"/>
    </row>
    <row r="309" ht="15.75" customHeight="1">
      <c r="A309" s="239">
        <v>11.0</v>
      </c>
      <c r="B309" s="275" t="s">
        <v>1522</v>
      </c>
      <c r="C309" s="239" t="s">
        <v>109</v>
      </c>
      <c r="D309" s="254">
        <v>1.0</v>
      </c>
      <c r="E309" s="241"/>
      <c r="F309" s="242"/>
      <c r="G309" s="199">
        <v>28000.0</v>
      </c>
      <c r="H309" s="243">
        <f t="shared" si="79"/>
        <v>28000</v>
      </c>
      <c r="I309" s="200">
        <v>35000.0</v>
      </c>
      <c r="J309" s="244">
        <f t="shared" si="80"/>
        <v>35000</v>
      </c>
      <c r="K309" s="245">
        <f t="shared" si="81"/>
        <v>7000</v>
      </c>
      <c r="L309" s="246">
        <f t="shared" si="82"/>
        <v>0.25</v>
      </c>
      <c r="M309" s="247"/>
    </row>
    <row r="310" ht="15.75" customHeight="1">
      <c r="A310" s="248">
        <v>12.0</v>
      </c>
      <c r="B310" s="275" t="s">
        <v>1935</v>
      </c>
      <c r="C310" s="239" t="s">
        <v>109</v>
      </c>
      <c r="D310" s="254">
        <v>1.0</v>
      </c>
      <c r="E310" s="241"/>
      <c r="F310" s="242"/>
      <c r="G310" s="199">
        <v>40000.0</v>
      </c>
      <c r="H310" s="243">
        <f t="shared" si="79"/>
        <v>40000</v>
      </c>
      <c r="I310" s="200">
        <v>45000.0</v>
      </c>
      <c r="J310" s="244">
        <f t="shared" si="80"/>
        <v>45000</v>
      </c>
      <c r="K310" s="245">
        <f t="shared" si="81"/>
        <v>5000</v>
      </c>
      <c r="L310" s="246">
        <f t="shared" si="82"/>
        <v>0.125</v>
      </c>
      <c r="M310" s="247"/>
    </row>
    <row r="311" ht="15.75" customHeight="1">
      <c r="A311" s="239">
        <v>13.0</v>
      </c>
      <c r="B311" s="275" t="s">
        <v>2053</v>
      </c>
      <c r="C311" s="239" t="s">
        <v>109</v>
      </c>
      <c r="D311" s="254">
        <v>1.0</v>
      </c>
      <c r="E311" s="241"/>
      <c r="F311" s="242"/>
      <c r="G311" s="199">
        <v>47000.0</v>
      </c>
      <c r="H311" s="243">
        <f t="shared" si="79"/>
        <v>47000</v>
      </c>
      <c r="I311" s="200">
        <v>50000.0</v>
      </c>
      <c r="J311" s="244">
        <f t="shared" si="80"/>
        <v>50000</v>
      </c>
      <c r="K311" s="245">
        <f t="shared" si="81"/>
        <v>3000</v>
      </c>
      <c r="L311" s="246">
        <f t="shared" si="82"/>
        <v>0.06382978723</v>
      </c>
      <c r="M311" s="247"/>
    </row>
    <row r="312" ht="15.75" customHeight="1">
      <c r="A312" s="248">
        <v>14.0</v>
      </c>
      <c r="B312" s="275" t="s">
        <v>2054</v>
      </c>
      <c r="C312" s="239" t="s">
        <v>109</v>
      </c>
      <c r="D312" s="254">
        <v>1.0</v>
      </c>
      <c r="E312" s="241"/>
      <c r="F312" s="242"/>
      <c r="G312" s="199">
        <v>47000.0</v>
      </c>
      <c r="H312" s="243">
        <f t="shared" si="79"/>
        <v>47000</v>
      </c>
      <c r="I312" s="200">
        <v>55000.0</v>
      </c>
      <c r="J312" s="244">
        <f t="shared" si="80"/>
        <v>55000</v>
      </c>
      <c r="K312" s="245">
        <f t="shared" si="81"/>
        <v>8000</v>
      </c>
      <c r="L312" s="246">
        <f t="shared" si="82"/>
        <v>0.170212766</v>
      </c>
      <c r="M312" s="247"/>
    </row>
    <row r="313" ht="15.75" customHeight="1">
      <c r="A313" s="239">
        <v>15.0</v>
      </c>
      <c r="B313" s="275" t="s">
        <v>2055</v>
      </c>
      <c r="C313" s="239" t="s">
        <v>109</v>
      </c>
      <c r="D313" s="254">
        <v>1.0</v>
      </c>
      <c r="E313" s="241"/>
      <c r="F313" s="242"/>
      <c r="G313" s="199">
        <v>6000.0</v>
      </c>
      <c r="H313" s="243">
        <f t="shared" si="79"/>
        <v>6000</v>
      </c>
      <c r="I313" s="200">
        <v>8000.0</v>
      </c>
      <c r="J313" s="244">
        <f t="shared" si="80"/>
        <v>8000</v>
      </c>
      <c r="K313" s="245">
        <f t="shared" si="81"/>
        <v>2000</v>
      </c>
      <c r="L313" s="246">
        <f t="shared" si="82"/>
        <v>0.3333333333</v>
      </c>
      <c r="M313" s="247"/>
    </row>
    <row r="314" ht="15.75" customHeight="1">
      <c r="A314" s="248">
        <v>16.0</v>
      </c>
      <c r="B314" s="275" t="s">
        <v>1651</v>
      </c>
      <c r="C314" s="239" t="s">
        <v>109</v>
      </c>
      <c r="D314" s="254">
        <v>160.0</v>
      </c>
      <c r="E314" s="241"/>
      <c r="F314" s="242"/>
      <c r="G314" s="199">
        <v>18000.0</v>
      </c>
      <c r="H314" s="243">
        <f t="shared" si="79"/>
        <v>2880000</v>
      </c>
      <c r="I314" s="200">
        <v>22000.0</v>
      </c>
      <c r="J314" s="244">
        <f t="shared" si="80"/>
        <v>3520000</v>
      </c>
      <c r="K314" s="245">
        <f t="shared" si="81"/>
        <v>640000</v>
      </c>
      <c r="L314" s="246">
        <f t="shared" si="82"/>
        <v>0.2222222222</v>
      </c>
      <c r="M314" s="247"/>
    </row>
    <row r="315" ht="15.75" customHeight="1">
      <c r="A315" s="272" t="s">
        <v>1715</v>
      </c>
      <c r="B315" s="206"/>
      <c r="C315" s="206"/>
      <c r="D315" s="174"/>
      <c r="E315" s="257"/>
      <c r="F315" s="258">
        <f>SUMIF(F299:F314,"&lt;&gt;",F299:F314)</f>
        <v>0</v>
      </c>
      <c r="G315" s="259"/>
      <c r="H315" s="282">
        <f>SUMIF(H299:H314,"&lt;&gt;",H299:H314)</f>
        <v>8911875</v>
      </c>
      <c r="I315" s="283"/>
      <c r="J315" s="282">
        <f>SUMIF(J299:J314,"&lt;&gt;",J299:J314)</f>
        <v>10492790</v>
      </c>
      <c r="K315" s="261">
        <f t="shared" si="81"/>
        <v>1580915</v>
      </c>
      <c r="L315" s="262">
        <f t="shared" si="82"/>
        <v>0.1773942072</v>
      </c>
      <c r="M315" s="257"/>
    </row>
    <row r="316" ht="15.75" customHeight="1"/>
    <row r="317" ht="15.75" customHeight="1">
      <c r="A317" s="273" t="s">
        <v>2056</v>
      </c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6"/>
    </row>
    <row r="318" ht="15.75" customHeight="1">
      <c r="A318" s="229" t="s">
        <v>1509</v>
      </c>
      <c r="B318" s="229" t="s">
        <v>1510</v>
      </c>
      <c r="C318" s="229" t="s">
        <v>1511</v>
      </c>
      <c r="D318" s="229" t="s">
        <v>1614</v>
      </c>
      <c r="E318" s="230" t="s">
        <v>1615</v>
      </c>
      <c r="F318" s="174"/>
      <c r="G318" s="231" t="s">
        <v>1616</v>
      </c>
      <c r="H318" s="174"/>
      <c r="I318" s="232" t="s">
        <v>1617</v>
      </c>
      <c r="J318" s="174"/>
      <c r="K318" s="233" t="s">
        <v>1618</v>
      </c>
      <c r="L318" s="174"/>
      <c r="M318" s="229" t="s">
        <v>1619</v>
      </c>
    </row>
    <row r="319" ht="15.75" customHeight="1">
      <c r="A319" s="234" t="s">
        <v>1509</v>
      </c>
      <c r="B319" s="234" t="s">
        <v>1510</v>
      </c>
      <c r="C319" s="234" t="s">
        <v>1511</v>
      </c>
      <c r="D319" s="234" t="s">
        <v>1614</v>
      </c>
      <c r="E319" s="235" t="s">
        <v>1620</v>
      </c>
      <c r="F319" s="235" t="s">
        <v>1621</v>
      </c>
      <c r="G319" s="236" t="s">
        <v>1622</v>
      </c>
      <c r="H319" s="236" t="s">
        <v>1623</v>
      </c>
      <c r="I319" s="237" t="s">
        <v>1624</v>
      </c>
      <c r="J319" s="237" t="s">
        <v>1625</v>
      </c>
      <c r="K319" s="238" t="s">
        <v>1626</v>
      </c>
      <c r="L319" s="238" t="s">
        <v>1627</v>
      </c>
      <c r="M319" s="234" t="s">
        <v>1619</v>
      </c>
    </row>
    <row r="320" ht="15.75" customHeight="1">
      <c r="A320" s="239">
        <v>1.0</v>
      </c>
      <c r="B320" s="275" t="s">
        <v>1527</v>
      </c>
      <c r="C320" s="239" t="s">
        <v>109</v>
      </c>
      <c r="D320" s="254">
        <v>75.0</v>
      </c>
      <c r="E320" s="241" t="str">
        <f>'Daftar Harga'!D264</f>
        <v/>
      </c>
      <c r="F320" s="242" t="str">
        <f t="shared" ref="F320:F323" si="83">IF(E320&lt;&gt;"",D320*E320,"")</f>
        <v/>
      </c>
      <c r="G320" s="199">
        <v>14500.0</v>
      </c>
      <c r="H320" s="243">
        <f t="shared" ref="H320:H339" si="84">IF(G320&lt;&gt;"",D320*G320,"")</f>
        <v>1087500</v>
      </c>
      <c r="I320" s="200">
        <v>15700.0</v>
      </c>
      <c r="J320" s="244">
        <f t="shared" ref="J320:J339" si="85">IF(I320&lt;&gt;"",D320*I320,"")</f>
        <v>1177500</v>
      </c>
      <c r="K320" s="245">
        <f t="shared" ref="K320:K340" si="86">IF(J320&lt;&gt;"",IF(H320&lt;&gt;"",J320-H320,IF(F320&lt;&gt;"",J320-F320,"")),"")</f>
        <v>90000</v>
      </c>
      <c r="L320" s="246">
        <f t="shared" ref="L320:L340" si="87">IF(K320&lt;&gt;"",IF(H320&lt;&gt;"",IF(H320&lt;&gt;0,K320/H320,""),IF(F320&lt;&gt;"",IF(F320&lt;&gt;0,K320/F320,""),"")),"")</f>
        <v>0.08275862069</v>
      </c>
      <c r="M320" s="247"/>
    </row>
    <row r="321" ht="15.75" customHeight="1">
      <c r="A321" s="248">
        <v>2.0</v>
      </c>
      <c r="B321" s="276" t="s">
        <v>1117</v>
      </c>
      <c r="C321" s="239" t="s">
        <v>109</v>
      </c>
      <c r="D321" s="277">
        <v>80.0</v>
      </c>
      <c r="E321" s="241" t="str">
        <f>'Daftar Harga'!D266</f>
        <v/>
      </c>
      <c r="F321" s="242" t="str">
        <f t="shared" si="83"/>
        <v/>
      </c>
      <c r="G321" s="199">
        <v>43000.0</v>
      </c>
      <c r="H321" s="243">
        <f t="shared" si="84"/>
        <v>3440000</v>
      </c>
      <c r="I321" s="200">
        <v>48000.0</v>
      </c>
      <c r="J321" s="244">
        <f t="shared" si="85"/>
        <v>3840000</v>
      </c>
      <c r="K321" s="245">
        <f t="shared" si="86"/>
        <v>400000</v>
      </c>
      <c r="L321" s="246">
        <f t="shared" si="87"/>
        <v>0.1162790698</v>
      </c>
      <c r="M321" s="252"/>
    </row>
    <row r="322" ht="15.75" customHeight="1">
      <c r="A322" s="239">
        <v>3.0</v>
      </c>
      <c r="B322" s="275" t="s">
        <v>1846</v>
      </c>
      <c r="C322" s="278" t="s">
        <v>1557</v>
      </c>
      <c r="D322" s="254">
        <v>4.0</v>
      </c>
      <c r="E322" s="241" t="str">
        <f>'Daftar Harga'!D268</f>
        <v/>
      </c>
      <c r="F322" s="242" t="str">
        <f t="shared" si="83"/>
        <v/>
      </c>
      <c r="G322" s="199">
        <v>52000.0</v>
      </c>
      <c r="H322" s="243">
        <f t="shared" si="84"/>
        <v>208000</v>
      </c>
      <c r="I322" s="200">
        <v>55000.0</v>
      </c>
      <c r="J322" s="244">
        <f t="shared" si="85"/>
        <v>220000</v>
      </c>
      <c r="K322" s="245">
        <f t="shared" si="86"/>
        <v>12000</v>
      </c>
      <c r="L322" s="246">
        <f t="shared" si="87"/>
        <v>0.05769230769</v>
      </c>
      <c r="M322" s="247"/>
    </row>
    <row r="323" ht="15.75" customHeight="1">
      <c r="A323" s="248">
        <v>4.0</v>
      </c>
      <c r="B323" s="276" t="s">
        <v>2057</v>
      </c>
      <c r="C323" s="278" t="s">
        <v>1824</v>
      </c>
      <c r="D323" s="277">
        <v>2.0</v>
      </c>
      <c r="E323" s="241" t="str">
        <f>'Daftar Harga'!D270</f>
        <v/>
      </c>
      <c r="F323" s="242" t="str">
        <f t="shared" si="83"/>
        <v/>
      </c>
      <c r="G323" s="199">
        <v>48000.0</v>
      </c>
      <c r="H323" s="243">
        <f t="shared" si="84"/>
        <v>96000</v>
      </c>
      <c r="I323" s="200">
        <v>51000.0</v>
      </c>
      <c r="J323" s="244">
        <f t="shared" si="85"/>
        <v>102000</v>
      </c>
      <c r="K323" s="245">
        <f t="shared" si="86"/>
        <v>6000</v>
      </c>
      <c r="L323" s="246">
        <f t="shared" si="87"/>
        <v>0.0625</v>
      </c>
      <c r="M323" s="252"/>
    </row>
    <row r="324" ht="15.75" customHeight="1">
      <c r="A324" s="239">
        <v>5.0</v>
      </c>
      <c r="B324" s="275" t="s">
        <v>1522</v>
      </c>
      <c r="C324" s="239" t="s">
        <v>109</v>
      </c>
      <c r="D324" s="254">
        <v>1.0</v>
      </c>
      <c r="E324" s="241"/>
      <c r="F324" s="242"/>
      <c r="G324" s="199">
        <v>28000.0</v>
      </c>
      <c r="H324" s="243">
        <f t="shared" si="84"/>
        <v>28000</v>
      </c>
      <c r="I324" s="200">
        <v>35000.0</v>
      </c>
      <c r="J324" s="244">
        <f t="shared" si="85"/>
        <v>35000</v>
      </c>
      <c r="K324" s="245">
        <f t="shared" si="86"/>
        <v>7000</v>
      </c>
      <c r="L324" s="246">
        <f t="shared" si="87"/>
        <v>0.25</v>
      </c>
      <c r="M324" s="247"/>
    </row>
    <row r="325" ht="15.75" customHeight="1">
      <c r="A325" s="248">
        <v>6.0</v>
      </c>
      <c r="B325" s="275" t="s">
        <v>1674</v>
      </c>
      <c r="C325" s="239" t="s">
        <v>109</v>
      </c>
      <c r="D325" s="254">
        <v>1.0</v>
      </c>
      <c r="E325" s="241"/>
      <c r="F325" s="242"/>
      <c r="G325" s="199">
        <v>35000.0</v>
      </c>
      <c r="H325" s="243">
        <f t="shared" si="84"/>
        <v>35000</v>
      </c>
      <c r="I325" s="200">
        <v>70000.0</v>
      </c>
      <c r="J325" s="244">
        <f t="shared" si="85"/>
        <v>70000</v>
      </c>
      <c r="K325" s="245">
        <f t="shared" si="86"/>
        <v>35000</v>
      </c>
      <c r="L325" s="246">
        <f t="shared" si="87"/>
        <v>1</v>
      </c>
      <c r="M325" s="247"/>
    </row>
    <row r="326" ht="15.75" customHeight="1">
      <c r="A326" s="239">
        <v>7.0</v>
      </c>
      <c r="B326" s="275" t="s">
        <v>1935</v>
      </c>
      <c r="C326" s="239" t="s">
        <v>109</v>
      </c>
      <c r="D326" s="254">
        <v>3.85</v>
      </c>
      <c r="E326" s="241"/>
      <c r="F326" s="242"/>
      <c r="G326" s="199">
        <v>40000.0</v>
      </c>
      <c r="H326" s="243">
        <f t="shared" si="84"/>
        <v>154000</v>
      </c>
      <c r="I326" s="200">
        <v>40000.0</v>
      </c>
      <c r="J326" s="244">
        <f t="shared" si="85"/>
        <v>154000</v>
      </c>
      <c r="K326" s="245">
        <f t="shared" si="86"/>
        <v>0</v>
      </c>
      <c r="L326" s="246">
        <f t="shared" si="87"/>
        <v>0</v>
      </c>
      <c r="M326" s="247"/>
    </row>
    <row r="327" ht="15.75" customHeight="1">
      <c r="A327" s="248">
        <v>8.0</v>
      </c>
      <c r="B327" s="275" t="s">
        <v>2058</v>
      </c>
      <c r="C327" s="239" t="s">
        <v>109</v>
      </c>
      <c r="D327" s="254">
        <v>2.0</v>
      </c>
      <c r="E327" s="241"/>
      <c r="F327" s="242"/>
      <c r="G327" s="199">
        <v>60000.0</v>
      </c>
      <c r="H327" s="243">
        <f t="shared" si="84"/>
        <v>120000</v>
      </c>
      <c r="I327" s="200">
        <v>60000.0</v>
      </c>
      <c r="J327" s="244">
        <f t="shared" si="85"/>
        <v>120000</v>
      </c>
      <c r="K327" s="245">
        <f t="shared" si="86"/>
        <v>0</v>
      </c>
      <c r="L327" s="246">
        <f t="shared" si="87"/>
        <v>0</v>
      </c>
      <c r="M327" s="247"/>
    </row>
    <row r="328" ht="15.75" customHeight="1">
      <c r="A328" s="248">
        <v>9.0</v>
      </c>
      <c r="B328" s="275" t="s">
        <v>1642</v>
      </c>
      <c r="C328" s="239" t="s">
        <v>109</v>
      </c>
      <c r="D328" s="254">
        <v>1.0</v>
      </c>
      <c r="E328" s="241"/>
      <c r="F328" s="242"/>
      <c r="G328" s="199">
        <v>16000.0</v>
      </c>
      <c r="H328" s="243">
        <f t="shared" si="84"/>
        <v>16000</v>
      </c>
      <c r="I328" s="200">
        <v>17000.0</v>
      </c>
      <c r="J328" s="244">
        <f t="shared" si="85"/>
        <v>17000</v>
      </c>
      <c r="K328" s="245">
        <f t="shared" si="86"/>
        <v>1000</v>
      </c>
      <c r="L328" s="246">
        <f t="shared" si="87"/>
        <v>0.0625</v>
      </c>
      <c r="M328" s="247"/>
    </row>
    <row r="329" ht="15.75" customHeight="1">
      <c r="A329" s="239">
        <v>10.0</v>
      </c>
      <c r="B329" s="275" t="s">
        <v>1543</v>
      </c>
      <c r="C329" s="239" t="s">
        <v>109</v>
      </c>
      <c r="D329" s="254">
        <v>2.0</v>
      </c>
      <c r="E329" s="241"/>
      <c r="F329" s="242"/>
      <c r="G329" s="199">
        <v>8000.0</v>
      </c>
      <c r="H329" s="243">
        <f t="shared" si="84"/>
        <v>16000</v>
      </c>
      <c r="I329" s="200">
        <v>10000.0</v>
      </c>
      <c r="J329" s="244">
        <f t="shared" si="85"/>
        <v>20000</v>
      </c>
      <c r="K329" s="245">
        <f t="shared" si="86"/>
        <v>4000</v>
      </c>
      <c r="L329" s="246">
        <f t="shared" si="87"/>
        <v>0.25</v>
      </c>
      <c r="M329" s="247"/>
    </row>
    <row r="330" ht="15.75" customHeight="1">
      <c r="A330" s="248">
        <v>11.0</v>
      </c>
      <c r="B330" s="275" t="s">
        <v>2021</v>
      </c>
      <c r="C330" s="239" t="s">
        <v>109</v>
      </c>
      <c r="D330" s="254">
        <v>1.95</v>
      </c>
      <c r="E330" s="241"/>
      <c r="F330" s="242"/>
      <c r="G330" s="199">
        <v>18500.0</v>
      </c>
      <c r="H330" s="243">
        <f t="shared" si="84"/>
        <v>36075</v>
      </c>
      <c r="I330" s="200">
        <v>20000.0</v>
      </c>
      <c r="J330" s="244">
        <f t="shared" si="85"/>
        <v>39000</v>
      </c>
      <c r="K330" s="245">
        <f t="shared" si="86"/>
        <v>2925</v>
      </c>
      <c r="L330" s="246">
        <f t="shared" si="87"/>
        <v>0.08108108108</v>
      </c>
      <c r="M330" s="247"/>
    </row>
    <row r="331" ht="15.75" customHeight="1">
      <c r="A331" s="248">
        <v>12.0</v>
      </c>
      <c r="B331" s="275" t="s">
        <v>1566</v>
      </c>
      <c r="C331" s="239" t="s">
        <v>109</v>
      </c>
      <c r="D331" s="254">
        <v>2.0</v>
      </c>
      <c r="E331" s="241"/>
      <c r="F331" s="242"/>
      <c r="G331" s="199">
        <v>95000.0</v>
      </c>
      <c r="H331" s="243">
        <f t="shared" si="84"/>
        <v>190000</v>
      </c>
      <c r="I331" s="200">
        <v>105000.0</v>
      </c>
      <c r="J331" s="244">
        <f t="shared" si="85"/>
        <v>210000</v>
      </c>
      <c r="K331" s="245">
        <f t="shared" si="86"/>
        <v>20000</v>
      </c>
      <c r="L331" s="246">
        <f t="shared" si="87"/>
        <v>0.1052631579</v>
      </c>
      <c r="M331" s="247"/>
    </row>
    <row r="332" ht="15.75" customHeight="1">
      <c r="A332" s="239">
        <v>13.0</v>
      </c>
      <c r="B332" s="275" t="s">
        <v>1578</v>
      </c>
      <c r="C332" s="239" t="s">
        <v>109</v>
      </c>
      <c r="D332" s="254">
        <v>26.45</v>
      </c>
      <c r="E332" s="241"/>
      <c r="F332" s="242"/>
      <c r="G332" s="199">
        <v>21750.0</v>
      </c>
      <c r="H332" s="243">
        <f t="shared" si="84"/>
        <v>575287.5</v>
      </c>
      <c r="I332" s="200">
        <v>24000.0</v>
      </c>
      <c r="J332" s="244">
        <f t="shared" si="85"/>
        <v>634800</v>
      </c>
      <c r="K332" s="245">
        <f t="shared" si="86"/>
        <v>59512.5</v>
      </c>
      <c r="L332" s="246">
        <f t="shared" si="87"/>
        <v>0.1034482759</v>
      </c>
      <c r="M332" s="247"/>
    </row>
    <row r="333" ht="15.75" customHeight="1">
      <c r="A333" s="248">
        <v>14.0</v>
      </c>
      <c r="B333" s="275" t="s">
        <v>1534</v>
      </c>
      <c r="C333" s="239" t="s">
        <v>109</v>
      </c>
      <c r="D333" s="254">
        <v>28.2</v>
      </c>
      <c r="E333" s="241"/>
      <c r="F333" s="242"/>
      <c r="G333" s="199">
        <v>10000.0</v>
      </c>
      <c r="H333" s="243">
        <f t="shared" si="84"/>
        <v>282000</v>
      </c>
      <c r="I333" s="200">
        <v>13000.0</v>
      </c>
      <c r="J333" s="244">
        <f t="shared" si="85"/>
        <v>366600</v>
      </c>
      <c r="K333" s="245">
        <f t="shared" si="86"/>
        <v>84600</v>
      </c>
      <c r="L333" s="246">
        <f t="shared" si="87"/>
        <v>0.3</v>
      </c>
      <c r="M333" s="247"/>
    </row>
    <row r="334" ht="15.75" customHeight="1">
      <c r="A334" s="248">
        <v>15.0</v>
      </c>
      <c r="B334" s="275" t="s">
        <v>1609</v>
      </c>
      <c r="C334" s="239" t="s">
        <v>109</v>
      </c>
      <c r="D334" s="254">
        <v>30.0</v>
      </c>
      <c r="E334" s="241"/>
      <c r="F334" s="242"/>
      <c r="G334" s="199">
        <v>16000.0</v>
      </c>
      <c r="H334" s="243">
        <f t="shared" si="84"/>
        <v>480000</v>
      </c>
      <c r="I334" s="200">
        <v>17000.0</v>
      </c>
      <c r="J334" s="244">
        <f t="shared" si="85"/>
        <v>510000</v>
      </c>
      <c r="K334" s="245">
        <f t="shared" si="86"/>
        <v>30000</v>
      </c>
      <c r="L334" s="246">
        <f t="shared" si="87"/>
        <v>0.0625</v>
      </c>
      <c r="M334" s="247"/>
    </row>
    <row r="335" ht="15.75" customHeight="1">
      <c r="A335" s="239">
        <v>16.0</v>
      </c>
      <c r="B335" s="275" t="s">
        <v>1601</v>
      </c>
      <c r="C335" s="278" t="s">
        <v>67</v>
      </c>
      <c r="D335" s="254">
        <v>65.0</v>
      </c>
      <c r="E335" s="241"/>
      <c r="F335" s="242"/>
      <c r="G335" s="199">
        <v>12000.0</v>
      </c>
      <c r="H335" s="243">
        <f t="shared" si="84"/>
        <v>780000</v>
      </c>
      <c r="I335" s="200">
        <v>14000.0</v>
      </c>
      <c r="J335" s="244">
        <f t="shared" si="85"/>
        <v>910000</v>
      </c>
      <c r="K335" s="245">
        <f t="shared" si="86"/>
        <v>130000</v>
      </c>
      <c r="L335" s="246">
        <f t="shared" si="87"/>
        <v>0.1666666667</v>
      </c>
      <c r="M335" s="247"/>
    </row>
    <row r="336" ht="15.75" customHeight="1">
      <c r="A336" s="248">
        <v>17.0</v>
      </c>
      <c r="B336" s="275" t="s">
        <v>1603</v>
      </c>
      <c r="C336" s="239" t="s">
        <v>109</v>
      </c>
      <c r="D336" s="254">
        <v>4.0</v>
      </c>
      <c r="E336" s="241"/>
      <c r="F336" s="242"/>
      <c r="G336" s="199">
        <v>24000.0</v>
      </c>
      <c r="H336" s="243">
        <f t="shared" si="84"/>
        <v>96000</v>
      </c>
      <c r="I336" s="200">
        <v>26000.0</v>
      </c>
      <c r="J336" s="244">
        <f t="shared" si="85"/>
        <v>104000</v>
      </c>
      <c r="K336" s="245">
        <f t="shared" si="86"/>
        <v>8000</v>
      </c>
      <c r="L336" s="246">
        <f t="shared" si="87"/>
        <v>0.08333333333</v>
      </c>
      <c r="M336" s="247"/>
    </row>
    <row r="337" ht="15.75" customHeight="1">
      <c r="A337" s="248">
        <v>18.0</v>
      </c>
      <c r="B337" s="275" t="s">
        <v>1604</v>
      </c>
      <c r="C337" s="239" t="s">
        <v>109</v>
      </c>
      <c r="D337" s="254">
        <v>5.0</v>
      </c>
      <c r="E337" s="241"/>
      <c r="F337" s="242"/>
      <c r="G337" s="199">
        <v>14000.0</v>
      </c>
      <c r="H337" s="243">
        <f t="shared" si="84"/>
        <v>70000</v>
      </c>
      <c r="I337" s="200">
        <v>14000.0</v>
      </c>
      <c r="J337" s="244">
        <f t="shared" si="85"/>
        <v>70000</v>
      </c>
      <c r="K337" s="245">
        <f t="shared" si="86"/>
        <v>0</v>
      </c>
      <c r="L337" s="246">
        <f t="shared" si="87"/>
        <v>0</v>
      </c>
      <c r="M337" s="247"/>
    </row>
    <row r="338" ht="15.75" customHeight="1">
      <c r="A338" s="239">
        <v>19.0</v>
      </c>
      <c r="B338" s="275" t="s">
        <v>1605</v>
      </c>
      <c r="C338" s="239" t="s">
        <v>109</v>
      </c>
      <c r="D338" s="254">
        <v>2.0</v>
      </c>
      <c r="E338" s="241"/>
      <c r="F338" s="242"/>
      <c r="G338" s="199">
        <v>11250.0</v>
      </c>
      <c r="H338" s="243">
        <f t="shared" si="84"/>
        <v>22500</v>
      </c>
      <c r="I338" s="200">
        <v>12000.0</v>
      </c>
      <c r="J338" s="244">
        <f t="shared" si="85"/>
        <v>24000</v>
      </c>
      <c r="K338" s="245">
        <f t="shared" si="86"/>
        <v>1500</v>
      </c>
      <c r="L338" s="246">
        <f t="shared" si="87"/>
        <v>0.06666666667</v>
      </c>
      <c r="M338" s="247"/>
    </row>
    <row r="339" ht="15.75" customHeight="1">
      <c r="A339" s="248">
        <v>20.0</v>
      </c>
      <c r="B339" s="275" t="s">
        <v>1112</v>
      </c>
      <c r="C339" s="239" t="s">
        <v>109</v>
      </c>
      <c r="D339" s="254">
        <v>166.0</v>
      </c>
      <c r="E339" s="241"/>
      <c r="F339" s="242"/>
      <c r="G339" s="199">
        <v>18000.0</v>
      </c>
      <c r="H339" s="243">
        <f t="shared" si="84"/>
        <v>2988000</v>
      </c>
      <c r="I339" s="200">
        <v>19500.0</v>
      </c>
      <c r="J339" s="244">
        <f t="shared" si="85"/>
        <v>3237000</v>
      </c>
      <c r="K339" s="245">
        <f t="shared" si="86"/>
        <v>249000</v>
      </c>
      <c r="L339" s="246">
        <f t="shared" si="87"/>
        <v>0.08333333333</v>
      </c>
      <c r="M339" s="247"/>
    </row>
    <row r="340" ht="15.75" customHeight="1">
      <c r="A340" s="272" t="s">
        <v>1721</v>
      </c>
      <c r="B340" s="206"/>
      <c r="C340" s="206"/>
      <c r="D340" s="174"/>
      <c r="E340" s="257"/>
      <c r="F340" s="258">
        <f>SUMIF(F320:F339,"&lt;&gt;",F320:F339)</f>
        <v>0</v>
      </c>
      <c r="G340" s="259"/>
      <c r="H340" s="282">
        <f>SUMIF(H320:H339,"&lt;&gt;",H320:H339)</f>
        <v>10720362.5</v>
      </c>
      <c r="I340" s="283"/>
      <c r="J340" s="282">
        <f>SUMIF(J320:J339,"&lt;&gt;",J320:J339)</f>
        <v>11860900</v>
      </c>
      <c r="K340" s="261">
        <f t="shared" si="86"/>
        <v>1140537.5</v>
      </c>
      <c r="L340" s="262">
        <f t="shared" si="87"/>
        <v>0.1063898259</v>
      </c>
      <c r="M340" s="257"/>
    </row>
    <row r="341" ht="15.75" customHeight="1"/>
    <row r="342" ht="15.75" customHeight="1">
      <c r="A342" s="273" t="s">
        <v>1722</v>
      </c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6"/>
    </row>
    <row r="343" ht="15.75" customHeight="1">
      <c r="A343" s="229" t="s">
        <v>1509</v>
      </c>
      <c r="B343" s="229" t="s">
        <v>1510</v>
      </c>
      <c r="C343" s="229" t="s">
        <v>1511</v>
      </c>
      <c r="D343" s="229" t="s">
        <v>1614</v>
      </c>
      <c r="E343" s="230" t="s">
        <v>1615</v>
      </c>
      <c r="F343" s="174"/>
      <c r="G343" s="231" t="s">
        <v>1616</v>
      </c>
      <c r="H343" s="174"/>
      <c r="I343" s="232" t="s">
        <v>1617</v>
      </c>
      <c r="J343" s="174"/>
      <c r="K343" s="233" t="s">
        <v>1618</v>
      </c>
      <c r="L343" s="174"/>
      <c r="M343" s="229" t="s">
        <v>1619</v>
      </c>
    </row>
    <row r="344" ht="15.75" customHeight="1">
      <c r="A344" s="234" t="s">
        <v>1509</v>
      </c>
      <c r="B344" s="234" t="s">
        <v>1510</v>
      </c>
      <c r="C344" s="234" t="s">
        <v>1511</v>
      </c>
      <c r="D344" s="234" t="s">
        <v>1614</v>
      </c>
      <c r="E344" s="235" t="s">
        <v>1620</v>
      </c>
      <c r="F344" s="235" t="s">
        <v>1621</v>
      </c>
      <c r="G344" s="236" t="s">
        <v>1622</v>
      </c>
      <c r="H344" s="236" t="s">
        <v>1623</v>
      </c>
      <c r="I344" s="237" t="s">
        <v>1624</v>
      </c>
      <c r="J344" s="237" t="s">
        <v>1625</v>
      </c>
      <c r="K344" s="238" t="s">
        <v>1626</v>
      </c>
      <c r="L344" s="238" t="s">
        <v>1627</v>
      </c>
      <c r="M344" s="234" t="s">
        <v>1619</v>
      </c>
    </row>
    <row r="345" ht="15.75" customHeight="1">
      <c r="A345" s="239">
        <v>1.0</v>
      </c>
      <c r="B345" s="275" t="s">
        <v>1527</v>
      </c>
      <c r="C345" s="239" t="s">
        <v>109</v>
      </c>
      <c r="D345" s="254">
        <v>75.0</v>
      </c>
      <c r="E345" s="241" t="str">
        <f>'Daftar Harga'!D289</f>
        <v/>
      </c>
      <c r="F345" s="242" t="str">
        <f t="shared" ref="F345:F348" si="88">IF(E345&lt;&gt;"",D345*E345,"")</f>
        <v/>
      </c>
      <c r="G345" s="199">
        <v>14500.0</v>
      </c>
      <c r="H345" s="243">
        <f t="shared" ref="H345:H361" si="89">IF(G345&lt;&gt;"",D345*G345,"")</f>
        <v>1087500</v>
      </c>
      <c r="I345" s="200">
        <v>15700.0</v>
      </c>
      <c r="J345" s="244">
        <f t="shared" ref="J345:J361" si="90">IF(I345&lt;&gt;"",D345*I345,"")</f>
        <v>1177500</v>
      </c>
      <c r="K345" s="245">
        <f t="shared" ref="K345:K362" si="91">IF(J345&lt;&gt;"",IF(H345&lt;&gt;"",J345-H345,IF(F345&lt;&gt;"",J345-F345,"")),"")</f>
        <v>90000</v>
      </c>
      <c r="L345" s="246">
        <f t="shared" ref="L345:L362" si="92">IF(K345&lt;&gt;"",IF(H345&lt;&gt;"",IF(H345&lt;&gt;0,K345/H345,""),IF(F345&lt;&gt;"",IF(F345&lt;&gt;0,K345/F345,""),"")),"")</f>
        <v>0.08275862069</v>
      </c>
      <c r="M345" s="247"/>
    </row>
    <row r="346" ht="15.75" customHeight="1">
      <c r="A346" s="248">
        <v>2.0</v>
      </c>
      <c r="B346" s="276" t="s">
        <v>1400</v>
      </c>
      <c r="C346" s="239" t="s">
        <v>109</v>
      </c>
      <c r="D346" s="277">
        <v>110.0</v>
      </c>
      <c r="E346" s="241" t="str">
        <f>'Daftar Harga'!D291</f>
        <v/>
      </c>
      <c r="F346" s="242" t="str">
        <f t="shared" si="88"/>
        <v/>
      </c>
      <c r="G346" s="199">
        <v>24500.0</v>
      </c>
      <c r="H346" s="243">
        <f t="shared" si="89"/>
        <v>2695000</v>
      </c>
      <c r="I346" s="200">
        <v>28000.0</v>
      </c>
      <c r="J346" s="244">
        <f t="shared" si="90"/>
        <v>3080000</v>
      </c>
      <c r="K346" s="250">
        <f t="shared" si="91"/>
        <v>385000</v>
      </c>
      <c r="L346" s="251">
        <f t="shared" si="92"/>
        <v>0.1428571429</v>
      </c>
      <c r="M346" s="252"/>
    </row>
    <row r="347" ht="15.75" customHeight="1">
      <c r="A347" s="239">
        <v>3.0</v>
      </c>
      <c r="B347" s="275" t="s">
        <v>1674</v>
      </c>
      <c r="C347" s="239" t="s">
        <v>109</v>
      </c>
      <c r="D347" s="254">
        <v>4.0</v>
      </c>
      <c r="E347" s="241" t="str">
        <f>'Daftar Harga'!D293</f>
        <v/>
      </c>
      <c r="F347" s="242" t="str">
        <f t="shared" si="88"/>
        <v/>
      </c>
      <c r="G347" s="199">
        <v>32000.0</v>
      </c>
      <c r="H347" s="243">
        <f t="shared" si="89"/>
        <v>128000</v>
      </c>
      <c r="I347" s="200">
        <v>36000.0</v>
      </c>
      <c r="J347" s="244">
        <f t="shared" si="90"/>
        <v>144000</v>
      </c>
      <c r="K347" s="245">
        <f t="shared" si="91"/>
        <v>16000</v>
      </c>
      <c r="L347" s="246">
        <f t="shared" si="92"/>
        <v>0.125</v>
      </c>
      <c r="M347" s="247"/>
    </row>
    <row r="348" ht="15.75" customHeight="1">
      <c r="A348" s="248">
        <v>4.0</v>
      </c>
      <c r="B348" s="276" t="s">
        <v>2059</v>
      </c>
      <c r="C348" s="239" t="s">
        <v>109</v>
      </c>
      <c r="D348" s="277">
        <v>4.0</v>
      </c>
      <c r="E348" s="241" t="str">
        <f>'Daftar Harga'!D295</f>
        <v/>
      </c>
      <c r="F348" s="242" t="str">
        <f t="shared" si="88"/>
        <v/>
      </c>
      <c r="G348" s="199">
        <v>22000.0</v>
      </c>
      <c r="H348" s="243">
        <f t="shared" si="89"/>
        <v>88000</v>
      </c>
      <c r="I348" s="200">
        <v>25000.0</v>
      </c>
      <c r="J348" s="244">
        <f t="shared" si="90"/>
        <v>100000</v>
      </c>
      <c r="K348" s="250">
        <f t="shared" si="91"/>
        <v>12000</v>
      </c>
      <c r="L348" s="251">
        <f t="shared" si="92"/>
        <v>0.1363636364</v>
      </c>
      <c r="M348" s="252"/>
    </row>
    <row r="349" ht="15.75" customHeight="1">
      <c r="A349" s="239">
        <v>5.0</v>
      </c>
      <c r="B349" s="275" t="s">
        <v>1934</v>
      </c>
      <c r="C349" s="239" t="s">
        <v>109</v>
      </c>
      <c r="D349" s="254">
        <v>0.9</v>
      </c>
      <c r="E349" s="241"/>
      <c r="F349" s="242"/>
      <c r="G349" s="199">
        <v>42000.0</v>
      </c>
      <c r="H349" s="243">
        <f t="shared" si="89"/>
        <v>37800</v>
      </c>
      <c r="I349" s="200">
        <v>45000.0</v>
      </c>
      <c r="J349" s="244">
        <f t="shared" si="90"/>
        <v>40500</v>
      </c>
      <c r="K349" s="250">
        <f t="shared" si="91"/>
        <v>2700</v>
      </c>
      <c r="L349" s="251">
        <f t="shared" si="92"/>
        <v>0.07142857143</v>
      </c>
      <c r="M349" s="247"/>
    </row>
    <row r="350" ht="15.75" customHeight="1">
      <c r="A350" s="248">
        <v>6.0</v>
      </c>
      <c r="B350" s="275" t="s">
        <v>1935</v>
      </c>
      <c r="C350" s="239" t="s">
        <v>109</v>
      </c>
      <c r="D350" s="254">
        <v>1.0</v>
      </c>
      <c r="E350" s="241"/>
      <c r="F350" s="242"/>
      <c r="G350" s="199">
        <v>40000.0</v>
      </c>
      <c r="H350" s="243">
        <f t="shared" si="89"/>
        <v>40000</v>
      </c>
      <c r="I350" s="200">
        <v>40000.0</v>
      </c>
      <c r="J350" s="244">
        <f t="shared" si="90"/>
        <v>40000</v>
      </c>
      <c r="K350" s="250">
        <f t="shared" si="91"/>
        <v>0</v>
      </c>
      <c r="L350" s="251">
        <f t="shared" si="92"/>
        <v>0</v>
      </c>
      <c r="M350" s="247"/>
    </row>
    <row r="351" ht="15.75" customHeight="1">
      <c r="A351" s="239">
        <v>7.0</v>
      </c>
      <c r="B351" s="275" t="s">
        <v>1518</v>
      </c>
      <c r="C351" s="278" t="s">
        <v>1583</v>
      </c>
      <c r="D351" s="254">
        <v>1.0</v>
      </c>
      <c r="E351" s="241"/>
      <c r="F351" s="242"/>
      <c r="G351" s="199">
        <v>20000.0</v>
      </c>
      <c r="H351" s="243">
        <f t="shared" si="89"/>
        <v>20000</v>
      </c>
      <c r="I351" s="200">
        <v>26000.0</v>
      </c>
      <c r="J351" s="244">
        <f t="shared" si="90"/>
        <v>26000</v>
      </c>
      <c r="K351" s="250">
        <f t="shared" si="91"/>
        <v>6000</v>
      </c>
      <c r="L351" s="251">
        <f t="shared" si="92"/>
        <v>0.3</v>
      </c>
      <c r="M351" s="247"/>
    </row>
    <row r="352" ht="15.75" customHeight="1">
      <c r="A352" s="248">
        <v>8.0</v>
      </c>
      <c r="B352" s="275" t="s">
        <v>2021</v>
      </c>
      <c r="C352" s="239" t="s">
        <v>109</v>
      </c>
      <c r="D352" s="254">
        <v>1.0</v>
      </c>
      <c r="E352" s="241"/>
      <c r="F352" s="242"/>
      <c r="G352" s="199">
        <v>18500.0</v>
      </c>
      <c r="H352" s="243">
        <f t="shared" si="89"/>
        <v>18500</v>
      </c>
      <c r="I352" s="200">
        <v>20000.0</v>
      </c>
      <c r="J352" s="244">
        <f t="shared" si="90"/>
        <v>20000</v>
      </c>
      <c r="K352" s="250">
        <f t="shared" si="91"/>
        <v>1500</v>
      </c>
      <c r="L352" s="251">
        <f t="shared" si="92"/>
        <v>0.08108108108</v>
      </c>
      <c r="M352" s="247"/>
    </row>
    <row r="353" ht="15.75" customHeight="1">
      <c r="A353" s="239">
        <v>9.0</v>
      </c>
      <c r="B353" s="275" t="s">
        <v>1543</v>
      </c>
      <c r="C353" s="239" t="s">
        <v>109</v>
      </c>
      <c r="D353" s="254">
        <v>1.0</v>
      </c>
      <c r="E353" s="241"/>
      <c r="F353" s="242"/>
      <c r="G353" s="199">
        <v>8000.0</v>
      </c>
      <c r="H353" s="243">
        <f t="shared" si="89"/>
        <v>8000</v>
      </c>
      <c r="I353" s="200">
        <v>10000.0</v>
      </c>
      <c r="J353" s="244">
        <f t="shared" si="90"/>
        <v>10000</v>
      </c>
      <c r="K353" s="250">
        <f t="shared" si="91"/>
        <v>2000</v>
      </c>
      <c r="L353" s="251">
        <f t="shared" si="92"/>
        <v>0.25</v>
      </c>
      <c r="M353" s="247"/>
    </row>
    <row r="354" ht="15.75" customHeight="1">
      <c r="A354" s="248">
        <v>10.0</v>
      </c>
      <c r="B354" s="275" t="s">
        <v>2060</v>
      </c>
      <c r="C354" s="239" t="s">
        <v>109</v>
      </c>
      <c r="D354" s="254">
        <v>3.5</v>
      </c>
      <c r="E354" s="241"/>
      <c r="F354" s="242"/>
      <c r="G354" s="199">
        <v>12000.0</v>
      </c>
      <c r="H354" s="243">
        <f t="shared" si="89"/>
        <v>42000</v>
      </c>
      <c r="I354" s="200">
        <v>18000.0</v>
      </c>
      <c r="J354" s="244">
        <f t="shared" si="90"/>
        <v>63000</v>
      </c>
      <c r="K354" s="250">
        <f t="shared" si="91"/>
        <v>21000</v>
      </c>
      <c r="L354" s="251">
        <f t="shared" si="92"/>
        <v>0.5</v>
      </c>
      <c r="M354" s="247"/>
    </row>
    <row r="355" ht="15.75" customHeight="1">
      <c r="A355" s="239">
        <v>11.0</v>
      </c>
      <c r="B355" s="275" t="s">
        <v>2061</v>
      </c>
      <c r="C355" s="239" t="s">
        <v>109</v>
      </c>
      <c r="D355" s="254">
        <v>3.5</v>
      </c>
      <c r="E355" s="241"/>
      <c r="F355" s="242"/>
      <c r="G355" s="199">
        <v>12000.0</v>
      </c>
      <c r="H355" s="243">
        <f t="shared" si="89"/>
        <v>42000</v>
      </c>
      <c r="I355" s="200">
        <v>18000.0</v>
      </c>
      <c r="J355" s="244">
        <f t="shared" si="90"/>
        <v>63000</v>
      </c>
      <c r="K355" s="250">
        <f t="shared" si="91"/>
        <v>21000</v>
      </c>
      <c r="L355" s="251">
        <f t="shared" si="92"/>
        <v>0.5</v>
      </c>
      <c r="M355" s="247"/>
    </row>
    <row r="356" ht="15.75" customHeight="1">
      <c r="A356" s="248">
        <v>12.0</v>
      </c>
      <c r="B356" s="275" t="s">
        <v>1578</v>
      </c>
      <c r="C356" s="239" t="s">
        <v>109</v>
      </c>
      <c r="D356" s="254">
        <v>34.25</v>
      </c>
      <c r="E356" s="241"/>
      <c r="F356" s="242"/>
      <c r="G356" s="199">
        <v>21750.0</v>
      </c>
      <c r="H356" s="243">
        <f t="shared" si="89"/>
        <v>744937.5</v>
      </c>
      <c r="I356" s="200">
        <v>24000.0</v>
      </c>
      <c r="J356" s="244">
        <f t="shared" si="90"/>
        <v>822000</v>
      </c>
      <c r="K356" s="250">
        <f t="shared" si="91"/>
        <v>77062.5</v>
      </c>
      <c r="L356" s="251">
        <f t="shared" si="92"/>
        <v>0.1034482759</v>
      </c>
      <c r="M356" s="247"/>
    </row>
    <row r="357" ht="15.75" customHeight="1">
      <c r="A357" s="239">
        <v>13.0</v>
      </c>
      <c r="B357" s="275" t="s">
        <v>1609</v>
      </c>
      <c r="C357" s="239" t="s">
        <v>109</v>
      </c>
      <c r="D357" s="254">
        <v>20.0</v>
      </c>
      <c r="E357" s="241"/>
      <c r="F357" s="242"/>
      <c r="G357" s="199">
        <v>16000.0</v>
      </c>
      <c r="H357" s="243">
        <f t="shared" si="89"/>
        <v>320000</v>
      </c>
      <c r="I357" s="200">
        <v>18000.0</v>
      </c>
      <c r="J357" s="244">
        <f t="shared" si="90"/>
        <v>360000</v>
      </c>
      <c r="K357" s="250">
        <f t="shared" si="91"/>
        <v>40000</v>
      </c>
      <c r="L357" s="251">
        <f t="shared" si="92"/>
        <v>0.125</v>
      </c>
      <c r="M357" s="247"/>
    </row>
    <row r="358" ht="15.75" customHeight="1">
      <c r="A358" s="248">
        <v>14.0</v>
      </c>
      <c r="B358" s="275" t="s">
        <v>1223</v>
      </c>
      <c r="C358" s="239" t="s">
        <v>109</v>
      </c>
      <c r="D358" s="254">
        <v>15.0</v>
      </c>
      <c r="E358" s="241"/>
      <c r="F358" s="242"/>
      <c r="G358" s="199">
        <v>22000.0</v>
      </c>
      <c r="H358" s="243">
        <f t="shared" si="89"/>
        <v>330000</v>
      </c>
      <c r="I358" s="200">
        <v>25000.0</v>
      </c>
      <c r="J358" s="244">
        <f t="shared" si="90"/>
        <v>375000</v>
      </c>
      <c r="K358" s="250">
        <f t="shared" si="91"/>
        <v>45000</v>
      </c>
      <c r="L358" s="251">
        <f t="shared" si="92"/>
        <v>0.1363636364</v>
      </c>
      <c r="M358" s="247"/>
    </row>
    <row r="359" ht="15.75" customHeight="1">
      <c r="A359" s="239">
        <v>15.0</v>
      </c>
      <c r="B359" s="275" t="s">
        <v>1534</v>
      </c>
      <c r="C359" s="239" t="s">
        <v>109</v>
      </c>
      <c r="D359" s="254">
        <v>20.0</v>
      </c>
      <c r="E359" s="241" t="str">
        <f>'Daftar Harga'!D300</f>
        <v/>
      </c>
      <c r="F359" s="242" t="str">
        <f t="shared" ref="F359:F361" si="93">IF(E359&lt;&gt;"",D359*E359,"")</f>
        <v/>
      </c>
      <c r="G359" s="199">
        <v>9000.0</v>
      </c>
      <c r="H359" s="243">
        <f t="shared" si="89"/>
        <v>180000</v>
      </c>
      <c r="I359" s="200">
        <v>14000.0</v>
      </c>
      <c r="J359" s="244">
        <f t="shared" si="90"/>
        <v>280000</v>
      </c>
      <c r="K359" s="250">
        <f t="shared" si="91"/>
        <v>100000</v>
      </c>
      <c r="L359" s="251">
        <f t="shared" si="92"/>
        <v>0.5555555556</v>
      </c>
      <c r="M359" s="247"/>
    </row>
    <row r="360" ht="15.75" customHeight="1">
      <c r="A360" s="248">
        <v>16.0</v>
      </c>
      <c r="B360" s="276" t="s">
        <v>1345</v>
      </c>
      <c r="C360" s="239" t="s">
        <v>109</v>
      </c>
      <c r="D360" s="277">
        <v>1577.0</v>
      </c>
      <c r="E360" s="241" t="str">
        <f>'Daftar Harga'!D302</f>
        <v/>
      </c>
      <c r="F360" s="242" t="str">
        <f t="shared" si="93"/>
        <v/>
      </c>
      <c r="G360" s="199">
        <v>560.0</v>
      </c>
      <c r="H360" s="243">
        <f t="shared" si="89"/>
        <v>883120</v>
      </c>
      <c r="I360" s="200">
        <v>700.0</v>
      </c>
      <c r="J360" s="244">
        <f t="shared" si="90"/>
        <v>1103900</v>
      </c>
      <c r="K360" s="250">
        <f t="shared" si="91"/>
        <v>220780</v>
      </c>
      <c r="L360" s="251">
        <f t="shared" si="92"/>
        <v>0.25</v>
      </c>
      <c r="M360" s="252"/>
    </row>
    <row r="361" ht="15.75" customHeight="1">
      <c r="A361" s="239">
        <v>17.0</v>
      </c>
      <c r="B361" s="275" t="s">
        <v>1549</v>
      </c>
      <c r="C361" s="239" t="s">
        <v>109</v>
      </c>
      <c r="D361" s="254">
        <v>182.0</v>
      </c>
      <c r="E361" s="241" t="str">
        <f>'Daftar Harga'!D305</f>
        <v/>
      </c>
      <c r="F361" s="242" t="str">
        <f t="shared" si="93"/>
        <v/>
      </c>
      <c r="G361" s="199">
        <v>25000.0</v>
      </c>
      <c r="H361" s="243">
        <f t="shared" si="89"/>
        <v>4550000</v>
      </c>
      <c r="I361" s="200">
        <v>27500.0</v>
      </c>
      <c r="J361" s="244">
        <f t="shared" si="90"/>
        <v>5005000</v>
      </c>
      <c r="K361" s="250">
        <f t="shared" si="91"/>
        <v>455000</v>
      </c>
      <c r="L361" s="251">
        <f t="shared" si="92"/>
        <v>0.1</v>
      </c>
      <c r="M361" s="247"/>
    </row>
    <row r="362" ht="15.75" customHeight="1">
      <c r="A362" s="272" t="s">
        <v>1704</v>
      </c>
      <c r="B362" s="206"/>
      <c r="C362" s="206"/>
      <c r="D362" s="174"/>
      <c r="E362" s="257"/>
      <c r="F362" s="258">
        <f>SUMIF(F345:F361,"&lt;&gt;",F345:F361)</f>
        <v>0</v>
      </c>
      <c r="G362" s="259"/>
      <c r="H362" s="260">
        <f>SUMIF(H345:H361,"&lt;&gt;",H345:H361)</f>
        <v>11214857.5</v>
      </c>
      <c r="I362" s="265"/>
      <c r="J362" s="260">
        <f>SUMIF(J345:J361,"&lt;&gt;",J345:J361)</f>
        <v>12709900</v>
      </c>
      <c r="K362" s="261">
        <f t="shared" si="91"/>
        <v>1495042.5</v>
      </c>
      <c r="L362" s="262">
        <f t="shared" si="92"/>
        <v>0.1333090947</v>
      </c>
      <c r="M362" s="257"/>
    </row>
    <row r="363" ht="15.75" customHeight="1"/>
    <row r="364" ht="15.75" customHeight="1"/>
    <row r="365" ht="15.75" customHeight="1"/>
    <row r="366" ht="27.75" customHeight="1">
      <c r="A366" s="284" t="s">
        <v>2062</v>
      </c>
      <c r="B366" s="285"/>
      <c r="C366" s="285"/>
      <c r="D366" s="286"/>
      <c r="E366" s="287"/>
      <c r="F366" s="288">
        <f>F21+F46+F67+F78+F96+F115+F135+F159+F167+F190+F216+F234+F258+F273+F294+F315+F340+F362</f>
        <v>70244052</v>
      </c>
      <c r="G366" s="288"/>
      <c r="H366" s="288">
        <f>H21+H46+H67+H78+H96+H115+H135+H159+H167+H190+H216+H234+H258+H273+H294+H315+H340+H362</f>
        <v>218926375</v>
      </c>
      <c r="I366" s="288"/>
      <c r="J366" s="288">
        <f>J21+J46+J67+J78+J96+J115+J135+J159+J167+J190+J216+J234+J258+J273+J294+J315+J340+J362</f>
        <v>254105065</v>
      </c>
      <c r="K366" s="289">
        <f>IF(J366&lt;&gt;"",IF(H366&lt;&gt;0,J366-H366,J366-F366),"")</f>
        <v>35178689.97</v>
      </c>
      <c r="L366" s="290">
        <f>IF(K366&lt;&gt;"",IF(H366&lt;&gt;0,K366/H366,IF(F366&lt;&gt;0,K366/F366,"")),"")</f>
        <v>0.1606873085</v>
      </c>
      <c r="M366" s="287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</sheetData>
  <mergeCells count="112">
    <mergeCell ref="A1:M1"/>
    <mergeCell ref="A2:M2"/>
    <mergeCell ref="A3:M3"/>
    <mergeCell ref="A4:M4"/>
    <mergeCell ref="G5:H5"/>
    <mergeCell ref="I5:J5"/>
    <mergeCell ref="K5:L5"/>
    <mergeCell ref="E5:F5"/>
    <mergeCell ref="A21:D21"/>
    <mergeCell ref="A23:M23"/>
    <mergeCell ref="E24:F24"/>
    <mergeCell ref="G24:H24"/>
    <mergeCell ref="I24:J24"/>
    <mergeCell ref="K24:L24"/>
    <mergeCell ref="A46:D46"/>
    <mergeCell ref="A48:M48"/>
    <mergeCell ref="E49:F49"/>
    <mergeCell ref="G49:H49"/>
    <mergeCell ref="I49:J49"/>
    <mergeCell ref="K49:L49"/>
    <mergeCell ref="A67:D67"/>
    <mergeCell ref="A69:M69"/>
    <mergeCell ref="E70:F70"/>
    <mergeCell ref="G70:H70"/>
    <mergeCell ref="I70:J70"/>
    <mergeCell ref="K70:L70"/>
    <mergeCell ref="A78:D78"/>
    <mergeCell ref="A80:M80"/>
    <mergeCell ref="E81:F81"/>
    <mergeCell ref="G81:H81"/>
    <mergeCell ref="I81:J81"/>
    <mergeCell ref="K81:L81"/>
    <mergeCell ref="A96:D96"/>
    <mergeCell ref="A98:M98"/>
    <mergeCell ref="E99:F99"/>
    <mergeCell ref="K99:L99"/>
    <mergeCell ref="G99:H99"/>
    <mergeCell ref="I99:J99"/>
    <mergeCell ref="A117:M117"/>
    <mergeCell ref="E118:F118"/>
    <mergeCell ref="G118:H118"/>
    <mergeCell ref="I118:J118"/>
    <mergeCell ref="K118:L118"/>
    <mergeCell ref="A115:D115"/>
    <mergeCell ref="A135:D135"/>
    <mergeCell ref="A137:M137"/>
    <mergeCell ref="E138:F138"/>
    <mergeCell ref="G138:H138"/>
    <mergeCell ref="I138:J138"/>
    <mergeCell ref="K138:L138"/>
    <mergeCell ref="G343:H343"/>
    <mergeCell ref="I343:J343"/>
    <mergeCell ref="A362:D362"/>
    <mergeCell ref="A366:D366"/>
    <mergeCell ref="E318:F318"/>
    <mergeCell ref="G318:H318"/>
    <mergeCell ref="I318:J318"/>
    <mergeCell ref="K318:L318"/>
    <mergeCell ref="A340:D340"/>
    <mergeCell ref="A342:M342"/>
    <mergeCell ref="E343:F343"/>
    <mergeCell ref="K343:L343"/>
    <mergeCell ref="A159:D159"/>
    <mergeCell ref="A161:M161"/>
    <mergeCell ref="E162:F162"/>
    <mergeCell ref="G162:H162"/>
    <mergeCell ref="I162:J162"/>
    <mergeCell ref="K162:L162"/>
    <mergeCell ref="A167:D167"/>
    <mergeCell ref="A170:M170"/>
    <mergeCell ref="E171:F171"/>
    <mergeCell ref="G171:H171"/>
    <mergeCell ref="I171:J171"/>
    <mergeCell ref="K171:L171"/>
    <mergeCell ref="A190:D190"/>
    <mergeCell ref="A192:M192"/>
    <mergeCell ref="E193:F193"/>
    <mergeCell ref="G193:H193"/>
    <mergeCell ref="I193:J193"/>
    <mergeCell ref="K193:L193"/>
    <mergeCell ref="A216:D216"/>
    <mergeCell ref="A218:M218"/>
    <mergeCell ref="E219:F219"/>
    <mergeCell ref="K219:L219"/>
    <mergeCell ref="G219:H219"/>
    <mergeCell ref="I219:J219"/>
    <mergeCell ref="A236:M236"/>
    <mergeCell ref="E237:F237"/>
    <mergeCell ref="G237:H237"/>
    <mergeCell ref="I237:J237"/>
    <mergeCell ref="K237:L237"/>
    <mergeCell ref="A234:D234"/>
    <mergeCell ref="A258:D258"/>
    <mergeCell ref="A260:M260"/>
    <mergeCell ref="E261:F261"/>
    <mergeCell ref="G261:H261"/>
    <mergeCell ref="I261:J261"/>
    <mergeCell ref="K261:L261"/>
    <mergeCell ref="A273:D273"/>
    <mergeCell ref="A275:M275"/>
    <mergeCell ref="E276:F276"/>
    <mergeCell ref="G276:H276"/>
    <mergeCell ref="I276:J276"/>
    <mergeCell ref="K276:L276"/>
    <mergeCell ref="A294:D294"/>
    <mergeCell ref="A296:M296"/>
    <mergeCell ref="E297:F297"/>
    <mergeCell ref="G297:H297"/>
    <mergeCell ref="I297:J297"/>
    <mergeCell ref="K297:L297"/>
    <mergeCell ref="A315:D315"/>
    <mergeCell ref="A317:M317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2019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331" t="s">
        <v>2063</v>
      </c>
      <c r="C7" s="332" t="s">
        <v>1676</v>
      </c>
      <c r="D7" s="213">
        <v>10.0</v>
      </c>
      <c r="E7" s="267"/>
      <c r="F7" s="268" t="str">
        <f t="shared" ref="F7:F13" si="1">IF(E7&lt;&gt;"",D7*E7,"")</f>
        <v/>
      </c>
      <c r="G7" s="186">
        <v>65000.0</v>
      </c>
      <c r="H7" s="243">
        <f t="shared" ref="H7:H13" si="2">IF(G7&lt;&gt;"",D7*G7,"")</f>
        <v>650000</v>
      </c>
      <c r="I7" s="188">
        <v>75000.0</v>
      </c>
      <c r="J7" s="244">
        <f t="shared" ref="J7:J13" si="3">IF(I7&lt;&gt;"",D7*I7,"")</f>
        <v>750000</v>
      </c>
      <c r="K7" s="245">
        <f t="shared" ref="K7:K14" si="4">IF(J7&lt;&gt;"",IF(H7&lt;&gt;"",J7-H7,IF(F7&lt;&gt;"",J7-F7,"")),"")</f>
        <v>100000</v>
      </c>
      <c r="L7" s="246">
        <f t="shared" ref="L7:L13" si="5">IF(K7&lt;&gt;"",IF(H7&lt;&gt;"",IF(H7&lt;&gt;0,K7/H7,""),IF(F7&lt;&gt;"",IF(F7&lt;&gt;0,K7/F7,""),"")),"")</f>
        <v>0.1538461538</v>
      </c>
      <c r="M7" s="352"/>
    </row>
    <row r="8" ht="15.75" customHeight="1">
      <c r="A8" s="164">
        <v>2.0</v>
      </c>
      <c r="B8" s="333" t="s">
        <v>1780</v>
      </c>
      <c r="C8" s="334" t="s">
        <v>1583</v>
      </c>
      <c r="D8" s="216">
        <v>5.0</v>
      </c>
      <c r="E8" s="267"/>
      <c r="F8" s="268" t="str">
        <f t="shared" si="1"/>
        <v/>
      </c>
      <c r="G8" s="186">
        <v>25000.0</v>
      </c>
      <c r="H8" s="243">
        <f t="shared" si="2"/>
        <v>125000</v>
      </c>
      <c r="I8" s="188">
        <v>30000.0</v>
      </c>
      <c r="J8" s="244">
        <f t="shared" si="3"/>
        <v>150000</v>
      </c>
      <c r="K8" s="250">
        <f t="shared" si="4"/>
        <v>25000</v>
      </c>
      <c r="L8" s="251">
        <f t="shared" si="5"/>
        <v>0.2</v>
      </c>
      <c r="M8" s="407"/>
    </row>
    <row r="9" ht="15.75" customHeight="1">
      <c r="A9" s="159">
        <v>3.0</v>
      </c>
      <c r="B9" s="331" t="s">
        <v>2064</v>
      </c>
      <c r="C9" s="332" t="s">
        <v>69</v>
      </c>
      <c r="D9" s="213">
        <v>5.0</v>
      </c>
      <c r="E9" s="267"/>
      <c r="F9" s="268" t="str">
        <f t="shared" si="1"/>
        <v/>
      </c>
      <c r="G9" s="186">
        <v>17000.0</v>
      </c>
      <c r="H9" s="243">
        <f t="shared" si="2"/>
        <v>85000</v>
      </c>
      <c r="I9" s="188">
        <v>25000.0</v>
      </c>
      <c r="J9" s="244">
        <f t="shared" si="3"/>
        <v>125000</v>
      </c>
      <c r="K9" s="245">
        <f t="shared" si="4"/>
        <v>40000</v>
      </c>
      <c r="L9" s="246">
        <f t="shared" si="5"/>
        <v>0.4705882353</v>
      </c>
      <c r="M9" s="352"/>
    </row>
    <row r="10" ht="15.75" customHeight="1">
      <c r="A10" s="164">
        <v>4.0</v>
      </c>
      <c r="B10" s="333" t="s">
        <v>2065</v>
      </c>
      <c r="C10" s="334" t="s">
        <v>69</v>
      </c>
      <c r="D10" s="216">
        <v>5.0</v>
      </c>
      <c r="E10" s="267"/>
      <c r="F10" s="268" t="str">
        <f t="shared" si="1"/>
        <v/>
      </c>
      <c r="G10" s="186">
        <v>9000.0</v>
      </c>
      <c r="H10" s="243">
        <f t="shared" si="2"/>
        <v>45000</v>
      </c>
      <c r="I10" s="188">
        <v>12000.0</v>
      </c>
      <c r="J10" s="244">
        <f t="shared" si="3"/>
        <v>60000</v>
      </c>
      <c r="K10" s="250">
        <f t="shared" si="4"/>
        <v>15000</v>
      </c>
      <c r="L10" s="251">
        <f t="shared" si="5"/>
        <v>0.3333333333</v>
      </c>
      <c r="M10" s="407"/>
    </row>
    <row r="11" ht="15.75" customHeight="1">
      <c r="A11" s="159">
        <v>5.0</v>
      </c>
      <c r="B11" s="331" t="s">
        <v>2066</v>
      </c>
      <c r="C11" s="332" t="s">
        <v>1583</v>
      </c>
      <c r="D11" s="213">
        <v>5.0</v>
      </c>
      <c r="E11" s="267"/>
      <c r="F11" s="268" t="str">
        <f t="shared" si="1"/>
        <v/>
      </c>
      <c r="G11" s="186">
        <v>65000.0</v>
      </c>
      <c r="H11" s="243">
        <f t="shared" si="2"/>
        <v>325000</v>
      </c>
      <c r="I11" s="188">
        <v>75000.0</v>
      </c>
      <c r="J11" s="244">
        <f t="shared" si="3"/>
        <v>375000</v>
      </c>
      <c r="K11" s="245">
        <f t="shared" si="4"/>
        <v>50000</v>
      </c>
      <c r="L11" s="246">
        <f t="shared" si="5"/>
        <v>0.1538461538</v>
      </c>
      <c r="M11" s="352"/>
    </row>
    <row r="12" ht="15.75" customHeight="1">
      <c r="A12" s="164">
        <v>6.0</v>
      </c>
      <c r="B12" s="333" t="s">
        <v>1997</v>
      </c>
      <c r="C12" s="334" t="s">
        <v>1583</v>
      </c>
      <c r="D12" s="216">
        <v>5.0</v>
      </c>
      <c r="E12" s="267"/>
      <c r="F12" s="268" t="str">
        <f t="shared" si="1"/>
        <v/>
      </c>
      <c r="G12" s="186">
        <v>9500.0</v>
      </c>
      <c r="H12" s="243">
        <f t="shared" si="2"/>
        <v>47500</v>
      </c>
      <c r="I12" s="188">
        <v>10000.0</v>
      </c>
      <c r="J12" s="244">
        <f t="shared" si="3"/>
        <v>50000</v>
      </c>
      <c r="K12" s="250">
        <f t="shared" si="4"/>
        <v>2500</v>
      </c>
      <c r="L12" s="251">
        <f t="shared" si="5"/>
        <v>0.05263157895</v>
      </c>
      <c r="M12" s="407"/>
    </row>
    <row r="13" ht="15.75" customHeight="1">
      <c r="A13" s="159">
        <v>7.0</v>
      </c>
      <c r="B13" s="331" t="s">
        <v>1867</v>
      </c>
      <c r="C13" s="332" t="s">
        <v>1583</v>
      </c>
      <c r="D13" s="213">
        <v>10.0</v>
      </c>
      <c r="E13" s="267"/>
      <c r="F13" s="268" t="str">
        <f t="shared" si="1"/>
        <v/>
      </c>
      <c r="G13" s="186">
        <v>9000.0</v>
      </c>
      <c r="H13" s="243">
        <f t="shared" si="2"/>
        <v>90000</v>
      </c>
      <c r="I13" s="188">
        <v>13000.0</v>
      </c>
      <c r="J13" s="264">
        <f t="shared" si="3"/>
        <v>130000</v>
      </c>
      <c r="K13" s="245">
        <f t="shared" si="4"/>
        <v>40000</v>
      </c>
      <c r="L13" s="246">
        <f t="shared" si="5"/>
        <v>0.4444444444</v>
      </c>
      <c r="M13" s="352"/>
    </row>
    <row r="14" ht="19.5" customHeight="1">
      <c r="A14" s="205" t="s">
        <v>1628</v>
      </c>
      <c r="B14" s="206"/>
      <c r="C14" s="206"/>
      <c r="D14" s="174"/>
      <c r="E14" s="207"/>
      <c r="F14" s="208">
        <f>SUMIF(F7:F13,"&lt;&gt;",F7:F13)</f>
        <v>0</v>
      </c>
      <c r="G14" s="207"/>
      <c r="H14" s="208">
        <f>SUMIF(H7:H13,"&lt;&gt;",H7:H13)</f>
        <v>1367500</v>
      </c>
      <c r="I14" s="209"/>
      <c r="J14" s="210">
        <f>SUMIF(J7:J13,"&lt;&gt;",J7:J13)</f>
        <v>1640000</v>
      </c>
      <c r="K14" s="211">
        <f t="shared" si="4"/>
        <v>272500</v>
      </c>
      <c r="L14" s="212">
        <f>IF(K14&lt;&gt;"",IF(H14&lt;&gt;"",IF(H14&lt;&gt;0,K14/H14,""),IF(F14&lt;&gt;"",IF(F14&lt;&gt;0,K14/F14,""),"")),"")</f>
        <v>0.1992687386</v>
      </c>
      <c r="M14" s="207"/>
    </row>
    <row r="16" ht="21.75" customHeight="1">
      <c r="A16" s="171" t="s">
        <v>1629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ht="19.5" customHeight="1">
      <c r="A17" s="172" t="s">
        <v>1509</v>
      </c>
      <c r="B17" s="172" t="s">
        <v>1510</v>
      </c>
      <c r="C17" s="172" t="s">
        <v>1511</v>
      </c>
      <c r="D17" s="172" t="s">
        <v>1614</v>
      </c>
      <c r="E17" s="173" t="s">
        <v>1615</v>
      </c>
      <c r="F17" s="174"/>
      <c r="G17" s="175" t="s">
        <v>1616</v>
      </c>
      <c r="H17" s="174"/>
      <c r="I17" s="176" t="s">
        <v>1617</v>
      </c>
      <c r="J17" s="174"/>
      <c r="K17" s="177" t="s">
        <v>1618</v>
      </c>
      <c r="L17" s="174"/>
      <c r="M17" s="172" t="s">
        <v>1619</v>
      </c>
    </row>
    <row r="18" ht="27.75" customHeight="1">
      <c r="A18" s="178" t="s">
        <v>1509</v>
      </c>
      <c r="B18" s="178" t="s">
        <v>1510</v>
      </c>
      <c r="C18" s="178" t="s">
        <v>1511</v>
      </c>
      <c r="D18" s="178" t="s">
        <v>1614</v>
      </c>
      <c r="E18" s="179" t="s">
        <v>1620</v>
      </c>
      <c r="F18" s="179" t="s">
        <v>1621</v>
      </c>
      <c r="G18" s="180" t="s">
        <v>1622</v>
      </c>
      <c r="H18" s="180" t="s">
        <v>1623</v>
      </c>
      <c r="I18" s="181" t="s">
        <v>1624</v>
      </c>
      <c r="J18" s="181" t="s">
        <v>1625</v>
      </c>
      <c r="K18" s="182" t="s">
        <v>1626</v>
      </c>
      <c r="L18" s="182" t="s">
        <v>1627</v>
      </c>
      <c r="M18" s="178" t="s">
        <v>1619</v>
      </c>
    </row>
    <row r="19" ht="15.75" customHeight="1">
      <c r="A19" s="223">
        <v>1.0</v>
      </c>
      <c r="B19" s="331" t="s">
        <v>1754</v>
      </c>
      <c r="C19" s="332" t="s">
        <v>69</v>
      </c>
      <c r="D19" s="213">
        <v>25.0</v>
      </c>
      <c r="E19" s="184"/>
      <c r="F19" s="185" t="str">
        <f t="shared" ref="F19:F25" si="6">IF(E19&lt;&gt;"",D19*E19,"")</f>
        <v/>
      </c>
      <c r="G19" s="186">
        <v>19200.0</v>
      </c>
      <c r="H19" s="243">
        <f t="shared" ref="H19:H25" si="7">IF(G19&lt;&gt;"",D19*G19,"")</f>
        <v>480000</v>
      </c>
      <c r="I19" s="188">
        <v>22500.0</v>
      </c>
      <c r="J19" s="244">
        <f t="shared" ref="J19:J25" si="8">IF(I19&lt;&gt;"",D19*I19,"")</f>
        <v>562500</v>
      </c>
      <c r="K19" s="190">
        <f t="shared" ref="K19:K26" si="9">IF(J19&lt;&gt;"",IF(H19&lt;&gt;"",J19-H19,IF(F19&lt;&gt;"",J19-F19,"")),"")</f>
        <v>82500</v>
      </c>
      <c r="L19" s="191">
        <f t="shared" ref="L19:L26" si="10">IF(K19&lt;&gt;"",IF(H19&lt;&gt;"",IF(H19&lt;&gt;0,K19/H19,""),IF(F19&lt;&gt;"",IF(F19&lt;&gt;0,K19/F19,""),"")),"")</f>
        <v>0.171875</v>
      </c>
      <c r="M19" s="192"/>
    </row>
    <row r="20" ht="15.75" customHeight="1">
      <c r="A20" s="164">
        <v>2.0</v>
      </c>
      <c r="B20" s="333" t="s">
        <v>1737</v>
      </c>
      <c r="C20" s="334" t="s">
        <v>1176</v>
      </c>
      <c r="D20" s="216">
        <v>1.0</v>
      </c>
      <c r="E20" s="184"/>
      <c r="F20" s="185" t="str">
        <f t="shared" si="6"/>
        <v/>
      </c>
      <c r="G20" s="186">
        <v>1125000.0</v>
      </c>
      <c r="H20" s="243">
        <f t="shared" si="7"/>
        <v>1125000</v>
      </c>
      <c r="I20" s="188">
        <v>1250000.0</v>
      </c>
      <c r="J20" s="244">
        <f t="shared" si="8"/>
        <v>1250000</v>
      </c>
      <c r="K20" s="194">
        <f t="shared" si="9"/>
        <v>125000</v>
      </c>
      <c r="L20" s="195">
        <f t="shared" si="10"/>
        <v>0.1111111111</v>
      </c>
      <c r="M20" s="196"/>
    </row>
    <row r="21" ht="15.75" customHeight="1">
      <c r="A21" s="159">
        <v>3.0</v>
      </c>
      <c r="B21" s="331" t="s">
        <v>2067</v>
      </c>
      <c r="C21" s="332" t="s">
        <v>69</v>
      </c>
      <c r="D21" s="213">
        <v>8.0</v>
      </c>
      <c r="E21" s="184"/>
      <c r="F21" s="185" t="str">
        <f t="shared" si="6"/>
        <v/>
      </c>
      <c r="G21" s="186">
        <v>6000.0</v>
      </c>
      <c r="H21" s="243">
        <f t="shared" si="7"/>
        <v>48000</v>
      </c>
      <c r="I21" s="188">
        <v>15000.0</v>
      </c>
      <c r="J21" s="244">
        <f t="shared" si="8"/>
        <v>120000</v>
      </c>
      <c r="K21" s="190">
        <f t="shared" si="9"/>
        <v>72000</v>
      </c>
      <c r="L21" s="191">
        <f t="shared" si="10"/>
        <v>1.5</v>
      </c>
      <c r="M21" s="192"/>
    </row>
    <row r="22" ht="15.75" customHeight="1">
      <c r="A22" s="164">
        <v>4.0</v>
      </c>
      <c r="B22" s="333" t="s">
        <v>2068</v>
      </c>
      <c r="C22" s="334" t="s">
        <v>1583</v>
      </c>
      <c r="D22" s="216">
        <v>20.0</v>
      </c>
      <c r="E22" s="184"/>
      <c r="F22" s="185" t="str">
        <f t="shared" si="6"/>
        <v/>
      </c>
      <c r="G22" s="186">
        <v>9875.0</v>
      </c>
      <c r="H22" s="243">
        <f t="shared" si="7"/>
        <v>197500</v>
      </c>
      <c r="I22" s="188">
        <v>17500.0</v>
      </c>
      <c r="J22" s="244">
        <f t="shared" si="8"/>
        <v>350000</v>
      </c>
      <c r="K22" s="194">
        <f t="shared" si="9"/>
        <v>152500</v>
      </c>
      <c r="L22" s="195">
        <f t="shared" si="10"/>
        <v>0.7721518987</v>
      </c>
      <c r="M22" s="196"/>
    </row>
    <row r="23" ht="15.75" customHeight="1">
      <c r="A23" s="159">
        <v>5.0</v>
      </c>
      <c r="B23" s="331" t="s">
        <v>2069</v>
      </c>
      <c r="C23" s="334" t="s">
        <v>1583</v>
      </c>
      <c r="D23" s="213">
        <v>20.0</v>
      </c>
      <c r="E23" s="184"/>
      <c r="F23" s="185" t="str">
        <f t="shared" si="6"/>
        <v/>
      </c>
      <c r="G23" s="186">
        <v>9875.0</v>
      </c>
      <c r="H23" s="243">
        <f t="shared" si="7"/>
        <v>197500</v>
      </c>
      <c r="I23" s="188">
        <v>15000.0</v>
      </c>
      <c r="J23" s="244">
        <f t="shared" si="8"/>
        <v>300000</v>
      </c>
      <c r="K23" s="190">
        <f t="shared" si="9"/>
        <v>102500</v>
      </c>
      <c r="L23" s="191">
        <f t="shared" si="10"/>
        <v>0.5189873418</v>
      </c>
      <c r="M23" s="192"/>
    </row>
    <row r="24" ht="15.75" customHeight="1">
      <c r="A24" s="164">
        <v>6.0</v>
      </c>
      <c r="B24" s="333" t="s">
        <v>2070</v>
      </c>
      <c r="C24" s="334" t="s">
        <v>1583</v>
      </c>
      <c r="D24" s="216">
        <v>4.0</v>
      </c>
      <c r="E24" s="184"/>
      <c r="F24" s="185" t="str">
        <f t="shared" si="6"/>
        <v/>
      </c>
      <c r="G24" s="186">
        <v>43000.0</v>
      </c>
      <c r="H24" s="243">
        <f t="shared" si="7"/>
        <v>172000</v>
      </c>
      <c r="I24" s="188">
        <v>50000.0</v>
      </c>
      <c r="J24" s="244">
        <f t="shared" si="8"/>
        <v>200000</v>
      </c>
      <c r="K24" s="194">
        <f t="shared" si="9"/>
        <v>28000</v>
      </c>
      <c r="L24" s="195">
        <f t="shared" si="10"/>
        <v>0.1627906977</v>
      </c>
      <c r="M24" s="196"/>
    </row>
    <row r="25" ht="15.75" customHeight="1">
      <c r="A25" s="159">
        <v>7.0</v>
      </c>
      <c r="B25" s="331" t="s">
        <v>2071</v>
      </c>
      <c r="C25" s="334" t="s">
        <v>1583</v>
      </c>
      <c r="D25" s="213">
        <v>5.0</v>
      </c>
      <c r="E25" s="184"/>
      <c r="F25" s="185" t="str">
        <f t="shared" si="6"/>
        <v/>
      </c>
      <c r="G25" s="186">
        <v>15000.0</v>
      </c>
      <c r="H25" s="243">
        <f t="shared" si="7"/>
        <v>75000</v>
      </c>
      <c r="I25" s="188">
        <v>20000.0</v>
      </c>
      <c r="J25" s="264">
        <f t="shared" si="8"/>
        <v>100000</v>
      </c>
      <c r="K25" s="190">
        <f t="shared" si="9"/>
        <v>25000</v>
      </c>
      <c r="L25" s="191">
        <f t="shared" si="10"/>
        <v>0.3333333333</v>
      </c>
      <c r="M25" s="192"/>
    </row>
    <row r="26" ht="19.5" customHeight="1">
      <c r="A26" s="205" t="s">
        <v>1632</v>
      </c>
      <c r="B26" s="206"/>
      <c r="C26" s="206"/>
      <c r="D26" s="174"/>
      <c r="E26" s="207"/>
      <c r="F26" s="208">
        <f>SUMIF(F19:F25,"&lt;&gt;",F19:F25)</f>
        <v>0</v>
      </c>
      <c r="G26" s="207"/>
      <c r="H26" s="208">
        <f>SUMIF(H19:H25,"&lt;&gt;",H19:H25)</f>
        <v>2295000</v>
      </c>
      <c r="I26" s="209"/>
      <c r="J26" s="210">
        <f>SUMIF(J19:J25,"&lt;&gt;",J19:J25)</f>
        <v>2882500</v>
      </c>
      <c r="K26" s="211">
        <f t="shared" si="9"/>
        <v>587500</v>
      </c>
      <c r="L26" s="212">
        <f t="shared" si="10"/>
        <v>0.2559912854</v>
      </c>
      <c r="M26" s="207"/>
    </row>
    <row r="27" ht="15.75" customHeight="1"/>
    <row r="28" ht="15.75" customHeight="1">
      <c r="A28" s="269"/>
      <c r="C28" s="273" t="s">
        <v>2072</v>
      </c>
      <c r="D28" s="155"/>
      <c r="E28" s="155"/>
      <c r="F28" s="155"/>
      <c r="G28" s="155"/>
      <c r="H28" s="155"/>
      <c r="I28" s="155"/>
      <c r="J28" s="155"/>
      <c r="K28" s="155"/>
      <c r="L28" s="155"/>
      <c r="M28" s="269"/>
    </row>
    <row r="29" ht="15.75" customHeight="1">
      <c r="A29" s="229" t="s">
        <v>1509</v>
      </c>
      <c r="B29" s="229" t="s">
        <v>1510</v>
      </c>
      <c r="C29" s="229" t="s">
        <v>1511</v>
      </c>
      <c r="D29" s="229" t="s">
        <v>1614</v>
      </c>
      <c r="E29" s="230" t="s">
        <v>1615</v>
      </c>
      <c r="F29" s="174"/>
      <c r="G29" s="231" t="s">
        <v>1616</v>
      </c>
      <c r="H29" s="174"/>
      <c r="I29" s="232" t="s">
        <v>1617</v>
      </c>
      <c r="J29" s="174"/>
      <c r="K29" s="233" t="s">
        <v>1618</v>
      </c>
      <c r="L29" s="174"/>
      <c r="M29" s="229" t="s">
        <v>1619</v>
      </c>
    </row>
    <row r="30" ht="15.75" customHeight="1">
      <c r="A30" s="234" t="s">
        <v>1509</v>
      </c>
      <c r="B30" s="234" t="s">
        <v>1510</v>
      </c>
      <c r="C30" s="234" t="s">
        <v>1511</v>
      </c>
      <c r="D30" s="234" t="s">
        <v>1614</v>
      </c>
      <c r="E30" s="235" t="s">
        <v>1620</v>
      </c>
      <c r="F30" s="235" t="s">
        <v>1621</v>
      </c>
      <c r="G30" s="236" t="s">
        <v>1622</v>
      </c>
      <c r="H30" s="236" t="s">
        <v>1623</v>
      </c>
      <c r="I30" s="237" t="s">
        <v>1624</v>
      </c>
      <c r="J30" s="237" t="s">
        <v>1625</v>
      </c>
      <c r="K30" s="238" t="s">
        <v>1626</v>
      </c>
      <c r="L30" s="238" t="s">
        <v>1627</v>
      </c>
      <c r="M30" s="234" t="s">
        <v>1619</v>
      </c>
    </row>
    <row r="31" ht="15.75" customHeight="1">
      <c r="A31" s="248">
        <v>1.0</v>
      </c>
      <c r="B31" s="276" t="s">
        <v>1754</v>
      </c>
      <c r="C31" s="248" t="s">
        <v>69</v>
      </c>
      <c r="D31" s="309">
        <v>25.0</v>
      </c>
      <c r="E31" s="267"/>
      <c r="F31" s="268" t="str">
        <f t="shared" ref="F31:F32" si="11">IF(E31&lt;&gt;"",D31*E31,"")</f>
        <v/>
      </c>
      <c r="G31" s="199">
        <v>19200.0</v>
      </c>
      <c r="H31" s="243">
        <f t="shared" ref="H31:H34" si="12">IF(G31&lt;&gt;"",D31*G31,"")</f>
        <v>480000</v>
      </c>
      <c r="I31" s="200">
        <v>22500.0</v>
      </c>
      <c r="J31" s="244">
        <f t="shared" ref="J31:J34" si="13">IF(I31&lt;&gt;"",D31*I31,"")</f>
        <v>562500</v>
      </c>
      <c r="K31" s="245">
        <f t="shared" ref="K31:K35" si="14">IF(J31&lt;&gt;"",IF(H31&lt;&gt;"",J31-H31,IF(F31&lt;&gt;"",J31-F31,"")),"")</f>
        <v>82500</v>
      </c>
      <c r="L31" s="246">
        <f t="shared" ref="L31:L35" si="15">IF(K31&lt;&gt;"",IF(H31&lt;&gt;"",IF(H31&lt;&gt;0,K31/H31,""),IF(F31&lt;&gt;"",IF(F31&lt;&gt;0,K31/F31,""),"")),"")</f>
        <v>0.171875</v>
      </c>
      <c r="M31" s="252"/>
    </row>
    <row r="32" ht="15.75" customHeight="1">
      <c r="A32" s="239">
        <v>2.0</v>
      </c>
      <c r="B32" s="275" t="s">
        <v>1746</v>
      </c>
      <c r="C32" s="278" t="s">
        <v>1176</v>
      </c>
      <c r="D32" s="274">
        <v>2.0</v>
      </c>
      <c r="E32" s="267"/>
      <c r="F32" s="268" t="str">
        <f t="shared" si="11"/>
        <v/>
      </c>
      <c r="G32" s="199">
        <v>1125000.0</v>
      </c>
      <c r="H32" s="243">
        <f t="shared" si="12"/>
        <v>2250000</v>
      </c>
      <c r="I32" s="200">
        <v>1250000.0</v>
      </c>
      <c r="J32" s="244">
        <f t="shared" si="13"/>
        <v>2500000</v>
      </c>
      <c r="K32" s="245">
        <f t="shared" si="14"/>
        <v>250000</v>
      </c>
      <c r="L32" s="246">
        <f t="shared" si="15"/>
        <v>0.1111111111</v>
      </c>
      <c r="M32" s="247"/>
    </row>
    <row r="33" ht="15.75" customHeight="1">
      <c r="A33" s="280">
        <v>3.0</v>
      </c>
      <c r="B33" s="276" t="s">
        <v>1867</v>
      </c>
      <c r="C33" s="280" t="s">
        <v>2073</v>
      </c>
      <c r="D33" s="309">
        <v>10.0</v>
      </c>
      <c r="E33" s="267"/>
      <c r="F33" s="268"/>
      <c r="G33" s="199">
        <v>11000.0</v>
      </c>
      <c r="H33" s="243">
        <f t="shared" si="12"/>
        <v>110000</v>
      </c>
      <c r="I33" s="200">
        <v>15000.0</v>
      </c>
      <c r="J33" s="244">
        <f t="shared" si="13"/>
        <v>150000</v>
      </c>
      <c r="K33" s="245">
        <f t="shared" si="14"/>
        <v>40000</v>
      </c>
      <c r="L33" s="246">
        <f t="shared" si="15"/>
        <v>0.3636363636</v>
      </c>
      <c r="M33" s="252"/>
    </row>
    <row r="34" ht="15.75" customHeight="1">
      <c r="A34" s="280">
        <v>4.0</v>
      </c>
      <c r="B34" s="276" t="s">
        <v>2074</v>
      </c>
      <c r="C34" s="280" t="s">
        <v>1744</v>
      </c>
      <c r="D34" s="309">
        <v>1.0</v>
      </c>
      <c r="E34" s="267"/>
      <c r="F34" s="268" t="str">
        <f>IF(E34&lt;&gt;"",D34*E34,"")</f>
        <v/>
      </c>
      <c r="G34" s="199">
        <v>28500.0</v>
      </c>
      <c r="H34" s="243">
        <f t="shared" si="12"/>
        <v>28500</v>
      </c>
      <c r="I34" s="200">
        <v>35000.0</v>
      </c>
      <c r="J34" s="244">
        <f t="shared" si="13"/>
        <v>35000</v>
      </c>
      <c r="K34" s="245">
        <f t="shared" si="14"/>
        <v>6500</v>
      </c>
      <c r="L34" s="246">
        <f t="shared" si="15"/>
        <v>0.2280701754</v>
      </c>
      <c r="M34" s="257"/>
    </row>
    <row r="35" ht="15.75" customHeight="1">
      <c r="A35" s="272" t="s">
        <v>2075</v>
      </c>
      <c r="B35" s="206"/>
      <c r="C35" s="206"/>
      <c r="D35" s="174"/>
      <c r="E35" s="257"/>
      <c r="F35" s="258">
        <f>SUMIF(F31:F34,"&lt;&gt;",F31:F34)</f>
        <v>0</v>
      </c>
      <c r="G35" s="257"/>
      <c r="H35" s="258">
        <f>SUMIF(H31:H34,"&lt;&gt;",H31:H34)</f>
        <v>2868500</v>
      </c>
      <c r="I35" s="257"/>
      <c r="J35" s="258">
        <f>SUMIF(J31:J34,"&lt;&gt;",J31:J34)</f>
        <v>3247500</v>
      </c>
      <c r="K35" s="258">
        <f t="shared" si="14"/>
        <v>379000</v>
      </c>
      <c r="L35" s="262">
        <f t="shared" si="15"/>
        <v>0.1321248039</v>
      </c>
    </row>
    <row r="36" ht="15.75" customHeight="1"/>
    <row r="37" ht="15.75" customHeight="1"/>
    <row r="38" ht="21.75" customHeight="1">
      <c r="A38" s="225" t="s">
        <v>2076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ht="19.5" customHeight="1">
      <c r="A39" s="172" t="s">
        <v>1509</v>
      </c>
      <c r="B39" s="172" t="s">
        <v>1510</v>
      </c>
      <c r="C39" s="172" t="s">
        <v>1511</v>
      </c>
      <c r="D39" s="172" t="s">
        <v>1614</v>
      </c>
      <c r="E39" s="173" t="s">
        <v>1615</v>
      </c>
      <c r="F39" s="174"/>
      <c r="G39" s="175" t="s">
        <v>1616</v>
      </c>
      <c r="H39" s="174"/>
      <c r="I39" s="176" t="s">
        <v>1617</v>
      </c>
      <c r="J39" s="174"/>
      <c r="K39" s="177" t="s">
        <v>1618</v>
      </c>
      <c r="L39" s="174"/>
      <c r="M39" s="172" t="s">
        <v>1619</v>
      </c>
    </row>
    <row r="40" ht="27.75" customHeight="1">
      <c r="A40" s="178" t="s">
        <v>1509</v>
      </c>
      <c r="B40" s="178" t="s">
        <v>1510</v>
      </c>
      <c r="C40" s="178" t="s">
        <v>1511</v>
      </c>
      <c r="D40" s="178" t="s">
        <v>1614</v>
      </c>
      <c r="E40" s="179" t="s">
        <v>1620</v>
      </c>
      <c r="F40" s="179" t="s">
        <v>1621</v>
      </c>
      <c r="G40" s="180" t="s">
        <v>1622</v>
      </c>
      <c r="H40" s="180" t="s">
        <v>1623</v>
      </c>
      <c r="I40" s="181" t="s">
        <v>1624</v>
      </c>
      <c r="J40" s="181" t="s">
        <v>1625</v>
      </c>
      <c r="K40" s="182" t="s">
        <v>1626</v>
      </c>
      <c r="L40" s="182" t="s">
        <v>1627</v>
      </c>
      <c r="M40" s="178" t="s">
        <v>1619</v>
      </c>
    </row>
    <row r="41" ht="15.75" customHeight="1">
      <c r="A41" s="159">
        <v>1.0</v>
      </c>
      <c r="B41" s="408" t="s">
        <v>1746</v>
      </c>
      <c r="C41" s="223" t="s">
        <v>1176</v>
      </c>
      <c r="D41" s="399">
        <v>2.0</v>
      </c>
      <c r="E41" s="184"/>
      <c r="F41" s="185" t="str">
        <f t="shared" ref="F41:F42" si="16">IF(E41&lt;&gt;"",D41*E41,"")</f>
        <v/>
      </c>
      <c r="G41" s="400">
        <v>1125000.0</v>
      </c>
      <c r="H41" s="187">
        <f t="shared" ref="H41:H42" si="17">IF(G41&lt;&gt;"",D41*G41,"")</f>
        <v>2250000</v>
      </c>
      <c r="I41" s="403">
        <v>1250000.0</v>
      </c>
      <c r="J41" s="215">
        <f t="shared" ref="J41:J42" si="18">IF(I41&lt;&gt;"",D41*I41,"")</f>
        <v>2500000</v>
      </c>
      <c r="K41" s="190">
        <f t="shared" ref="K41:K43" si="19">IF(J41&lt;&gt;"",IF(H41&lt;&gt;"",J41-H41,IF(F41&lt;&gt;"",J41-F41,"")),"")</f>
        <v>250000</v>
      </c>
      <c r="L41" s="191">
        <f t="shared" ref="L41:L43" si="20">IF(K41&lt;&gt;"",IF(H41&lt;&gt;"",IF(H41&lt;&gt;0,K41/H41,""),IF(F41&lt;&gt;"",IF(F41&lt;&gt;0,K41/F41,""),"")),"")</f>
        <v>0.1111111111</v>
      </c>
      <c r="M41" s="192"/>
    </row>
    <row r="42" ht="15.75" customHeight="1">
      <c r="A42" s="164">
        <v>2.0</v>
      </c>
      <c r="B42" s="409" t="s">
        <v>1754</v>
      </c>
      <c r="C42" s="220" t="s">
        <v>1754</v>
      </c>
      <c r="D42" s="398">
        <v>8.0</v>
      </c>
      <c r="E42" s="184"/>
      <c r="F42" s="185" t="str">
        <f t="shared" si="16"/>
        <v/>
      </c>
      <c r="G42" s="400">
        <v>19200.0</v>
      </c>
      <c r="H42" s="187">
        <f t="shared" si="17"/>
        <v>153600</v>
      </c>
      <c r="I42" s="403">
        <v>22500.0</v>
      </c>
      <c r="J42" s="219">
        <f t="shared" si="18"/>
        <v>180000</v>
      </c>
      <c r="K42" s="194">
        <f t="shared" si="19"/>
        <v>26400</v>
      </c>
      <c r="L42" s="195">
        <f t="shared" si="20"/>
        <v>0.171875</v>
      </c>
      <c r="M42" s="196"/>
    </row>
    <row r="43" ht="19.5" customHeight="1">
      <c r="A43" s="205" t="s">
        <v>1635</v>
      </c>
      <c r="B43" s="206"/>
      <c r="C43" s="206"/>
      <c r="D43" s="174"/>
      <c r="E43" s="207"/>
      <c r="F43" s="208">
        <f>SUMIF(F41:F42,"&lt;&gt;",F41:F42)</f>
        <v>0</v>
      </c>
      <c r="G43" s="207"/>
      <c r="H43" s="208">
        <f>SUMIF(H41:H42,"&lt;&gt;",H41:H42)</f>
        <v>2403600</v>
      </c>
      <c r="I43" s="209"/>
      <c r="J43" s="210">
        <f>SUMIF(J41:J42,"&lt;&gt;",J41:J42)</f>
        <v>2680000</v>
      </c>
      <c r="K43" s="211">
        <f t="shared" si="19"/>
        <v>276400</v>
      </c>
      <c r="L43" s="212">
        <f t="shared" si="20"/>
        <v>0.1149941754</v>
      </c>
      <c r="M43" s="207"/>
    </row>
    <row r="44" ht="15.75" customHeight="1"/>
    <row r="45" ht="15.75" customHeight="1">
      <c r="A45" s="269"/>
      <c r="C45" s="228" t="s">
        <v>1639</v>
      </c>
      <c r="D45" s="155"/>
      <c r="E45" s="155"/>
      <c r="F45" s="155"/>
      <c r="G45" s="155"/>
      <c r="H45" s="155"/>
      <c r="I45" s="155"/>
      <c r="J45" s="155"/>
      <c r="K45" s="155"/>
      <c r="L45" s="155"/>
      <c r="M45" s="269"/>
    </row>
    <row r="46" ht="15.75" customHeight="1">
      <c r="A46" s="229" t="s">
        <v>1509</v>
      </c>
      <c r="B46" s="229" t="s">
        <v>1510</v>
      </c>
      <c r="C46" s="229" t="s">
        <v>1511</v>
      </c>
      <c r="D46" s="229" t="s">
        <v>1614</v>
      </c>
      <c r="E46" s="230" t="s">
        <v>1615</v>
      </c>
      <c r="F46" s="174"/>
      <c r="G46" s="231" t="s">
        <v>1616</v>
      </c>
      <c r="H46" s="174"/>
      <c r="I46" s="232" t="s">
        <v>1617</v>
      </c>
      <c r="J46" s="174"/>
      <c r="K46" s="233" t="s">
        <v>1618</v>
      </c>
      <c r="L46" s="174"/>
      <c r="M46" s="229" t="s">
        <v>1619</v>
      </c>
    </row>
    <row r="47" ht="15.75" customHeight="1">
      <c r="A47" s="234" t="s">
        <v>1509</v>
      </c>
      <c r="B47" s="234" t="s">
        <v>1510</v>
      </c>
      <c r="C47" s="234" t="s">
        <v>1511</v>
      </c>
      <c r="D47" s="234" t="s">
        <v>1614</v>
      </c>
      <c r="E47" s="235" t="s">
        <v>1620</v>
      </c>
      <c r="F47" s="235" t="s">
        <v>1621</v>
      </c>
      <c r="G47" s="236" t="s">
        <v>1622</v>
      </c>
      <c r="H47" s="236" t="s">
        <v>1623</v>
      </c>
      <c r="I47" s="237" t="s">
        <v>1624</v>
      </c>
      <c r="J47" s="237" t="s">
        <v>1625</v>
      </c>
      <c r="K47" s="238" t="s">
        <v>1626</v>
      </c>
      <c r="L47" s="238" t="s">
        <v>1627</v>
      </c>
      <c r="M47" s="234" t="s">
        <v>1619</v>
      </c>
    </row>
    <row r="48" ht="15.75" customHeight="1">
      <c r="A48" s="248">
        <v>1.0</v>
      </c>
      <c r="B48" s="249" t="s">
        <v>2077</v>
      </c>
      <c r="C48" s="248" t="s">
        <v>69</v>
      </c>
      <c r="D48" s="270">
        <v>5.0</v>
      </c>
      <c r="E48" s="267"/>
      <c r="F48" s="268" t="str">
        <f t="shared" ref="F48:F50" si="21">IF(E48&lt;&gt;"",D48*E48,"")</f>
        <v/>
      </c>
      <c r="G48" s="186">
        <v>28500.0</v>
      </c>
      <c r="H48" s="243">
        <f t="shared" ref="H48:H50" si="22">IF(G48&lt;&gt;"",D48*G48,"")</f>
        <v>142500</v>
      </c>
      <c r="I48" s="188">
        <v>37500.0</v>
      </c>
      <c r="J48" s="244">
        <f t="shared" ref="J48:J50" si="23">IF(I48&lt;&gt;"",D48*I48,"")</f>
        <v>187500</v>
      </c>
      <c r="K48" s="245">
        <f t="shared" ref="K48:K51" si="24">IF(J48&lt;&gt;"",IF(H48&lt;&gt;"",J48-H48,IF(F48&lt;&gt;"",J48-F48,"")),"")</f>
        <v>45000</v>
      </c>
      <c r="L48" s="246">
        <f t="shared" ref="L48:L51" si="25">IF(K48&lt;&gt;"",IF(H48&lt;&gt;"",IF(H48&lt;&gt;0,K48/H48,""),IF(F48&lt;&gt;"",IF(F48&lt;&gt;0,K48/F48,""),"")),"")</f>
        <v>0.3157894737</v>
      </c>
      <c r="M48" s="252"/>
    </row>
    <row r="49" ht="15.75" customHeight="1">
      <c r="A49" s="239">
        <v>2.0</v>
      </c>
      <c r="B49" s="240" t="s">
        <v>2078</v>
      </c>
      <c r="C49" s="239" t="s">
        <v>69</v>
      </c>
      <c r="D49" s="271">
        <v>10.0</v>
      </c>
      <c r="E49" s="267"/>
      <c r="F49" s="268" t="str">
        <f t="shared" si="21"/>
        <v/>
      </c>
      <c r="G49" s="186">
        <v>2000.0</v>
      </c>
      <c r="H49" s="243">
        <f t="shared" si="22"/>
        <v>20000</v>
      </c>
      <c r="I49" s="188">
        <v>5000.0</v>
      </c>
      <c r="J49" s="244">
        <f t="shared" si="23"/>
        <v>50000</v>
      </c>
      <c r="K49" s="245">
        <f t="shared" si="24"/>
        <v>30000</v>
      </c>
      <c r="L49" s="246">
        <f t="shared" si="25"/>
        <v>1.5</v>
      </c>
      <c r="M49" s="247"/>
    </row>
    <row r="50" ht="15.75" customHeight="1">
      <c r="A50" s="248">
        <v>3.0</v>
      </c>
      <c r="B50" s="249" t="s">
        <v>2079</v>
      </c>
      <c r="C50" s="248" t="s">
        <v>1583</v>
      </c>
      <c r="D50" s="270">
        <v>10.0</v>
      </c>
      <c r="E50" s="267"/>
      <c r="F50" s="268" t="str">
        <f t="shared" si="21"/>
        <v/>
      </c>
      <c r="G50" s="186">
        <v>65000.0</v>
      </c>
      <c r="H50" s="243">
        <f t="shared" si="22"/>
        <v>650000</v>
      </c>
      <c r="I50" s="188">
        <v>75000.0</v>
      </c>
      <c r="J50" s="244">
        <f t="shared" si="23"/>
        <v>750000</v>
      </c>
      <c r="K50" s="245">
        <f t="shared" si="24"/>
        <v>100000</v>
      </c>
      <c r="L50" s="246">
        <f t="shared" si="25"/>
        <v>0.1538461538</v>
      </c>
      <c r="M50" s="252"/>
    </row>
    <row r="51" ht="15.75" customHeight="1">
      <c r="A51" s="272" t="s">
        <v>2080</v>
      </c>
      <c r="B51" s="206"/>
      <c r="C51" s="206"/>
      <c r="D51" s="174"/>
      <c r="E51" s="257"/>
      <c r="F51" s="258">
        <f>SUMIF(F48:F50,"&lt;&gt;",F48:F50)</f>
        <v>0</v>
      </c>
      <c r="G51" s="257"/>
      <c r="H51" s="258">
        <f>SUMIF(H48:H50,"&lt;&gt;",H48:H50)</f>
        <v>812500</v>
      </c>
      <c r="I51" s="257"/>
      <c r="J51" s="258">
        <f>SUMIF(J48:J50,"&lt;&gt;",J48:J50)</f>
        <v>987500</v>
      </c>
      <c r="K51" s="258">
        <f t="shared" si="24"/>
        <v>175000</v>
      </c>
      <c r="L51" s="262">
        <f t="shared" si="25"/>
        <v>0.2153846154</v>
      </c>
      <c r="M51" s="257"/>
    </row>
    <row r="52" ht="15.75" customHeight="1"/>
    <row r="53" ht="15.75" customHeight="1">
      <c r="A53" s="269"/>
      <c r="C53" s="228" t="s">
        <v>1647</v>
      </c>
      <c r="D53" s="155"/>
      <c r="E53" s="155"/>
      <c r="F53" s="155"/>
      <c r="G53" s="155"/>
      <c r="H53" s="155"/>
      <c r="I53" s="155"/>
      <c r="J53" s="155"/>
      <c r="K53" s="155"/>
      <c r="L53" s="155"/>
      <c r="M53" s="269"/>
    </row>
    <row r="54" ht="15.75" customHeight="1">
      <c r="A54" s="229" t="s">
        <v>1509</v>
      </c>
      <c r="B54" s="229" t="s">
        <v>1510</v>
      </c>
      <c r="C54" s="229" t="s">
        <v>1511</v>
      </c>
      <c r="D54" s="229" t="s">
        <v>1614</v>
      </c>
      <c r="E54" s="230" t="s">
        <v>1615</v>
      </c>
      <c r="F54" s="174"/>
      <c r="G54" s="231" t="s">
        <v>1616</v>
      </c>
      <c r="H54" s="174"/>
      <c r="I54" s="232" t="s">
        <v>1617</v>
      </c>
      <c r="J54" s="174"/>
      <c r="K54" s="233" t="s">
        <v>1618</v>
      </c>
      <c r="L54" s="174"/>
      <c r="M54" s="229" t="s">
        <v>1619</v>
      </c>
    </row>
    <row r="55" ht="15.75" customHeight="1">
      <c r="A55" s="234" t="s">
        <v>1509</v>
      </c>
      <c r="B55" s="234" t="s">
        <v>1510</v>
      </c>
      <c r="C55" s="234" t="s">
        <v>1511</v>
      </c>
      <c r="D55" s="234" t="s">
        <v>1614</v>
      </c>
      <c r="E55" s="235" t="s">
        <v>1620</v>
      </c>
      <c r="F55" s="235" t="s">
        <v>1621</v>
      </c>
      <c r="G55" s="236" t="s">
        <v>1622</v>
      </c>
      <c r="H55" s="236" t="s">
        <v>1623</v>
      </c>
      <c r="I55" s="237" t="s">
        <v>1624</v>
      </c>
      <c r="J55" s="237" t="s">
        <v>1625</v>
      </c>
      <c r="K55" s="238" t="s">
        <v>1626</v>
      </c>
      <c r="L55" s="238" t="s">
        <v>1627</v>
      </c>
      <c r="M55" s="234" t="s">
        <v>1619</v>
      </c>
    </row>
    <row r="56" ht="15.75" customHeight="1">
      <c r="A56" s="248">
        <v>1.0</v>
      </c>
      <c r="B56" s="249" t="s">
        <v>2081</v>
      </c>
      <c r="C56" s="248" t="s">
        <v>69</v>
      </c>
      <c r="D56" s="270">
        <v>2.0</v>
      </c>
      <c r="E56" s="267"/>
      <c r="F56" s="268" t="str">
        <f t="shared" ref="F56:F58" si="26">IF(E56&lt;&gt;"",D56*E56,"")</f>
        <v/>
      </c>
      <c r="G56" s="186">
        <v>25000.0</v>
      </c>
      <c r="H56" s="243">
        <f t="shared" ref="H56:H58" si="27">IF(G56&lt;&gt;"",D56*G56,"")</f>
        <v>50000</v>
      </c>
      <c r="I56" s="188">
        <v>35000.0</v>
      </c>
      <c r="J56" s="244">
        <f t="shared" ref="J56:J58" si="28">IF(I56&lt;&gt;"",D56*I56,"")</f>
        <v>70000</v>
      </c>
      <c r="K56" s="245">
        <f t="shared" ref="K56:K59" si="29">IF(J56&lt;&gt;"",IF(H56&lt;&gt;"",J56-H56,IF(F56&lt;&gt;"",J56-F56,"")),"")</f>
        <v>20000</v>
      </c>
      <c r="L56" s="246">
        <f t="shared" ref="L56:L59" si="30">IF(K56&lt;&gt;"",IF(H56&lt;&gt;"",IF(H56&lt;&gt;0,K56/H56,""),IF(F56&lt;&gt;"",IF(F56&lt;&gt;0,K56/F56,""),"")),"")</f>
        <v>0.4</v>
      </c>
      <c r="M56" s="252"/>
    </row>
    <row r="57" ht="15.75" customHeight="1">
      <c r="A57" s="239">
        <v>2.0</v>
      </c>
      <c r="B57" s="240" t="s">
        <v>2082</v>
      </c>
      <c r="C57" s="239" t="s">
        <v>69</v>
      </c>
      <c r="D57" s="271">
        <v>2.0</v>
      </c>
      <c r="E57" s="267"/>
      <c r="F57" s="268" t="str">
        <f t="shared" si="26"/>
        <v/>
      </c>
      <c r="G57" s="186">
        <v>25000.0</v>
      </c>
      <c r="H57" s="243">
        <f t="shared" si="27"/>
        <v>50000</v>
      </c>
      <c r="I57" s="188">
        <v>35000.0</v>
      </c>
      <c r="J57" s="244">
        <f t="shared" si="28"/>
        <v>70000</v>
      </c>
      <c r="K57" s="245">
        <f t="shared" si="29"/>
        <v>20000</v>
      </c>
      <c r="L57" s="246">
        <f t="shared" si="30"/>
        <v>0.4</v>
      </c>
      <c r="M57" s="247"/>
    </row>
    <row r="58" ht="15.75" customHeight="1">
      <c r="A58" s="248">
        <v>3.0</v>
      </c>
      <c r="B58" s="249" t="s">
        <v>2083</v>
      </c>
      <c r="C58" s="248" t="s">
        <v>1583</v>
      </c>
      <c r="D58" s="270">
        <v>2.0</v>
      </c>
      <c r="E58" s="267"/>
      <c r="F58" s="268" t="str">
        <f t="shared" si="26"/>
        <v/>
      </c>
      <c r="G58" s="186">
        <v>12500.0</v>
      </c>
      <c r="H58" s="243">
        <f t="shared" si="27"/>
        <v>25000</v>
      </c>
      <c r="I58" s="188">
        <v>25000.0</v>
      </c>
      <c r="J58" s="264">
        <f t="shared" si="28"/>
        <v>50000</v>
      </c>
      <c r="K58" s="245">
        <f t="shared" si="29"/>
        <v>25000</v>
      </c>
      <c r="L58" s="246">
        <f t="shared" si="30"/>
        <v>1</v>
      </c>
      <c r="M58" s="252"/>
    </row>
    <row r="59" ht="15.75" customHeight="1">
      <c r="A59" s="325" t="s">
        <v>1998</v>
      </c>
      <c r="B59" s="206"/>
      <c r="C59" s="206"/>
      <c r="D59" s="174"/>
      <c r="E59" s="257"/>
      <c r="F59" s="258">
        <f>SUMIF(F56:F58,"&lt;&gt;",F56:F58)</f>
        <v>0</v>
      </c>
      <c r="G59" s="257"/>
      <c r="H59" s="258">
        <f>SUMIF(H56:H58,"&lt;&gt;",H56:H58)</f>
        <v>125000</v>
      </c>
      <c r="I59" s="259"/>
      <c r="J59" s="260">
        <f>SUMIF(J56:J58,"&lt;&gt;",J56:J58)</f>
        <v>190000</v>
      </c>
      <c r="K59" s="261">
        <f t="shared" si="29"/>
        <v>65000</v>
      </c>
      <c r="L59" s="262">
        <f t="shared" si="30"/>
        <v>0.52</v>
      </c>
      <c r="M59" s="257"/>
    </row>
    <row r="60" ht="15.75" customHeight="1">
      <c r="A60" s="266"/>
      <c r="B60" s="266"/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</row>
    <row r="61" ht="15.75" customHeight="1">
      <c r="A61" s="266"/>
      <c r="B61" s="266"/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</row>
    <row r="62" ht="15.75" customHeight="1">
      <c r="A62" s="269"/>
      <c r="C62" s="228" t="s">
        <v>2084</v>
      </c>
      <c r="D62" s="155"/>
      <c r="E62" s="155"/>
      <c r="F62" s="155"/>
      <c r="G62" s="155"/>
      <c r="H62" s="155"/>
      <c r="I62" s="155"/>
      <c r="J62" s="155"/>
      <c r="K62" s="155"/>
      <c r="L62" s="155"/>
      <c r="M62" s="269"/>
    </row>
    <row r="63" ht="15.75" customHeight="1">
      <c r="A63" s="229" t="s">
        <v>1509</v>
      </c>
      <c r="B63" s="229" t="s">
        <v>1510</v>
      </c>
      <c r="C63" s="229" t="s">
        <v>1511</v>
      </c>
      <c r="D63" s="229" t="s">
        <v>1614</v>
      </c>
      <c r="E63" s="230" t="s">
        <v>1615</v>
      </c>
      <c r="F63" s="174"/>
      <c r="G63" s="231" t="s">
        <v>1616</v>
      </c>
      <c r="H63" s="174"/>
      <c r="I63" s="232" t="s">
        <v>1617</v>
      </c>
      <c r="J63" s="174"/>
      <c r="K63" s="233" t="s">
        <v>1618</v>
      </c>
      <c r="L63" s="174"/>
      <c r="M63" s="229" t="s">
        <v>1619</v>
      </c>
    </row>
    <row r="64" ht="15.75" customHeight="1">
      <c r="A64" s="234" t="s">
        <v>1509</v>
      </c>
      <c r="B64" s="234" t="s">
        <v>1510</v>
      </c>
      <c r="C64" s="234" t="s">
        <v>1511</v>
      </c>
      <c r="D64" s="234" t="s">
        <v>1614</v>
      </c>
      <c r="E64" s="235" t="s">
        <v>1620</v>
      </c>
      <c r="F64" s="235" t="s">
        <v>1621</v>
      </c>
      <c r="G64" s="236" t="s">
        <v>1622</v>
      </c>
      <c r="H64" s="236" t="s">
        <v>1623</v>
      </c>
      <c r="I64" s="237" t="s">
        <v>1624</v>
      </c>
      <c r="J64" s="237" t="s">
        <v>1625</v>
      </c>
      <c r="K64" s="238" t="s">
        <v>1626</v>
      </c>
      <c r="L64" s="238" t="s">
        <v>1627</v>
      </c>
      <c r="M64" s="234" t="s">
        <v>1619</v>
      </c>
    </row>
    <row r="65" ht="15.75" customHeight="1">
      <c r="A65" s="248">
        <v>1.0</v>
      </c>
      <c r="B65" s="249" t="s">
        <v>1746</v>
      </c>
      <c r="C65" s="248" t="s">
        <v>1176</v>
      </c>
      <c r="D65" s="270">
        <v>1.0</v>
      </c>
      <c r="E65" s="267"/>
      <c r="F65" s="268" t="str">
        <f t="shared" ref="F65:F66" si="31">IF(E65&lt;&gt;"",D65*E65,"")</f>
        <v/>
      </c>
      <c r="G65" s="186">
        <v>1125000.0</v>
      </c>
      <c r="H65" s="243">
        <f t="shared" ref="H65:H66" si="32">IF(G65&lt;&gt;"",D65*G65,"")</f>
        <v>1125000</v>
      </c>
      <c r="I65" s="188">
        <v>1250000.0</v>
      </c>
      <c r="J65" s="244">
        <f t="shared" ref="J65:J66" si="33">IF(I65&lt;&gt;"",D65*I65,"")</f>
        <v>1250000</v>
      </c>
      <c r="K65" s="245">
        <f t="shared" ref="K65:K67" si="34">IF(J65&lt;&gt;"",IF(H65&lt;&gt;"",J65-H65,IF(F65&lt;&gt;"",J65-F65,"")),"")</f>
        <v>125000</v>
      </c>
      <c r="L65" s="246">
        <f t="shared" ref="L65:L67" si="35">IF(K65&lt;&gt;"",IF(H65&lt;&gt;"",IF(H65&lt;&gt;0,K65/H65,""),IF(F65&lt;&gt;"",IF(F65&lt;&gt;0,K65/F65,""),"")),"")</f>
        <v>0.1111111111</v>
      </c>
      <c r="M65" s="252"/>
    </row>
    <row r="66" ht="15.75" customHeight="1">
      <c r="A66" s="239">
        <v>2.0</v>
      </c>
      <c r="B66" s="240" t="s">
        <v>1889</v>
      </c>
      <c r="C66" s="239" t="s">
        <v>1176</v>
      </c>
      <c r="D66" s="271">
        <v>2.0</v>
      </c>
      <c r="E66" s="267"/>
      <c r="F66" s="268" t="str">
        <f t="shared" si="31"/>
        <v/>
      </c>
      <c r="G66" s="186">
        <v>255000.0</v>
      </c>
      <c r="H66" s="243">
        <f t="shared" si="32"/>
        <v>510000</v>
      </c>
      <c r="I66" s="188">
        <v>295000.0</v>
      </c>
      <c r="J66" s="244">
        <f t="shared" si="33"/>
        <v>590000</v>
      </c>
      <c r="K66" s="245">
        <f t="shared" si="34"/>
        <v>80000</v>
      </c>
      <c r="L66" s="246">
        <f t="shared" si="35"/>
        <v>0.1568627451</v>
      </c>
      <c r="M66" s="247"/>
    </row>
    <row r="67" ht="15.75" customHeight="1">
      <c r="A67" s="325" t="s">
        <v>2085</v>
      </c>
      <c r="B67" s="206"/>
      <c r="C67" s="206"/>
      <c r="D67" s="174"/>
      <c r="E67" s="257"/>
      <c r="F67" s="258">
        <f>SUMIF(F65:F66,"&lt;&gt;",F65:F66)</f>
        <v>0</v>
      </c>
      <c r="G67" s="257"/>
      <c r="H67" s="258">
        <f>SUMIF(H65:H66,"&lt;&gt;",H65:H66)</f>
        <v>1635000</v>
      </c>
      <c r="I67" s="259"/>
      <c r="J67" s="260">
        <f>SUMIF(J65:J66,"&lt;&gt;",J65:J66)</f>
        <v>1840000</v>
      </c>
      <c r="K67" s="261">
        <f t="shared" si="34"/>
        <v>205000</v>
      </c>
      <c r="L67" s="262">
        <f t="shared" si="35"/>
        <v>0.125382263</v>
      </c>
      <c r="M67" s="257"/>
    </row>
    <row r="68" ht="15.75" customHeight="1">
      <c r="A68" s="266"/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</row>
    <row r="69" ht="15.75" customHeight="1">
      <c r="A69" s="269"/>
      <c r="C69" s="228" t="s">
        <v>2086</v>
      </c>
      <c r="D69" s="155"/>
      <c r="E69" s="155"/>
      <c r="F69" s="155"/>
      <c r="G69" s="155"/>
      <c r="H69" s="155"/>
      <c r="I69" s="155"/>
      <c r="J69" s="155"/>
      <c r="K69" s="155"/>
      <c r="L69" s="155"/>
      <c r="M69" s="269"/>
    </row>
    <row r="70" ht="15.75" customHeight="1">
      <c r="A70" s="229" t="s">
        <v>1509</v>
      </c>
      <c r="B70" s="229" t="s">
        <v>1510</v>
      </c>
      <c r="C70" s="229" t="s">
        <v>1511</v>
      </c>
      <c r="D70" s="229" t="s">
        <v>1614</v>
      </c>
      <c r="E70" s="230" t="s">
        <v>1615</v>
      </c>
      <c r="F70" s="174"/>
      <c r="G70" s="231" t="s">
        <v>1616</v>
      </c>
      <c r="H70" s="174"/>
      <c r="I70" s="232" t="s">
        <v>1617</v>
      </c>
      <c r="J70" s="174"/>
      <c r="K70" s="233" t="s">
        <v>1618</v>
      </c>
      <c r="L70" s="174"/>
      <c r="M70" s="229" t="s">
        <v>1619</v>
      </c>
    </row>
    <row r="71" ht="15.75" customHeight="1">
      <c r="A71" s="234" t="s">
        <v>1509</v>
      </c>
      <c r="B71" s="234" t="s">
        <v>1510</v>
      </c>
      <c r="C71" s="234" t="s">
        <v>1511</v>
      </c>
      <c r="D71" s="234" t="s">
        <v>1614</v>
      </c>
      <c r="E71" s="235" t="s">
        <v>1620</v>
      </c>
      <c r="F71" s="235" t="s">
        <v>1621</v>
      </c>
      <c r="G71" s="236" t="s">
        <v>1622</v>
      </c>
      <c r="H71" s="236" t="s">
        <v>1623</v>
      </c>
      <c r="I71" s="237" t="s">
        <v>1624</v>
      </c>
      <c r="J71" s="237" t="s">
        <v>1625</v>
      </c>
      <c r="K71" s="238" t="s">
        <v>1626</v>
      </c>
      <c r="L71" s="238" t="s">
        <v>1627</v>
      </c>
      <c r="M71" s="234" t="s">
        <v>1619</v>
      </c>
    </row>
    <row r="72" ht="15.75" customHeight="1">
      <c r="A72" s="248">
        <v>1.0</v>
      </c>
      <c r="B72" s="249" t="s">
        <v>1754</v>
      </c>
      <c r="C72" s="248" t="s">
        <v>1754</v>
      </c>
      <c r="D72" s="270">
        <v>30.0</v>
      </c>
      <c r="E72" s="267"/>
      <c r="F72" s="268" t="str">
        <f t="shared" ref="F72:F73" si="36">IF(E72&lt;&gt;"",D72*E72,"")</f>
        <v/>
      </c>
      <c r="G72" s="186">
        <v>19200.0</v>
      </c>
      <c r="H72" s="243">
        <f t="shared" ref="H72:H73" si="37">IF(G72&lt;&gt;"",D72*G72,"")</f>
        <v>576000</v>
      </c>
      <c r="I72" s="188">
        <v>22500.0</v>
      </c>
      <c r="J72" s="244">
        <f t="shared" ref="J72:J73" si="38">IF(I72&lt;&gt;"",D72*I72,"")</f>
        <v>675000</v>
      </c>
      <c r="K72" s="245">
        <f t="shared" ref="K72:K74" si="39">IF(J72&lt;&gt;"",IF(H72&lt;&gt;"",J72-H72,IF(F72&lt;&gt;"",J72-F72,"")),"")</f>
        <v>99000</v>
      </c>
      <c r="L72" s="246">
        <f t="shared" ref="L72:L74" si="40">IF(K72&lt;&gt;"",IF(H72&lt;&gt;"",IF(H72&lt;&gt;0,K72/H72,""),IF(F72&lt;&gt;"",IF(F72&lt;&gt;0,K72/F72,""),"")),"")</f>
        <v>0.171875</v>
      </c>
      <c r="M72" s="252"/>
    </row>
    <row r="73" ht="15.75" customHeight="1">
      <c r="A73" s="239">
        <v>2.0</v>
      </c>
      <c r="B73" s="240" t="s">
        <v>1746</v>
      </c>
      <c r="C73" s="239" t="s">
        <v>1176</v>
      </c>
      <c r="D73" s="271">
        <v>2.0</v>
      </c>
      <c r="E73" s="267"/>
      <c r="F73" s="268" t="str">
        <f t="shared" si="36"/>
        <v/>
      </c>
      <c r="G73" s="186">
        <v>1125000.0</v>
      </c>
      <c r="H73" s="263">
        <f t="shared" si="37"/>
        <v>2250000</v>
      </c>
      <c r="I73" s="188">
        <v>1250000.0</v>
      </c>
      <c r="J73" s="244">
        <f t="shared" si="38"/>
        <v>2500000</v>
      </c>
      <c r="K73" s="245">
        <f t="shared" si="39"/>
        <v>250000</v>
      </c>
      <c r="L73" s="246">
        <f t="shared" si="40"/>
        <v>0.1111111111</v>
      </c>
      <c r="M73" s="247"/>
    </row>
    <row r="74" ht="15.75" customHeight="1">
      <c r="A74" s="325" t="s">
        <v>2001</v>
      </c>
      <c r="B74" s="206"/>
      <c r="C74" s="206"/>
      <c r="D74" s="174"/>
      <c r="E74" s="257"/>
      <c r="F74" s="258">
        <f>SUMIF(F72:F73,"&lt;&gt;",F72:F73)</f>
        <v>0</v>
      </c>
      <c r="G74" s="259"/>
      <c r="H74" s="260">
        <f>SUMIF(H72:H73,"&lt;&gt;",H72:H73)</f>
        <v>2826000</v>
      </c>
      <c r="I74" s="265"/>
      <c r="J74" s="260">
        <f>SUMIF(J72:J73,"&lt;&gt;",J72:J73)</f>
        <v>3175000</v>
      </c>
      <c r="K74" s="261">
        <f t="shared" si="39"/>
        <v>349000</v>
      </c>
      <c r="L74" s="262">
        <f t="shared" si="40"/>
        <v>0.1234961076</v>
      </c>
      <c r="M74" s="257"/>
    </row>
    <row r="75" ht="15.75" customHeight="1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</row>
    <row r="76" ht="15.75" customHeight="1">
      <c r="A76" s="269"/>
      <c r="C76" s="228" t="s">
        <v>1667</v>
      </c>
      <c r="D76" s="155"/>
      <c r="E76" s="155"/>
      <c r="F76" s="155"/>
      <c r="G76" s="155"/>
      <c r="H76" s="155"/>
      <c r="I76" s="155"/>
      <c r="J76" s="155"/>
      <c r="K76" s="155"/>
      <c r="L76" s="155"/>
      <c r="M76" s="269"/>
    </row>
    <row r="77" ht="15.75" customHeight="1">
      <c r="A77" s="229" t="s">
        <v>1509</v>
      </c>
      <c r="B77" s="229" t="s">
        <v>1510</v>
      </c>
      <c r="C77" s="229" t="s">
        <v>1511</v>
      </c>
      <c r="D77" s="229" t="s">
        <v>1614</v>
      </c>
      <c r="E77" s="230" t="s">
        <v>1615</v>
      </c>
      <c r="F77" s="174"/>
      <c r="G77" s="231" t="s">
        <v>1616</v>
      </c>
      <c r="H77" s="174"/>
      <c r="I77" s="232" t="s">
        <v>1617</v>
      </c>
      <c r="J77" s="174"/>
      <c r="K77" s="233" t="s">
        <v>1618</v>
      </c>
      <c r="L77" s="174"/>
      <c r="M77" s="229" t="s">
        <v>1619</v>
      </c>
    </row>
    <row r="78" ht="15.75" customHeight="1">
      <c r="A78" s="234" t="s">
        <v>1509</v>
      </c>
      <c r="B78" s="234" t="s">
        <v>1510</v>
      </c>
      <c r="C78" s="234" t="s">
        <v>1511</v>
      </c>
      <c r="D78" s="234" t="s">
        <v>1614</v>
      </c>
      <c r="E78" s="235" t="s">
        <v>1620</v>
      </c>
      <c r="F78" s="235" t="s">
        <v>1621</v>
      </c>
      <c r="G78" s="236" t="s">
        <v>1622</v>
      </c>
      <c r="H78" s="236" t="s">
        <v>1623</v>
      </c>
      <c r="I78" s="237" t="s">
        <v>1624</v>
      </c>
      <c r="J78" s="237" t="s">
        <v>1625</v>
      </c>
      <c r="K78" s="238" t="s">
        <v>1626</v>
      </c>
      <c r="L78" s="238" t="s">
        <v>1627</v>
      </c>
      <c r="M78" s="234" t="s">
        <v>1619</v>
      </c>
    </row>
    <row r="79" ht="15.75" customHeight="1">
      <c r="A79" s="248">
        <v>1.0</v>
      </c>
      <c r="B79" s="249" t="s">
        <v>1790</v>
      </c>
      <c r="C79" s="248" t="s">
        <v>1762</v>
      </c>
      <c r="D79" s="270">
        <v>1.0</v>
      </c>
      <c r="E79" s="267"/>
      <c r="F79" s="268" t="str">
        <f t="shared" ref="F79:F80" si="41">IF(E79&lt;&gt;"",D79*E79,"")</f>
        <v/>
      </c>
      <c r="G79" s="186">
        <v>2700000.0</v>
      </c>
      <c r="H79" s="243">
        <f t="shared" ref="H79:H80" si="42">IF(G79&lt;&gt;"",D79*G79,"")</f>
        <v>2700000</v>
      </c>
      <c r="I79" s="188">
        <v>2700000.0</v>
      </c>
      <c r="J79" s="244">
        <f t="shared" ref="J79:J80" si="43">IF(I79&lt;&gt;"",D79*I79,"")</f>
        <v>2700000</v>
      </c>
      <c r="K79" s="245">
        <f t="shared" ref="K79:K81" si="44">IF(J79&lt;&gt;"",IF(H79&lt;&gt;"",J79-H79,IF(F79&lt;&gt;"",J79-F79,"")),"")</f>
        <v>0</v>
      </c>
      <c r="L79" s="246">
        <f t="shared" ref="L79:L81" si="45">IF(K79&lt;&gt;"",IF(H79&lt;&gt;"",IF(H79&lt;&gt;0,K79/H79,""),IF(F79&lt;&gt;"",IF(F79&lt;&gt;0,K79/F79,""),"")),"")</f>
        <v>0</v>
      </c>
      <c r="M79" s="252"/>
    </row>
    <row r="80" ht="15.75" customHeight="1">
      <c r="A80" s="239">
        <v>2.0</v>
      </c>
      <c r="B80" s="249" t="s">
        <v>1790</v>
      </c>
      <c r="C80" s="239" t="s">
        <v>1762</v>
      </c>
      <c r="D80" s="271">
        <v>1.0</v>
      </c>
      <c r="E80" s="267"/>
      <c r="F80" s="268" t="str">
        <f t="shared" si="41"/>
        <v/>
      </c>
      <c r="G80" s="186">
        <v>2700000.0</v>
      </c>
      <c r="H80" s="263">
        <f t="shared" si="42"/>
        <v>2700000</v>
      </c>
      <c r="I80" s="188">
        <v>2700000.0</v>
      </c>
      <c r="J80" s="244">
        <f t="shared" si="43"/>
        <v>2700000</v>
      </c>
      <c r="K80" s="245">
        <f t="shared" si="44"/>
        <v>0</v>
      </c>
      <c r="L80" s="246">
        <f t="shared" si="45"/>
        <v>0</v>
      </c>
      <c r="M80" s="247"/>
    </row>
    <row r="81" ht="15.75" customHeight="1">
      <c r="A81" s="325" t="s">
        <v>1828</v>
      </c>
      <c r="B81" s="206"/>
      <c r="C81" s="206"/>
      <c r="D81" s="174"/>
      <c r="E81" s="257"/>
      <c r="F81" s="258">
        <f>SUMIF(F79:F80,"&lt;&gt;",F79:F80)</f>
        <v>0</v>
      </c>
      <c r="G81" s="259"/>
      <c r="H81" s="260">
        <f>SUMIF(H79:H80,"&lt;&gt;",H79:H80)</f>
        <v>5400000</v>
      </c>
      <c r="I81" s="265"/>
      <c r="J81" s="260">
        <f>SUMIF(J79:J80,"&lt;&gt;",J79:J80)</f>
        <v>5400000</v>
      </c>
      <c r="K81" s="261">
        <f t="shared" si="44"/>
        <v>0</v>
      </c>
      <c r="L81" s="262">
        <f t="shared" si="45"/>
        <v>0</v>
      </c>
      <c r="M81" s="257"/>
    </row>
    <row r="82" ht="15.75" customHeight="1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</row>
    <row r="83" ht="15.75" customHeight="1">
      <c r="A83" s="269"/>
      <c r="C83" s="228" t="s">
        <v>1667</v>
      </c>
      <c r="D83" s="155"/>
      <c r="E83" s="155"/>
      <c r="F83" s="155"/>
      <c r="G83" s="155"/>
      <c r="H83" s="155"/>
      <c r="I83" s="155"/>
      <c r="J83" s="155"/>
      <c r="K83" s="155"/>
      <c r="L83" s="155"/>
      <c r="M83" s="269"/>
    </row>
    <row r="84" ht="15.75" customHeight="1">
      <c r="A84" s="229" t="s">
        <v>1509</v>
      </c>
      <c r="B84" s="229" t="s">
        <v>1510</v>
      </c>
      <c r="C84" s="229" t="s">
        <v>1511</v>
      </c>
      <c r="D84" s="229" t="s">
        <v>1614</v>
      </c>
      <c r="E84" s="230" t="s">
        <v>1615</v>
      </c>
      <c r="F84" s="174"/>
      <c r="G84" s="231" t="s">
        <v>1616</v>
      </c>
      <c r="H84" s="174"/>
      <c r="I84" s="232" t="s">
        <v>1617</v>
      </c>
      <c r="J84" s="174"/>
      <c r="K84" s="233" t="s">
        <v>1618</v>
      </c>
      <c r="L84" s="174"/>
      <c r="M84" s="229" t="s">
        <v>1619</v>
      </c>
    </row>
    <row r="85" ht="15.75" customHeight="1">
      <c r="A85" s="234" t="s">
        <v>1509</v>
      </c>
      <c r="B85" s="234" t="s">
        <v>1510</v>
      </c>
      <c r="C85" s="234" t="s">
        <v>1511</v>
      </c>
      <c r="D85" s="234" t="s">
        <v>1614</v>
      </c>
      <c r="E85" s="235" t="s">
        <v>1620</v>
      </c>
      <c r="F85" s="235" t="s">
        <v>1621</v>
      </c>
      <c r="G85" s="236" t="s">
        <v>1622</v>
      </c>
      <c r="H85" s="236" t="s">
        <v>1623</v>
      </c>
      <c r="I85" s="237" t="s">
        <v>1624</v>
      </c>
      <c r="J85" s="237" t="s">
        <v>1625</v>
      </c>
      <c r="K85" s="238" t="s">
        <v>1626</v>
      </c>
      <c r="L85" s="238" t="s">
        <v>1627</v>
      </c>
      <c r="M85" s="234" t="s">
        <v>1619</v>
      </c>
    </row>
    <row r="86" ht="15.75" customHeight="1">
      <c r="A86" s="248">
        <v>1.0</v>
      </c>
      <c r="B86" s="249" t="s">
        <v>1985</v>
      </c>
      <c r="C86" s="248" t="s">
        <v>69</v>
      </c>
      <c r="D86" s="270">
        <v>1050.0</v>
      </c>
      <c r="E86" s="267"/>
      <c r="F86" s="268" t="str">
        <f>IF(E86&lt;&gt;"",D86*E86,"")</f>
        <v/>
      </c>
      <c r="G86" s="199">
        <v>1325.0</v>
      </c>
      <c r="H86" s="243">
        <f>IF(G86&lt;&gt;"",D86*G86,"")</f>
        <v>1391250</v>
      </c>
      <c r="I86" s="188">
        <v>1600.0</v>
      </c>
      <c r="J86" s="244">
        <f>IF(I86&lt;&gt;"",D86*I86,"")</f>
        <v>1680000</v>
      </c>
      <c r="K86" s="308">
        <f t="shared" ref="K86:K87" si="46">IF(J86&lt;&gt;"",IF(H86&lt;&gt;"",J86-H86,IF(F86&lt;&gt;"",J86-F86,"")),"")</f>
        <v>288750</v>
      </c>
      <c r="L86" s="405">
        <f t="shared" ref="L86:L87" si="47">IF(K86&lt;&gt;"",IF(H86&lt;&gt;"",IF(H86&lt;&gt;0,K86/H86,""),IF(F86&lt;&gt;"",IF(F86&lt;&gt;0,K86/F86,""),"")),"")</f>
        <v>0.2075471698</v>
      </c>
      <c r="M86" s="252"/>
    </row>
    <row r="87" ht="15.75" customHeight="1">
      <c r="A87" s="325" t="s">
        <v>1828</v>
      </c>
      <c r="B87" s="206"/>
      <c r="C87" s="206"/>
      <c r="D87" s="174"/>
      <c r="E87" s="257"/>
      <c r="F87" s="258">
        <f>SUMIF(F86,"&lt;&gt;",F86)</f>
        <v>0</v>
      </c>
      <c r="G87" s="259"/>
      <c r="H87" s="260">
        <f>SUMIF(H86,"&lt;&gt;",H86)</f>
        <v>1391250</v>
      </c>
      <c r="I87" s="265"/>
      <c r="J87" s="260">
        <f>SUMIF(J86,"&lt;&gt;",J86)</f>
        <v>1680000</v>
      </c>
      <c r="K87" s="261">
        <f t="shared" si="46"/>
        <v>288750</v>
      </c>
      <c r="L87" s="410">
        <f t="shared" si="47"/>
        <v>0.2075471698</v>
      </c>
      <c r="M87" s="257"/>
    </row>
    <row r="88" ht="15.75" customHeight="1"/>
    <row r="89" ht="15.75" customHeight="1">
      <c r="A89" s="225" t="s">
        <v>2029</v>
      </c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6"/>
    </row>
    <row r="90" ht="15.75" customHeight="1">
      <c r="A90" s="172" t="s">
        <v>1509</v>
      </c>
      <c r="B90" s="172" t="s">
        <v>1510</v>
      </c>
      <c r="C90" s="172" t="s">
        <v>1511</v>
      </c>
      <c r="D90" s="172" t="s">
        <v>1614</v>
      </c>
      <c r="E90" s="173" t="s">
        <v>1615</v>
      </c>
      <c r="F90" s="174"/>
      <c r="G90" s="175" t="s">
        <v>1616</v>
      </c>
      <c r="H90" s="174"/>
      <c r="I90" s="176" t="s">
        <v>1617</v>
      </c>
      <c r="J90" s="174"/>
      <c r="K90" s="177" t="s">
        <v>1618</v>
      </c>
      <c r="L90" s="174"/>
      <c r="M90" s="172" t="s">
        <v>1619</v>
      </c>
    </row>
    <row r="91" ht="15.75" customHeight="1">
      <c r="A91" s="178" t="s">
        <v>1509</v>
      </c>
      <c r="B91" s="178" t="s">
        <v>1510</v>
      </c>
      <c r="C91" s="178" t="s">
        <v>1511</v>
      </c>
      <c r="D91" s="178" t="s">
        <v>1614</v>
      </c>
      <c r="E91" s="179" t="s">
        <v>1620</v>
      </c>
      <c r="F91" s="179" t="s">
        <v>1621</v>
      </c>
      <c r="G91" s="180" t="s">
        <v>1622</v>
      </c>
      <c r="H91" s="180" t="s">
        <v>1623</v>
      </c>
      <c r="I91" s="181" t="s">
        <v>1624</v>
      </c>
      <c r="J91" s="181" t="s">
        <v>1625</v>
      </c>
      <c r="K91" s="182" t="s">
        <v>1626</v>
      </c>
      <c r="L91" s="182" t="s">
        <v>1627</v>
      </c>
      <c r="M91" s="178" t="s">
        <v>1619</v>
      </c>
    </row>
    <row r="92" ht="15.75" customHeight="1">
      <c r="A92" s="223">
        <v>1.0</v>
      </c>
      <c r="B92" s="275" t="s">
        <v>2063</v>
      </c>
      <c r="C92" s="278" t="s">
        <v>1676</v>
      </c>
      <c r="D92" s="254">
        <v>10.0</v>
      </c>
      <c r="E92" s="184"/>
      <c r="F92" s="185" t="str">
        <f t="shared" ref="F92:F97" si="48">IF(E92&lt;&gt;"",D92*E92,"")</f>
        <v/>
      </c>
      <c r="G92" s="199">
        <v>65000.0</v>
      </c>
      <c r="H92" s="243">
        <f t="shared" ref="H92:H99" si="49">IF(G92&lt;&gt;"",D92*G92,"")</f>
        <v>650000</v>
      </c>
      <c r="I92" s="200">
        <v>75000.0</v>
      </c>
      <c r="J92" s="244">
        <f t="shared" ref="J92:J99" si="50">IF(I92&lt;&gt;"",D92*I92,"")</f>
        <v>750000</v>
      </c>
      <c r="K92" s="190">
        <f t="shared" ref="K92:K100" si="51">IF(J92&lt;&gt;"",IF(H92&lt;&gt;"",J92-H92,IF(F92&lt;&gt;"",J92-F92,"")),"")</f>
        <v>100000</v>
      </c>
      <c r="L92" s="191">
        <f t="shared" ref="L92:L100" si="52">IF(K92&lt;&gt;"",IF(H92&lt;&gt;"",IF(H92&lt;&gt;0,K92/H92,""),IF(F92&lt;&gt;"",IF(F92&lt;&gt;0,K92/F92,""),"")),"")</f>
        <v>0.1538461538</v>
      </c>
      <c r="M92" s="192"/>
    </row>
    <row r="93" ht="15.75" customHeight="1">
      <c r="A93" s="164">
        <v>2.0</v>
      </c>
      <c r="B93" s="276" t="s">
        <v>2087</v>
      </c>
      <c r="C93" s="280" t="s">
        <v>1583</v>
      </c>
      <c r="D93" s="277">
        <v>5.0</v>
      </c>
      <c r="E93" s="184"/>
      <c r="F93" s="185" t="str">
        <f t="shared" si="48"/>
        <v/>
      </c>
      <c r="G93" s="199">
        <v>8500.0</v>
      </c>
      <c r="H93" s="243">
        <f t="shared" si="49"/>
        <v>42500</v>
      </c>
      <c r="I93" s="200">
        <v>10000.0</v>
      </c>
      <c r="J93" s="244">
        <f t="shared" si="50"/>
        <v>50000</v>
      </c>
      <c r="K93" s="194">
        <f t="shared" si="51"/>
        <v>7500</v>
      </c>
      <c r="L93" s="195">
        <f t="shared" si="52"/>
        <v>0.1764705882</v>
      </c>
      <c r="M93" s="196"/>
    </row>
    <row r="94" ht="15.75" customHeight="1">
      <c r="A94" s="159">
        <v>3.0</v>
      </c>
      <c r="B94" s="275" t="s">
        <v>2064</v>
      </c>
      <c r="C94" s="332" t="s">
        <v>69</v>
      </c>
      <c r="D94" s="254">
        <v>5.0</v>
      </c>
      <c r="E94" s="184"/>
      <c r="F94" s="185" t="str">
        <f t="shared" si="48"/>
        <v/>
      </c>
      <c r="G94" s="199">
        <v>16000.0</v>
      </c>
      <c r="H94" s="243">
        <f t="shared" si="49"/>
        <v>80000</v>
      </c>
      <c r="I94" s="200">
        <v>20000.0</v>
      </c>
      <c r="J94" s="244">
        <f t="shared" si="50"/>
        <v>100000</v>
      </c>
      <c r="K94" s="190">
        <f t="shared" si="51"/>
        <v>20000</v>
      </c>
      <c r="L94" s="191">
        <f t="shared" si="52"/>
        <v>0.25</v>
      </c>
      <c r="M94" s="192"/>
    </row>
    <row r="95" ht="15.75" customHeight="1">
      <c r="A95" s="164">
        <v>4.0</v>
      </c>
      <c r="B95" s="276" t="s">
        <v>2088</v>
      </c>
      <c r="C95" s="334" t="s">
        <v>1583</v>
      </c>
      <c r="D95" s="277">
        <v>5.0</v>
      </c>
      <c r="E95" s="184"/>
      <c r="F95" s="185" t="str">
        <f t="shared" si="48"/>
        <v/>
      </c>
      <c r="G95" s="199">
        <v>13000.0</v>
      </c>
      <c r="H95" s="243">
        <f t="shared" si="49"/>
        <v>65000</v>
      </c>
      <c r="I95" s="200">
        <v>17500.0</v>
      </c>
      <c r="J95" s="244">
        <f t="shared" si="50"/>
        <v>87500</v>
      </c>
      <c r="K95" s="194">
        <f t="shared" si="51"/>
        <v>22500</v>
      </c>
      <c r="L95" s="195">
        <f t="shared" si="52"/>
        <v>0.3461538462</v>
      </c>
      <c r="M95" s="196"/>
    </row>
    <row r="96" ht="15.75" customHeight="1">
      <c r="A96" s="159">
        <v>5.0</v>
      </c>
      <c r="B96" s="275" t="s">
        <v>1867</v>
      </c>
      <c r="C96" s="334" t="s">
        <v>1583</v>
      </c>
      <c r="D96" s="254">
        <v>10.0</v>
      </c>
      <c r="E96" s="184"/>
      <c r="F96" s="185" t="str">
        <f t="shared" si="48"/>
        <v/>
      </c>
      <c r="G96" s="199">
        <v>13000.0</v>
      </c>
      <c r="H96" s="243">
        <f t="shared" si="49"/>
        <v>130000</v>
      </c>
      <c r="I96" s="200">
        <v>13000.0</v>
      </c>
      <c r="J96" s="244">
        <f t="shared" si="50"/>
        <v>130000</v>
      </c>
      <c r="K96" s="190">
        <f t="shared" si="51"/>
        <v>0</v>
      </c>
      <c r="L96" s="191">
        <f t="shared" si="52"/>
        <v>0</v>
      </c>
      <c r="M96" s="192"/>
    </row>
    <row r="97" ht="15.75" customHeight="1">
      <c r="A97" s="164">
        <v>6.0</v>
      </c>
      <c r="B97" s="276" t="s">
        <v>1780</v>
      </c>
      <c r="C97" s="334" t="s">
        <v>1583</v>
      </c>
      <c r="D97" s="277">
        <v>5.0</v>
      </c>
      <c r="E97" s="184"/>
      <c r="F97" s="185" t="str">
        <f t="shared" si="48"/>
        <v/>
      </c>
      <c r="G97" s="199">
        <v>25000.0</v>
      </c>
      <c r="H97" s="243">
        <f t="shared" si="49"/>
        <v>125000</v>
      </c>
      <c r="I97" s="200">
        <v>27500.0</v>
      </c>
      <c r="J97" s="244">
        <f t="shared" si="50"/>
        <v>137500</v>
      </c>
      <c r="K97" s="194">
        <f t="shared" si="51"/>
        <v>12500</v>
      </c>
      <c r="L97" s="195">
        <f t="shared" si="52"/>
        <v>0.1</v>
      </c>
      <c r="M97" s="196"/>
    </row>
    <row r="98" ht="15.75" customHeight="1">
      <c r="A98" s="223">
        <v>7.0</v>
      </c>
      <c r="B98" s="275" t="s">
        <v>1737</v>
      </c>
      <c r="C98" s="280" t="s">
        <v>1176</v>
      </c>
      <c r="D98" s="254">
        <v>2.0</v>
      </c>
      <c r="E98" s="184"/>
      <c r="F98" s="185"/>
      <c r="G98" s="199">
        <v>1125000.0</v>
      </c>
      <c r="H98" s="243">
        <f t="shared" si="49"/>
        <v>2250000</v>
      </c>
      <c r="I98" s="200">
        <v>1250000.0</v>
      </c>
      <c r="J98" s="244">
        <f t="shared" si="50"/>
        <v>2500000</v>
      </c>
      <c r="K98" s="194">
        <f t="shared" si="51"/>
        <v>250000</v>
      </c>
      <c r="L98" s="195">
        <f t="shared" si="52"/>
        <v>0.1111111111</v>
      </c>
      <c r="M98" s="192"/>
    </row>
    <row r="99" ht="15.75" customHeight="1">
      <c r="A99" s="223">
        <v>8.0</v>
      </c>
      <c r="B99" s="275" t="s">
        <v>2089</v>
      </c>
      <c r="C99" s="334" t="s">
        <v>1583</v>
      </c>
      <c r="D99" s="254">
        <v>4.0</v>
      </c>
      <c r="E99" s="184"/>
      <c r="F99" s="185" t="str">
        <f>IF(E99&lt;&gt;"",D99*E99,"")</f>
        <v/>
      </c>
      <c r="G99" s="199">
        <v>80000.0</v>
      </c>
      <c r="H99" s="243">
        <f t="shared" si="49"/>
        <v>320000</v>
      </c>
      <c r="I99" s="200">
        <v>85000.0</v>
      </c>
      <c r="J99" s="244">
        <f t="shared" si="50"/>
        <v>340000</v>
      </c>
      <c r="K99" s="194">
        <f t="shared" si="51"/>
        <v>20000</v>
      </c>
      <c r="L99" s="191">
        <f t="shared" si="52"/>
        <v>0.0625</v>
      </c>
      <c r="M99" s="192"/>
    </row>
    <row r="100" ht="15.75" customHeight="1">
      <c r="A100" s="325" t="s">
        <v>2090</v>
      </c>
      <c r="B100" s="206"/>
      <c r="C100" s="206"/>
      <c r="D100" s="174"/>
      <c r="E100" s="207"/>
      <c r="F100" s="208">
        <f>SUMIF(F92:F99,"&lt;&gt;",F92:F99)</f>
        <v>0</v>
      </c>
      <c r="G100" s="207"/>
      <c r="H100" s="208">
        <f>SUMIF(H92:H99,"&lt;&gt;",H92:H99)</f>
        <v>3662500</v>
      </c>
      <c r="I100" s="209"/>
      <c r="J100" s="210">
        <f>SUMIF(J92:J99,"&lt;&gt;",J92:J99)</f>
        <v>4095000</v>
      </c>
      <c r="K100" s="211">
        <f t="shared" si="51"/>
        <v>432500</v>
      </c>
      <c r="L100" s="212">
        <f t="shared" si="52"/>
        <v>0.1180887372</v>
      </c>
      <c r="M100" s="207"/>
    </row>
    <row r="101" ht="15.75" customHeight="1"/>
    <row r="102" ht="15.75" customHeight="1">
      <c r="A102" s="269"/>
      <c r="C102" s="273" t="s">
        <v>2091</v>
      </c>
      <c r="D102" s="155"/>
      <c r="E102" s="155"/>
      <c r="F102" s="155"/>
      <c r="G102" s="155"/>
      <c r="H102" s="155"/>
      <c r="I102" s="155"/>
      <c r="J102" s="155"/>
      <c r="K102" s="155"/>
      <c r="L102" s="155"/>
      <c r="M102" s="269"/>
    </row>
    <row r="103" ht="15.75" customHeight="1">
      <c r="A103" s="229" t="s">
        <v>1509</v>
      </c>
      <c r="B103" s="229" t="s">
        <v>1510</v>
      </c>
      <c r="C103" s="229" t="s">
        <v>1511</v>
      </c>
      <c r="D103" s="229" t="s">
        <v>1614</v>
      </c>
      <c r="E103" s="230" t="s">
        <v>1615</v>
      </c>
      <c r="F103" s="174"/>
      <c r="G103" s="231" t="s">
        <v>1616</v>
      </c>
      <c r="H103" s="174"/>
      <c r="I103" s="232" t="s">
        <v>1617</v>
      </c>
      <c r="J103" s="174"/>
      <c r="K103" s="233" t="s">
        <v>1618</v>
      </c>
      <c r="L103" s="174"/>
      <c r="M103" s="229" t="s">
        <v>1619</v>
      </c>
    </row>
    <row r="104" ht="15.75" customHeight="1">
      <c r="A104" s="234" t="s">
        <v>1509</v>
      </c>
      <c r="B104" s="234" t="s">
        <v>1510</v>
      </c>
      <c r="C104" s="234" t="s">
        <v>1511</v>
      </c>
      <c r="D104" s="234" t="s">
        <v>1614</v>
      </c>
      <c r="E104" s="235" t="s">
        <v>1620</v>
      </c>
      <c r="F104" s="235" t="s">
        <v>1621</v>
      </c>
      <c r="G104" s="236" t="s">
        <v>1622</v>
      </c>
      <c r="H104" s="236" t="s">
        <v>1623</v>
      </c>
      <c r="I104" s="237" t="s">
        <v>1624</v>
      </c>
      <c r="J104" s="237" t="s">
        <v>1625</v>
      </c>
      <c r="K104" s="238" t="s">
        <v>1626</v>
      </c>
      <c r="L104" s="238" t="s">
        <v>1627</v>
      </c>
      <c r="M104" s="234" t="s">
        <v>1619</v>
      </c>
    </row>
    <row r="105" ht="15.75" customHeight="1">
      <c r="A105" s="248">
        <v>1.0</v>
      </c>
      <c r="B105" s="249" t="s">
        <v>1754</v>
      </c>
      <c r="C105" s="248" t="s">
        <v>1754</v>
      </c>
      <c r="D105" s="309">
        <v>32.0</v>
      </c>
      <c r="E105" s="267"/>
      <c r="F105" s="268" t="str">
        <f t="shared" ref="F105:F106" si="53">IF(E105&lt;&gt;"",D105*E105,"")</f>
        <v/>
      </c>
      <c r="G105" s="186">
        <v>19200.0</v>
      </c>
      <c r="H105" s="243">
        <f t="shared" ref="H105:H106" si="54">IF(G105&lt;&gt;"",D105*G105,"")</f>
        <v>614400</v>
      </c>
      <c r="I105" s="188">
        <v>22500.0</v>
      </c>
      <c r="J105" s="244">
        <f t="shared" ref="J105:J106" si="55">IF(I105&lt;&gt;"",D105*I105,"")</f>
        <v>720000</v>
      </c>
      <c r="K105" s="245">
        <f t="shared" ref="K105:K107" si="56">IF(J105&lt;&gt;"",IF(H105&lt;&gt;"",J105-H105,IF(F105&lt;&gt;"",J105-F105,"")),"")</f>
        <v>105600</v>
      </c>
      <c r="L105" s="246">
        <f t="shared" ref="L105:L107" si="57">IF(K105&lt;&gt;"",IF(H105&lt;&gt;"",IF(H105&lt;&gt;0,K105/H105,""),IF(F105&lt;&gt;"",IF(F105&lt;&gt;0,K105/F105,""),"")),"")</f>
        <v>0.171875</v>
      </c>
      <c r="M105" s="252"/>
    </row>
    <row r="106" ht="15.75" customHeight="1">
      <c r="A106" s="239">
        <v>2.0</v>
      </c>
      <c r="B106" s="240" t="s">
        <v>1746</v>
      </c>
      <c r="C106" s="239" t="s">
        <v>1176</v>
      </c>
      <c r="D106" s="274">
        <v>1.0</v>
      </c>
      <c r="E106" s="267"/>
      <c r="F106" s="268" t="str">
        <f t="shared" si="53"/>
        <v/>
      </c>
      <c r="G106" s="186">
        <v>1125000.0</v>
      </c>
      <c r="H106" s="263">
        <f t="shared" si="54"/>
        <v>1125000</v>
      </c>
      <c r="I106" s="188">
        <v>1250000.0</v>
      </c>
      <c r="J106" s="244">
        <f t="shared" si="55"/>
        <v>1250000</v>
      </c>
      <c r="K106" s="245">
        <f t="shared" si="56"/>
        <v>125000</v>
      </c>
      <c r="L106" s="246">
        <f t="shared" si="57"/>
        <v>0.1111111111</v>
      </c>
      <c r="M106" s="247"/>
    </row>
    <row r="107" ht="15.75" customHeight="1">
      <c r="A107" s="325" t="s">
        <v>2092</v>
      </c>
      <c r="B107" s="206"/>
      <c r="C107" s="206"/>
      <c r="D107" s="174"/>
      <c r="E107" s="257"/>
      <c r="F107" s="258">
        <f>SUMIF(F105:F106,"&lt;&gt;",F105:F106)</f>
        <v>0</v>
      </c>
      <c r="G107" s="259"/>
      <c r="H107" s="260">
        <f>SUMIF(H105:H106,"&lt;&gt;",H105:H106)</f>
        <v>1739400</v>
      </c>
      <c r="I107" s="265"/>
      <c r="J107" s="260">
        <f>SUMIF(J105:J106,"&lt;&gt;",J105:J106)</f>
        <v>1970000</v>
      </c>
      <c r="K107" s="261">
        <f t="shared" si="56"/>
        <v>230600</v>
      </c>
      <c r="L107" s="262">
        <f t="shared" si="57"/>
        <v>0.132574451</v>
      </c>
      <c r="M107" s="257"/>
    </row>
    <row r="108" ht="15.75" customHeight="1"/>
    <row r="109" ht="15.75" customHeight="1">
      <c r="A109" s="269"/>
      <c r="C109" s="273" t="s">
        <v>1895</v>
      </c>
      <c r="D109" s="155"/>
      <c r="E109" s="155"/>
      <c r="F109" s="155"/>
      <c r="G109" s="155"/>
      <c r="H109" s="155"/>
      <c r="I109" s="155"/>
      <c r="J109" s="155"/>
      <c r="K109" s="155"/>
      <c r="L109" s="155"/>
      <c r="M109" s="269"/>
    </row>
    <row r="110" ht="15.75" customHeight="1">
      <c r="A110" s="229" t="s">
        <v>1509</v>
      </c>
      <c r="B110" s="229" t="s">
        <v>1510</v>
      </c>
      <c r="C110" s="229" t="s">
        <v>1511</v>
      </c>
      <c r="D110" s="229" t="s">
        <v>1614</v>
      </c>
      <c r="E110" s="230" t="s">
        <v>1615</v>
      </c>
      <c r="F110" s="174"/>
      <c r="G110" s="231" t="s">
        <v>1616</v>
      </c>
      <c r="H110" s="174"/>
      <c r="I110" s="232" t="s">
        <v>1617</v>
      </c>
      <c r="J110" s="174"/>
      <c r="K110" s="233" t="s">
        <v>1618</v>
      </c>
      <c r="L110" s="174"/>
      <c r="M110" s="229" t="s">
        <v>1619</v>
      </c>
    </row>
    <row r="111" ht="15.75" customHeight="1">
      <c r="A111" s="234" t="s">
        <v>1509</v>
      </c>
      <c r="B111" s="234" t="s">
        <v>1510</v>
      </c>
      <c r="C111" s="234" t="s">
        <v>1511</v>
      </c>
      <c r="D111" s="234" t="s">
        <v>1614</v>
      </c>
      <c r="E111" s="235" t="s">
        <v>1620</v>
      </c>
      <c r="F111" s="235" t="s">
        <v>1621</v>
      </c>
      <c r="G111" s="236" t="s">
        <v>1622</v>
      </c>
      <c r="H111" s="236" t="s">
        <v>1623</v>
      </c>
      <c r="I111" s="237" t="s">
        <v>1624</v>
      </c>
      <c r="J111" s="237" t="s">
        <v>1625</v>
      </c>
      <c r="K111" s="238" t="s">
        <v>1626</v>
      </c>
      <c r="L111" s="238" t="s">
        <v>1627</v>
      </c>
      <c r="M111" s="234" t="s">
        <v>1619</v>
      </c>
    </row>
    <row r="112" ht="15.75" customHeight="1">
      <c r="A112" s="248">
        <v>1.0</v>
      </c>
      <c r="B112" s="276" t="s">
        <v>2093</v>
      </c>
      <c r="C112" s="280" t="s">
        <v>2094</v>
      </c>
      <c r="D112" s="309">
        <v>10.0</v>
      </c>
      <c r="E112" s="267"/>
      <c r="F112" s="268" t="str">
        <f>IF(E112&lt;&gt;"",D112*E112,"")</f>
        <v/>
      </c>
      <c r="G112" s="311">
        <v>19000.0</v>
      </c>
      <c r="H112" s="243">
        <f>IF(G112&lt;&gt;"",D112*G112,"")</f>
        <v>190000</v>
      </c>
      <c r="I112" s="200">
        <v>25000.0</v>
      </c>
      <c r="J112" s="244">
        <f>IF(I112&lt;&gt;"",D112*I112,"")</f>
        <v>250000</v>
      </c>
      <c r="K112" s="245">
        <f t="shared" ref="K112:K113" si="58">IF(J112&lt;&gt;"",IF(H112&lt;&gt;"",J112-H112,IF(F112&lt;&gt;"",J112-F112,"")),"")</f>
        <v>60000</v>
      </c>
      <c r="L112" s="246">
        <f t="shared" ref="L112:L113" si="59">IF(K112&lt;&gt;"",IF(H112&lt;&gt;"",IF(H112&lt;&gt;0,K112/H112,""),IF(F112&lt;&gt;"",IF(F112&lt;&gt;0,K112/F112,""),"")),"")</f>
        <v>0.3157894737</v>
      </c>
      <c r="M112" s="252"/>
    </row>
    <row r="113" ht="15.75" customHeight="1">
      <c r="A113" s="325" t="s">
        <v>2095</v>
      </c>
      <c r="B113" s="206"/>
      <c r="C113" s="206"/>
      <c r="D113" s="174"/>
      <c r="E113" s="257"/>
      <c r="F113" s="258">
        <f>SUMIF(F112,"&lt;&gt;",F112)</f>
        <v>0</v>
      </c>
      <c r="G113" s="259"/>
      <c r="H113" s="260">
        <f>SUMIF(H112,"&lt;&gt;",H112)</f>
        <v>190000</v>
      </c>
      <c r="I113" s="265"/>
      <c r="J113" s="260">
        <f>SUMIF(J112,"&lt;&gt;",J112)</f>
        <v>250000</v>
      </c>
      <c r="K113" s="261">
        <f t="shared" si="58"/>
        <v>60000</v>
      </c>
      <c r="L113" s="262">
        <f t="shared" si="59"/>
        <v>0.3157894737</v>
      </c>
      <c r="M113" s="257"/>
    </row>
    <row r="114" ht="15.75" customHeight="1"/>
    <row r="115" ht="15.75" customHeight="1">
      <c r="A115" s="269"/>
      <c r="C115" s="273" t="s">
        <v>1951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269"/>
    </row>
    <row r="116" ht="15.75" customHeight="1">
      <c r="A116" s="229" t="s">
        <v>1509</v>
      </c>
      <c r="B116" s="229" t="s">
        <v>1510</v>
      </c>
      <c r="C116" s="229" t="s">
        <v>1511</v>
      </c>
      <c r="D116" s="229" t="s">
        <v>1614</v>
      </c>
      <c r="E116" s="230" t="s">
        <v>1615</v>
      </c>
      <c r="F116" s="174"/>
      <c r="G116" s="231" t="s">
        <v>1616</v>
      </c>
      <c r="H116" s="174"/>
      <c r="I116" s="232" t="s">
        <v>1617</v>
      </c>
      <c r="J116" s="174"/>
      <c r="K116" s="233" t="s">
        <v>1618</v>
      </c>
      <c r="L116" s="174"/>
      <c r="M116" s="229" t="s">
        <v>1619</v>
      </c>
    </row>
    <row r="117" ht="15.75" customHeight="1">
      <c r="A117" s="234" t="s">
        <v>1509</v>
      </c>
      <c r="B117" s="234" t="s">
        <v>1510</v>
      </c>
      <c r="C117" s="234" t="s">
        <v>1511</v>
      </c>
      <c r="D117" s="234" t="s">
        <v>1614</v>
      </c>
      <c r="E117" s="235" t="s">
        <v>1620</v>
      </c>
      <c r="F117" s="235" t="s">
        <v>1621</v>
      </c>
      <c r="G117" s="236" t="s">
        <v>1622</v>
      </c>
      <c r="H117" s="236" t="s">
        <v>1623</v>
      </c>
      <c r="I117" s="237" t="s">
        <v>1624</v>
      </c>
      <c r="J117" s="237" t="s">
        <v>1625</v>
      </c>
      <c r="K117" s="238" t="s">
        <v>1626</v>
      </c>
      <c r="L117" s="238" t="s">
        <v>1627</v>
      </c>
      <c r="M117" s="234" t="s">
        <v>1619</v>
      </c>
    </row>
    <row r="118" ht="15.75" customHeight="1">
      <c r="A118" s="248">
        <v>1.0</v>
      </c>
      <c r="B118" s="276" t="s">
        <v>1746</v>
      </c>
      <c r="C118" s="280" t="s">
        <v>1176</v>
      </c>
      <c r="D118" s="309">
        <v>1.0</v>
      </c>
      <c r="E118" s="267"/>
      <c r="F118" s="268" t="str">
        <f>IF(E118&lt;&gt;"",D118*E118,"")</f>
        <v/>
      </c>
      <c r="G118" s="199">
        <v>1125000.0</v>
      </c>
      <c r="H118" s="243">
        <f t="shared" ref="H118:H120" si="60">IF(G118&lt;&gt;"",D118*G118,"")</f>
        <v>1125000</v>
      </c>
      <c r="I118" s="200">
        <v>1250000.0</v>
      </c>
      <c r="J118" s="244">
        <f t="shared" ref="J118:J120" si="61">IF(I118&lt;&gt;"",D118*I118,"")</f>
        <v>1250000</v>
      </c>
      <c r="K118" s="245">
        <f t="shared" ref="K118:K121" si="62">IF(J118&lt;&gt;"",IF(H118&lt;&gt;"",J118-H118,IF(F118&lt;&gt;"",J118-F118,"")),"")</f>
        <v>125000</v>
      </c>
      <c r="L118" s="246">
        <f t="shared" ref="L118:L121" si="63">IF(K118&lt;&gt;"",IF(H118&lt;&gt;"",IF(H118&lt;&gt;0,K118/H118,""),IF(F118&lt;&gt;"",IF(F118&lt;&gt;0,K118/F118,""),"")),"")</f>
        <v>0.1111111111</v>
      </c>
      <c r="M118" s="252"/>
    </row>
    <row r="119" ht="15.75" customHeight="1">
      <c r="A119" s="278">
        <v>2.0</v>
      </c>
      <c r="B119" s="275" t="s">
        <v>1928</v>
      </c>
      <c r="C119" s="278" t="s">
        <v>69</v>
      </c>
      <c r="D119" s="274">
        <v>5.0</v>
      </c>
      <c r="E119" s="267"/>
      <c r="F119" s="268"/>
      <c r="G119" s="311">
        <v>12000.0</v>
      </c>
      <c r="H119" s="243">
        <f t="shared" si="60"/>
        <v>60000</v>
      </c>
      <c r="I119" s="200">
        <v>20000.0</v>
      </c>
      <c r="J119" s="244">
        <f t="shared" si="61"/>
        <v>100000</v>
      </c>
      <c r="K119" s="245">
        <f t="shared" si="62"/>
        <v>40000</v>
      </c>
      <c r="L119" s="246">
        <f t="shared" si="63"/>
        <v>0.6666666667</v>
      </c>
      <c r="M119" s="247"/>
    </row>
    <row r="120" ht="15.75" customHeight="1">
      <c r="A120" s="278">
        <v>3.0</v>
      </c>
      <c r="B120" s="275" t="s">
        <v>1741</v>
      </c>
      <c r="C120" s="278" t="s">
        <v>69</v>
      </c>
      <c r="D120" s="274">
        <v>5.0</v>
      </c>
      <c r="E120" s="267"/>
      <c r="F120" s="268" t="str">
        <f>IF(E120&lt;&gt;"",D120*E120,"")</f>
        <v/>
      </c>
      <c r="G120" s="311">
        <v>43000.0</v>
      </c>
      <c r="H120" s="263">
        <f t="shared" si="60"/>
        <v>215000</v>
      </c>
      <c r="I120" s="200">
        <v>50000.0</v>
      </c>
      <c r="J120" s="244">
        <f t="shared" si="61"/>
        <v>250000</v>
      </c>
      <c r="K120" s="245">
        <f t="shared" si="62"/>
        <v>35000</v>
      </c>
      <c r="L120" s="246">
        <f t="shared" si="63"/>
        <v>0.1627906977</v>
      </c>
      <c r="M120" s="247"/>
    </row>
    <row r="121" ht="15.75" customHeight="1">
      <c r="A121" s="325" t="s">
        <v>2096</v>
      </c>
      <c r="B121" s="206"/>
      <c r="C121" s="206"/>
      <c r="D121" s="174"/>
      <c r="E121" s="257"/>
      <c r="F121" s="258">
        <f>SUMIF(F118:F120,"&lt;&gt;",F118:F120)</f>
        <v>0</v>
      </c>
      <c r="G121" s="259"/>
      <c r="H121" s="260">
        <f>SUMIF(H118:H120,"&lt;&gt;",H118:H120)</f>
        <v>1400000</v>
      </c>
      <c r="I121" s="265"/>
      <c r="J121" s="260">
        <f>SUMIF(J118:J120,"&lt;&gt;",J118:J120)</f>
        <v>1600000</v>
      </c>
      <c r="K121" s="261">
        <f t="shared" si="62"/>
        <v>200000</v>
      </c>
      <c r="L121" s="262">
        <f t="shared" si="63"/>
        <v>0.1428571429</v>
      </c>
      <c r="M121" s="257"/>
    </row>
    <row r="122" ht="15.75" customHeight="1"/>
    <row r="123" ht="15.75" customHeight="1">
      <c r="A123" s="273" t="s">
        <v>2097</v>
      </c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</row>
    <row r="124" ht="15.75" customHeight="1">
      <c r="A124" s="229" t="s">
        <v>1509</v>
      </c>
      <c r="B124" s="229" t="s">
        <v>1510</v>
      </c>
      <c r="C124" s="229" t="s">
        <v>1511</v>
      </c>
      <c r="D124" s="229" t="s">
        <v>1614</v>
      </c>
      <c r="E124" s="230" t="s">
        <v>1615</v>
      </c>
      <c r="F124" s="174"/>
      <c r="G124" s="231" t="s">
        <v>1616</v>
      </c>
      <c r="H124" s="174"/>
      <c r="I124" s="232" t="s">
        <v>1617</v>
      </c>
      <c r="J124" s="174"/>
      <c r="K124" s="233" t="s">
        <v>1618</v>
      </c>
      <c r="L124" s="174"/>
      <c r="M124" s="229" t="s">
        <v>1619</v>
      </c>
    </row>
    <row r="125" ht="15.75" customHeight="1">
      <c r="A125" s="234" t="s">
        <v>1509</v>
      </c>
      <c r="B125" s="234" t="s">
        <v>1510</v>
      </c>
      <c r="C125" s="234" t="s">
        <v>1511</v>
      </c>
      <c r="D125" s="234" t="s">
        <v>1614</v>
      </c>
      <c r="E125" s="235" t="s">
        <v>1620</v>
      </c>
      <c r="F125" s="235" t="s">
        <v>1621</v>
      </c>
      <c r="G125" s="236" t="s">
        <v>1622</v>
      </c>
      <c r="H125" s="236" t="s">
        <v>1623</v>
      </c>
      <c r="I125" s="237" t="s">
        <v>1624</v>
      </c>
      <c r="J125" s="237" t="s">
        <v>1625</v>
      </c>
      <c r="K125" s="238" t="s">
        <v>1626</v>
      </c>
      <c r="L125" s="238" t="s">
        <v>1627</v>
      </c>
      <c r="M125" s="234" t="s">
        <v>1619</v>
      </c>
    </row>
    <row r="126" ht="15.75" customHeight="1">
      <c r="A126" s="248">
        <v>1.0</v>
      </c>
      <c r="B126" s="276" t="s">
        <v>1746</v>
      </c>
      <c r="C126" s="280" t="s">
        <v>1176</v>
      </c>
      <c r="D126" s="309">
        <v>1.0</v>
      </c>
      <c r="E126" s="267"/>
      <c r="F126" s="268" t="str">
        <f>IF(E126&lt;&gt;"",D126*E126,"")</f>
        <v/>
      </c>
      <c r="G126" s="199">
        <v>1125000.0</v>
      </c>
      <c r="H126" s="243">
        <f t="shared" ref="H126:H131" si="64">IF(G126&lt;&gt;"",D126*G126,"")</f>
        <v>1125000</v>
      </c>
      <c r="I126" s="200">
        <v>1250000.0</v>
      </c>
      <c r="J126" s="244">
        <f t="shared" ref="J126:J131" si="65">IF(I126&lt;&gt;"",D126*I126,"")</f>
        <v>1250000</v>
      </c>
      <c r="K126" s="245">
        <f t="shared" ref="K126:K132" si="66">IF(J126&lt;&gt;"",IF(H126&lt;&gt;"",J126-H126,IF(F126&lt;&gt;"",J126-F126,"")),"")</f>
        <v>125000</v>
      </c>
      <c r="L126" s="246">
        <f t="shared" ref="L126:L132" si="67">IF(K126&lt;&gt;"",IF(H126&lt;&gt;"",IF(H126&lt;&gt;0,K126/H126,""),IF(F126&lt;&gt;"",IF(F126&lt;&gt;0,K126/F126,""),"")),"")</f>
        <v>0.1111111111</v>
      </c>
      <c r="M126" s="252"/>
    </row>
    <row r="127" ht="15.75" customHeight="1">
      <c r="A127" s="278">
        <v>2.0</v>
      </c>
      <c r="B127" s="275" t="s">
        <v>1754</v>
      </c>
      <c r="C127" s="278" t="s">
        <v>69</v>
      </c>
      <c r="D127" s="274">
        <v>25.0</v>
      </c>
      <c r="E127" s="267"/>
      <c r="F127" s="268"/>
      <c r="G127" s="199">
        <v>19200.0</v>
      </c>
      <c r="H127" s="243">
        <f t="shared" si="64"/>
        <v>480000</v>
      </c>
      <c r="I127" s="200">
        <v>22500.0</v>
      </c>
      <c r="J127" s="244">
        <f t="shared" si="65"/>
        <v>562500</v>
      </c>
      <c r="K127" s="245">
        <f t="shared" si="66"/>
        <v>82500</v>
      </c>
      <c r="L127" s="246">
        <f t="shared" si="67"/>
        <v>0.171875</v>
      </c>
      <c r="M127" s="247"/>
    </row>
    <row r="128" ht="15.75" customHeight="1">
      <c r="A128" s="278">
        <v>3.0</v>
      </c>
      <c r="B128" s="275" t="s">
        <v>2098</v>
      </c>
      <c r="C128" s="278" t="s">
        <v>1904</v>
      </c>
      <c r="D128" s="274">
        <v>45.0</v>
      </c>
      <c r="E128" s="267"/>
      <c r="F128" s="268"/>
      <c r="G128" s="311">
        <v>9000.0</v>
      </c>
      <c r="H128" s="243">
        <f t="shared" si="64"/>
        <v>405000</v>
      </c>
      <c r="I128" s="200">
        <v>10000.0</v>
      </c>
      <c r="J128" s="244">
        <f t="shared" si="65"/>
        <v>450000</v>
      </c>
      <c r="K128" s="245">
        <f t="shared" si="66"/>
        <v>45000</v>
      </c>
      <c r="L128" s="246">
        <f t="shared" si="67"/>
        <v>0.1111111111</v>
      </c>
      <c r="M128" s="247"/>
    </row>
    <row r="129" ht="15.75" customHeight="1">
      <c r="A129" s="278">
        <v>4.0</v>
      </c>
      <c r="B129" s="275" t="s">
        <v>2099</v>
      </c>
      <c r="C129" s="278" t="s">
        <v>1583</v>
      </c>
      <c r="D129" s="274">
        <v>16.0</v>
      </c>
      <c r="E129" s="267"/>
      <c r="F129" s="268"/>
      <c r="G129" s="311">
        <v>13000.0</v>
      </c>
      <c r="H129" s="243">
        <f t="shared" si="64"/>
        <v>208000</v>
      </c>
      <c r="I129" s="200">
        <v>17500.0</v>
      </c>
      <c r="J129" s="244">
        <f t="shared" si="65"/>
        <v>280000</v>
      </c>
      <c r="K129" s="245">
        <f t="shared" si="66"/>
        <v>72000</v>
      </c>
      <c r="L129" s="246">
        <f t="shared" si="67"/>
        <v>0.3461538462</v>
      </c>
      <c r="M129" s="247"/>
    </row>
    <row r="130" ht="15.75" customHeight="1">
      <c r="A130" s="278">
        <v>5.0</v>
      </c>
      <c r="B130" s="275" t="s">
        <v>2100</v>
      </c>
      <c r="C130" s="278" t="s">
        <v>69</v>
      </c>
      <c r="D130" s="274">
        <v>2.0</v>
      </c>
      <c r="E130" s="267"/>
      <c r="F130" s="268"/>
      <c r="G130" s="311">
        <v>132000.0</v>
      </c>
      <c r="H130" s="243">
        <f t="shared" si="64"/>
        <v>264000</v>
      </c>
      <c r="I130" s="200">
        <v>150000.0</v>
      </c>
      <c r="J130" s="244">
        <f t="shared" si="65"/>
        <v>300000</v>
      </c>
      <c r="K130" s="245">
        <f t="shared" si="66"/>
        <v>36000</v>
      </c>
      <c r="L130" s="246">
        <f t="shared" si="67"/>
        <v>0.1363636364</v>
      </c>
      <c r="M130" s="247"/>
    </row>
    <row r="131" ht="15.75" customHeight="1">
      <c r="A131" s="278">
        <v>6.0</v>
      </c>
      <c r="B131" s="275" t="s">
        <v>2068</v>
      </c>
      <c r="C131" s="278" t="s">
        <v>1583</v>
      </c>
      <c r="D131" s="274">
        <v>2.0</v>
      </c>
      <c r="E131" s="267"/>
      <c r="F131" s="268" t="str">
        <f>IF(E131&lt;&gt;"",D131*E131,"")</f>
        <v/>
      </c>
      <c r="G131" s="311">
        <v>9500.0</v>
      </c>
      <c r="H131" s="243">
        <f t="shared" si="64"/>
        <v>19000</v>
      </c>
      <c r="I131" s="200">
        <v>12500.0</v>
      </c>
      <c r="J131" s="244">
        <f t="shared" si="65"/>
        <v>25000</v>
      </c>
      <c r="K131" s="245">
        <f t="shared" si="66"/>
        <v>6000</v>
      </c>
      <c r="L131" s="246">
        <f t="shared" si="67"/>
        <v>0.3157894737</v>
      </c>
      <c r="M131" s="247"/>
    </row>
    <row r="132" ht="15.75" customHeight="1">
      <c r="A132" s="325" t="s">
        <v>2101</v>
      </c>
      <c r="B132" s="206"/>
      <c r="C132" s="206"/>
      <c r="D132" s="174"/>
      <c r="E132" s="257"/>
      <c r="F132" s="258">
        <f>SUMIF(F126:F131,"&lt;&gt;",F126:F131)</f>
        <v>0</v>
      </c>
      <c r="G132" s="259"/>
      <c r="H132" s="260">
        <f>SUMIF(H126:H131,"&lt;&gt;",H126:H131)</f>
        <v>2501000</v>
      </c>
      <c r="I132" s="265"/>
      <c r="J132" s="260">
        <f>SUMIF(J126:J131,"&lt;&gt;",J126:J131)</f>
        <v>2867500</v>
      </c>
      <c r="K132" s="261">
        <f t="shared" si="66"/>
        <v>366500</v>
      </c>
      <c r="L132" s="262">
        <f t="shared" si="67"/>
        <v>0.1465413834</v>
      </c>
      <c r="M132" s="257"/>
    </row>
    <row r="133" ht="15.75" customHeight="1"/>
    <row r="134" ht="15.75" customHeight="1">
      <c r="A134" s="269"/>
      <c r="C134" s="273" t="s">
        <v>1702</v>
      </c>
      <c r="D134" s="155"/>
      <c r="E134" s="155"/>
      <c r="F134" s="155"/>
      <c r="G134" s="155"/>
      <c r="H134" s="155"/>
      <c r="I134" s="155"/>
      <c r="J134" s="155"/>
      <c r="K134" s="155"/>
      <c r="L134" s="155"/>
      <c r="M134" s="269"/>
    </row>
    <row r="135" ht="15.75" customHeight="1">
      <c r="A135" s="229" t="s">
        <v>1509</v>
      </c>
      <c r="B135" s="229" t="s">
        <v>1510</v>
      </c>
      <c r="C135" s="229" t="s">
        <v>1511</v>
      </c>
      <c r="D135" s="229" t="s">
        <v>1614</v>
      </c>
      <c r="E135" s="230" t="s">
        <v>1615</v>
      </c>
      <c r="F135" s="174"/>
      <c r="G135" s="231" t="s">
        <v>1616</v>
      </c>
      <c r="H135" s="174"/>
      <c r="I135" s="232" t="s">
        <v>1617</v>
      </c>
      <c r="J135" s="174"/>
      <c r="K135" s="233" t="s">
        <v>1618</v>
      </c>
      <c r="L135" s="174"/>
      <c r="M135" s="229" t="s">
        <v>1619</v>
      </c>
    </row>
    <row r="136" ht="15.75" customHeight="1">
      <c r="A136" s="234" t="s">
        <v>1509</v>
      </c>
      <c r="B136" s="234" t="s">
        <v>1510</v>
      </c>
      <c r="C136" s="234" t="s">
        <v>1511</v>
      </c>
      <c r="D136" s="234" t="s">
        <v>1614</v>
      </c>
      <c r="E136" s="235" t="s">
        <v>1620</v>
      </c>
      <c r="F136" s="235" t="s">
        <v>1621</v>
      </c>
      <c r="G136" s="236" t="s">
        <v>1622</v>
      </c>
      <c r="H136" s="236" t="s">
        <v>1623</v>
      </c>
      <c r="I136" s="237" t="s">
        <v>1624</v>
      </c>
      <c r="J136" s="237" t="s">
        <v>1625</v>
      </c>
      <c r="K136" s="238" t="s">
        <v>1626</v>
      </c>
      <c r="L136" s="238" t="s">
        <v>1627</v>
      </c>
      <c r="M136" s="234" t="s">
        <v>1619</v>
      </c>
    </row>
    <row r="137" ht="15.75" customHeight="1">
      <c r="A137" s="248">
        <v>1.0</v>
      </c>
      <c r="B137" s="276" t="s">
        <v>1746</v>
      </c>
      <c r="C137" s="280" t="s">
        <v>1176</v>
      </c>
      <c r="D137" s="309">
        <v>1.0</v>
      </c>
      <c r="E137" s="267"/>
      <c r="F137" s="268" t="str">
        <f>IF(E137&lt;&gt;"",D137*E137,"")</f>
        <v/>
      </c>
      <c r="G137" s="199">
        <v>1125000.0</v>
      </c>
      <c r="H137" s="243">
        <f t="shared" ref="H137:H139" si="68">IF(G137&lt;&gt;"",D137*G137,"")</f>
        <v>1125000</v>
      </c>
      <c r="I137" s="200">
        <v>1250000.0</v>
      </c>
      <c r="J137" s="244">
        <f t="shared" ref="J137:J139" si="69">IF(I137&lt;&gt;"",D137*I137,"")</f>
        <v>1250000</v>
      </c>
      <c r="K137" s="245">
        <f t="shared" ref="K137:K140" si="70">IF(J137&lt;&gt;"",IF(H137&lt;&gt;"",J137-H137,IF(F137&lt;&gt;"",J137-F137,"")),"")</f>
        <v>125000</v>
      </c>
      <c r="L137" s="246">
        <f t="shared" ref="L137:L140" si="71">IF(K137&lt;&gt;"",IF(H137&lt;&gt;"",IF(H137&lt;&gt;0,K137/H137,""),IF(F137&lt;&gt;"",IF(F137&lt;&gt;0,K137/F137,""),"")),"")</f>
        <v>0.1111111111</v>
      </c>
      <c r="M137" s="252"/>
    </row>
    <row r="138" ht="15.75" customHeight="1">
      <c r="A138" s="278">
        <v>2.0</v>
      </c>
      <c r="B138" s="275" t="s">
        <v>1889</v>
      </c>
      <c r="C138" s="278" t="s">
        <v>1176</v>
      </c>
      <c r="D138" s="274">
        <v>1.0</v>
      </c>
      <c r="E138" s="267"/>
      <c r="F138" s="268"/>
      <c r="G138" s="199">
        <v>255000.0</v>
      </c>
      <c r="H138" s="243">
        <f t="shared" si="68"/>
        <v>255000</v>
      </c>
      <c r="I138" s="200">
        <v>295000.0</v>
      </c>
      <c r="J138" s="244">
        <f t="shared" si="69"/>
        <v>295000</v>
      </c>
      <c r="K138" s="245">
        <f t="shared" si="70"/>
        <v>40000</v>
      </c>
      <c r="L138" s="246">
        <f t="shared" si="71"/>
        <v>0.1568627451</v>
      </c>
      <c r="M138" s="247"/>
    </row>
    <row r="139" ht="15.75" customHeight="1">
      <c r="A139" s="278">
        <v>3.0</v>
      </c>
      <c r="B139" s="275" t="s">
        <v>2098</v>
      </c>
      <c r="C139" s="278" t="s">
        <v>1904</v>
      </c>
      <c r="D139" s="274">
        <v>29.0</v>
      </c>
      <c r="E139" s="267"/>
      <c r="F139" s="268" t="str">
        <f>IF(E139&lt;&gt;"",D139*E139,"")</f>
        <v/>
      </c>
      <c r="G139" s="311">
        <v>9000.0</v>
      </c>
      <c r="H139" s="263">
        <f t="shared" si="68"/>
        <v>261000</v>
      </c>
      <c r="I139" s="281">
        <v>15000.0</v>
      </c>
      <c r="J139" s="264">
        <f t="shared" si="69"/>
        <v>435000</v>
      </c>
      <c r="K139" s="245">
        <f t="shared" si="70"/>
        <v>174000</v>
      </c>
      <c r="L139" s="246">
        <f t="shared" si="71"/>
        <v>0.6666666667</v>
      </c>
      <c r="M139" s="247"/>
    </row>
    <row r="140" ht="15.75" customHeight="1">
      <c r="A140" s="325" t="s">
        <v>2102</v>
      </c>
      <c r="B140" s="206"/>
      <c r="C140" s="206"/>
      <c r="D140" s="174"/>
      <c r="E140" s="257"/>
      <c r="F140" s="258">
        <f>SUMIF(F137:F139,"&lt;&gt;",F137:F139)</f>
        <v>0</v>
      </c>
      <c r="G140" s="259"/>
      <c r="H140" s="282">
        <f>SUMIF(H137:H139,"&lt;&gt;",H137:H139)</f>
        <v>1641000</v>
      </c>
      <c r="I140" s="283"/>
      <c r="J140" s="282">
        <f>SUMIF(J137:J139,"&lt;&gt;",J137:J139)</f>
        <v>1980000</v>
      </c>
      <c r="K140" s="261">
        <f t="shared" si="70"/>
        <v>339000</v>
      </c>
      <c r="L140" s="262">
        <f t="shared" si="71"/>
        <v>0.2065813528</v>
      </c>
      <c r="M140" s="257"/>
    </row>
    <row r="141" ht="15.75" customHeight="1"/>
    <row r="142" ht="15.75" customHeight="1">
      <c r="A142" s="269"/>
      <c r="C142" s="273" t="s">
        <v>1922</v>
      </c>
      <c r="D142" s="155"/>
      <c r="E142" s="155"/>
      <c r="F142" s="155"/>
      <c r="G142" s="155"/>
      <c r="H142" s="155"/>
      <c r="I142" s="155"/>
      <c r="J142" s="155"/>
      <c r="K142" s="155"/>
      <c r="L142" s="155"/>
      <c r="M142" s="269"/>
    </row>
    <row r="143" ht="15.75" customHeight="1">
      <c r="A143" s="229" t="s">
        <v>1509</v>
      </c>
      <c r="B143" s="229" t="s">
        <v>1510</v>
      </c>
      <c r="C143" s="229" t="s">
        <v>1511</v>
      </c>
      <c r="D143" s="229" t="s">
        <v>1614</v>
      </c>
      <c r="E143" s="230" t="s">
        <v>1615</v>
      </c>
      <c r="F143" s="174"/>
      <c r="G143" s="231" t="s">
        <v>1616</v>
      </c>
      <c r="H143" s="174"/>
      <c r="I143" s="232" t="s">
        <v>1617</v>
      </c>
      <c r="J143" s="174"/>
      <c r="K143" s="233" t="s">
        <v>1618</v>
      </c>
      <c r="L143" s="174"/>
      <c r="M143" s="229" t="s">
        <v>1619</v>
      </c>
    </row>
    <row r="144" ht="15.75" customHeight="1">
      <c r="A144" s="234" t="s">
        <v>1509</v>
      </c>
      <c r="B144" s="234" t="s">
        <v>1510</v>
      </c>
      <c r="C144" s="234" t="s">
        <v>1511</v>
      </c>
      <c r="D144" s="234" t="s">
        <v>1614</v>
      </c>
      <c r="E144" s="235" t="s">
        <v>1620</v>
      </c>
      <c r="F144" s="235" t="s">
        <v>1621</v>
      </c>
      <c r="G144" s="236" t="s">
        <v>1622</v>
      </c>
      <c r="H144" s="236" t="s">
        <v>1623</v>
      </c>
      <c r="I144" s="237" t="s">
        <v>1624</v>
      </c>
      <c r="J144" s="237" t="s">
        <v>1625</v>
      </c>
      <c r="K144" s="238" t="s">
        <v>1626</v>
      </c>
      <c r="L144" s="238" t="s">
        <v>1627</v>
      </c>
      <c r="M144" s="234" t="s">
        <v>1619</v>
      </c>
    </row>
    <row r="145" ht="15.75" customHeight="1">
      <c r="A145" s="248">
        <v>1.0</v>
      </c>
      <c r="B145" s="276" t="s">
        <v>1753</v>
      </c>
      <c r="C145" s="280" t="s">
        <v>1754</v>
      </c>
      <c r="D145" s="309">
        <v>25.0</v>
      </c>
      <c r="E145" s="267"/>
      <c r="F145" s="268" t="str">
        <f>IF(E145&lt;&gt;"",D145*E145,"")</f>
        <v/>
      </c>
      <c r="G145" s="199">
        <v>19200.0</v>
      </c>
      <c r="H145" s="243">
        <f t="shared" ref="H145:H147" si="72">IF(G145&lt;&gt;"",D145*G145,"")</f>
        <v>480000</v>
      </c>
      <c r="I145" s="200">
        <v>22500.0</v>
      </c>
      <c r="J145" s="244">
        <f t="shared" ref="J145:J147" si="73">IF(I145&lt;&gt;"",D145*I145,"")</f>
        <v>562500</v>
      </c>
      <c r="K145" s="245">
        <f t="shared" ref="K145:K148" si="74">IF(J145&lt;&gt;"",IF(H145&lt;&gt;"",J145-H145,IF(F145&lt;&gt;"",J145-F145,"")),"")</f>
        <v>82500</v>
      </c>
      <c r="L145" s="246">
        <f t="shared" ref="L145:L148" si="75">IF(K145&lt;&gt;"",IF(H145&lt;&gt;"",IF(H145&lt;&gt;0,K145/H145,""),IF(F145&lt;&gt;"",IF(F145&lt;&gt;0,K145/F145,""),"")),"")</f>
        <v>0.171875</v>
      </c>
      <c r="M145" s="252"/>
    </row>
    <row r="146" ht="15.75" customHeight="1">
      <c r="A146" s="278">
        <v>2.0</v>
      </c>
      <c r="B146" s="275" t="s">
        <v>1742</v>
      </c>
      <c r="C146" s="278" t="s">
        <v>1676</v>
      </c>
      <c r="D146" s="274">
        <v>10.0</v>
      </c>
      <c r="E146" s="267"/>
      <c r="F146" s="268"/>
      <c r="G146" s="311">
        <v>65000.0</v>
      </c>
      <c r="H146" s="243">
        <f t="shared" si="72"/>
        <v>650000</v>
      </c>
      <c r="I146" s="200">
        <v>75000.0</v>
      </c>
      <c r="J146" s="244">
        <f t="shared" si="73"/>
        <v>750000</v>
      </c>
      <c r="K146" s="245">
        <f t="shared" si="74"/>
        <v>100000</v>
      </c>
      <c r="L146" s="246">
        <f t="shared" si="75"/>
        <v>0.1538461538</v>
      </c>
      <c r="M146" s="247"/>
    </row>
    <row r="147" ht="15.75" customHeight="1">
      <c r="A147" s="278">
        <v>3.0</v>
      </c>
      <c r="B147" s="275" t="s">
        <v>2103</v>
      </c>
      <c r="C147" s="278" t="s">
        <v>1676</v>
      </c>
      <c r="D147" s="274">
        <v>4.0</v>
      </c>
      <c r="E147" s="267"/>
      <c r="F147" s="268" t="str">
        <f>IF(E147&lt;&gt;"",D147*E147,"")</f>
        <v/>
      </c>
      <c r="G147" s="311">
        <v>70000.0</v>
      </c>
      <c r="H147" s="263">
        <f t="shared" si="72"/>
        <v>280000</v>
      </c>
      <c r="I147" s="281">
        <v>85000.0</v>
      </c>
      <c r="J147" s="264">
        <f t="shared" si="73"/>
        <v>340000</v>
      </c>
      <c r="K147" s="245">
        <f t="shared" si="74"/>
        <v>60000</v>
      </c>
      <c r="L147" s="246">
        <f t="shared" si="75"/>
        <v>0.2142857143</v>
      </c>
      <c r="M147" s="247"/>
    </row>
    <row r="148" ht="15.75" customHeight="1">
      <c r="A148" s="325" t="s">
        <v>2104</v>
      </c>
      <c r="B148" s="206"/>
      <c r="C148" s="206"/>
      <c r="D148" s="174"/>
      <c r="E148" s="257"/>
      <c r="F148" s="258">
        <f>SUMIF(F145:F147,"&lt;&gt;",F145:F147)</f>
        <v>0</v>
      </c>
      <c r="G148" s="259"/>
      <c r="H148" s="282">
        <f>SUMIF(H145:H147,"&lt;&gt;",H145:H147)</f>
        <v>1410000</v>
      </c>
      <c r="I148" s="283"/>
      <c r="J148" s="282">
        <f>SUMIF(J145:J147,"&lt;&gt;",J145:J147)</f>
        <v>1652500</v>
      </c>
      <c r="K148" s="261">
        <f t="shared" si="74"/>
        <v>242500</v>
      </c>
      <c r="L148" s="262">
        <f t="shared" si="75"/>
        <v>0.1719858156</v>
      </c>
      <c r="M148" s="257"/>
    </row>
    <row r="149" ht="15.75" customHeight="1"/>
    <row r="150" ht="15.75" customHeight="1">
      <c r="A150" s="273" t="s">
        <v>2105</v>
      </c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</row>
    <row r="151" ht="15.75" customHeight="1">
      <c r="A151" s="229" t="s">
        <v>1509</v>
      </c>
      <c r="B151" s="229" t="s">
        <v>1510</v>
      </c>
      <c r="C151" s="229" t="s">
        <v>1511</v>
      </c>
      <c r="D151" s="229" t="s">
        <v>1614</v>
      </c>
      <c r="E151" s="230" t="s">
        <v>1615</v>
      </c>
      <c r="F151" s="174"/>
      <c r="G151" s="231" t="s">
        <v>1616</v>
      </c>
      <c r="H151" s="174"/>
      <c r="I151" s="232" t="s">
        <v>1617</v>
      </c>
      <c r="J151" s="174"/>
      <c r="K151" s="233" t="s">
        <v>1618</v>
      </c>
      <c r="L151" s="174"/>
      <c r="M151" s="229" t="s">
        <v>1619</v>
      </c>
    </row>
    <row r="152" ht="15.75" customHeight="1">
      <c r="A152" s="234" t="s">
        <v>1509</v>
      </c>
      <c r="B152" s="234" t="s">
        <v>1510</v>
      </c>
      <c r="C152" s="234" t="s">
        <v>1511</v>
      </c>
      <c r="D152" s="234" t="s">
        <v>1614</v>
      </c>
      <c r="E152" s="235" t="s">
        <v>1620</v>
      </c>
      <c r="F152" s="235" t="s">
        <v>1621</v>
      </c>
      <c r="G152" s="236" t="s">
        <v>1622</v>
      </c>
      <c r="H152" s="236" t="s">
        <v>1623</v>
      </c>
      <c r="I152" s="237" t="s">
        <v>1624</v>
      </c>
      <c r="J152" s="237" t="s">
        <v>1625</v>
      </c>
      <c r="K152" s="238" t="s">
        <v>1626</v>
      </c>
      <c r="L152" s="238" t="s">
        <v>1627</v>
      </c>
      <c r="M152" s="234" t="s">
        <v>1619</v>
      </c>
    </row>
    <row r="153" ht="15.75" customHeight="1">
      <c r="A153" s="248">
        <v>1.0</v>
      </c>
      <c r="B153" s="276" t="s">
        <v>1867</v>
      </c>
      <c r="C153" s="280" t="s">
        <v>1583</v>
      </c>
      <c r="D153" s="309">
        <v>10.0</v>
      </c>
      <c r="E153" s="267"/>
      <c r="F153" s="268" t="str">
        <f>IF(E153&lt;&gt;"",D153*E153,"")</f>
        <v/>
      </c>
      <c r="G153" s="199">
        <v>11000.0</v>
      </c>
      <c r="H153" s="243">
        <f t="shared" ref="H153:H157" si="76">IF(G153&lt;&gt;"",D153*G153,"")</f>
        <v>110000</v>
      </c>
      <c r="I153" s="200">
        <v>14000.0</v>
      </c>
      <c r="J153" s="244">
        <f t="shared" ref="J153:J157" si="77">IF(I153&lt;&gt;"",D153*I153,"")</f>
        <v>140000</v>
      </c>
      <c r="K153" s="245">
        <f t="shared" ref="K153:K158" si="78">IF(J153&lt;&gt;"",IF(H153&lt;&gt;"",J153-H153,IF(F153&lt;&gt;"",J153-F153,"")),"")</f>
        <v>30000</v>
      </c>
      <c r="L153" s="246">
        <f t="shared" ref="L153:L158" si="79">IF(K153&lt;&gt;"",IF(H153&lt;&gt;"",IF(H153&lt;&gt;0,K153/H153,""),IF(F153&lt;&gt;"",IF(F153&lt;&gt;0,K153/F153,""),"")),"")</f>
        <v>0.2727272727</v>
      </c>
      <c r="M153" s="252"/>
    </row>
    <row r="154" ht="15.75" customHeight="1">
      <c r="A154" s="278">
        <v>2.0</v>
      </c>
      <c r="B154" s="275" t="s">
        <v>2068</v>
      </c>
      <c r="C154" s="278" t="s">
        <v>1583</v>
      </c>
      <c r="D154" s="274">
        <v>20.0</v>
      </c>
      <c r="E154" s="267"/>
      <c r="F154" s="268"/>
      <c r="G154" s="199">
        <v>9500.0</v>
      </c>
      <c r="H154" s="243">
        <f t="shared" si="76"/>
        <v>190000</v>
      </c>
      <c r="I154" s="200">
        <v>17500.0</v>
      </c>
      <c r="J154" s="244">
        <f t="shared" si="77"/>
        <v>350000</v>
      </c>
      <c r="K154" s="245">
        <f t="shared" si="78"/>
        <v>160000</v>
      </c>
      <c r="L154" s="246">
        <f t="shared" si="79"/>
        <v>0.8421052632</v>
      </c>
      <c r="M154" s="247"/>
    </row>
    <row r="155" ht="15.75" customHeight="1">
      <c r="A155" s="278">
        <v>3.0</v>
      </c>
      <c r="B155" s="275" t="s">
        <v>2106</v>
      </c>
      <c r="C155" s="278" t="s">
        <v>69</v>
      </c>
      <c r="D155" s="274">
        <v>750.0</v>
      </c>
      <c r="E155" s="267"/>
      <c r="F155" s="268"/>
      <c r="G155" s="311">
        <v>302.0</v>
      </c>
      <c r="H155" s="243">
        <f t="shared" si="76"/>
        <v>226500</v>
      </c>
      <c r="I155" s="200">
        <v>500.0</v>
      </c>
      <c r="J155" s="244">
        <f t="shared" si="77"/>
        <v>375000</v>
      </c>
      <c r="K155" s="245">
        <f t="shared" si="78"/>
        <v>148500</v>
      </c>
      <c r="L155" s="246">
        <f t="shared" si="79"/>
        <v>0.6556291391</v>
      </c>
      <c r="M155" s="247"/>
    </row>
    <row r="156" ht="15.75" customHeight="1">
      <c r="A156" s="278">
        <v>4.0</v>
      </c>
      <c r="B156" s="275" t="s">
        <v>2107</v>
      </c>
      <c r="C156" s="278" t="s">
        <v>1754</v>
      </c>
      <c r="D156" s="274">
        <v>21.0</v>
      </c>
      <c r="E156" s="267"/>
      <c r="F156" s="268"/>
      <c r="G156" s="311">
        <v>19200.0</v>
      </c>
      <c r="H156" s="243">
        <f t="shared" si="76"/>
        <v>403200</v>
      </c>
      <c r="I156" s="200">
        <v>22500.0</v>
      </c>
      <c r="J156" s="244">
        <f t="shared" si="77"/>
        <v>472500</v>
      </c>
      <c r="K156" s="245">
        <f t="shared" si="78"/>
        <v>69300</v>
      </c>
      <c r="L156" s="246">
        <f t="shared" si="79"/>
        <v>0.171875</v>
      </c>
      <c r="M156" s="247"/>
    </row>
    <row r="157" ht="15.75" customHeight="1">
      <c r="A157" s="278">
        <v>5.0</v>
      </c>
      <c r="B157" s="275" t="s">
        <v>2108</v>
      </c>
      <c r="C157" s="278" t="s">
        <v>1583</v>
      </c>
      <c r="D157" s="274">
        <v>20.0</v>
      </c>
      <c r="E157" s="267"/>
      <c r="F157" s="268"/>
      <c r="G157" s="311">
        <v>11250.0</v>
      </c>
      <c r="H157" s="243">
        <f t="shared" si="76"/>
        <v>225000</v>
      </c>
      <c r="I157" s="200">
        <v>17500.0</v>
      </c>
      <c r="J157" s="244">
        <f t="shared" si="77"/>
        <v>350000</v>
      </c>
      <c r="K157" s="245">
        <f t="shared" si="78"/>
        <v>125000</v>
      </c>
      <c r="L157" s="246">
        <f t="shared" si="79"/>
        <v>0.5555555556</v>
      </c>
      <c r="M157" s="247"/>
    </row>
    <row r="158" ht="15.75" customHeight="1">
      <c r="A158" s="325" t="s">
        <v>2109</v>
      </c>
      <c r="B158" s="206"/>
      <c r="C158" s="206"/>
      <c r="D158" s="174"/>
      <c r="E158" s="257"/>
      <c r="F158" s="258">
        <f>SUMIF(F153:F157,"&lt;&gt;",F153:F157)</f>
        <v>0</v>
      </c>
      <c r="G158" s="259"/>
      <c r="H158" s="260">
        <f>SUMIF(H153:H157,"&lt;&gt;",H153:H157)</f>
        <v>1154700</v>
      </c>
      <c r="I158" s="265"/>
      <c r="J158" s="260">
        <f>SUMIF(J153:J157,"&lt;&gt;",J153:J157)</f>
        <v>1687500</v>
      </c>
      <c r="K158" s="261">
        <f t="shared" si="78"/>
        <v>532800</v>
      </c>
      <c r="L158" s="262">
        <f t="shared" si="79"/>
        <v>0.4614185503</v>
      </c>
      <c r="M158" s="257"/>
    </row>
    <row r="159" ht="15.75" customHeight="1"/>
    <row r="160" ht="15.75" customHeight="1">
      <c r="A160" s="273" t="s">
        <v>2110</v>
      </c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</row>
    <row r="161" ht="15.75" customHeight="1">
      <c r="A161" s="229" t="s">
        <v>1509</v>
      </c>
      <c r="B161" s="229" t="s">
        <v>1510</v>
      </c>
      <c r="C161" s="229" t="s">
        <v>1511</v>
      </c>
      <c r="D161" s="229" t="s">
        <v>1614</v>
      </c>
      <c r="E161" s="230" t="s">
        <v>1615</v>
      </c>
      <c r="F161" s="174"/>
      <c r="G161" s="231" t="s">
        <v>1616</v>
      </c>
      <c r="H161" s="174"/>
      <c r="I161" s="232" t="s">
        <v>1617</v>
      </c>
      <c r="J161" s="174"/>
      <c r="K161" s="233" t="s">
        <v>1618</v>
      </c>
      <c r="L161" s="174"/>
      <c r="M161" s="229" t="s">
        <v>1619</v>
      </c>
    </row>
    <row r="162" ht="15.75" customHeight="1">
      <c r="A162" s="234" t="s">
        <v>1509</v>
      </c>
      <c r="B162" s="234" t="s">
        <v>1510</v>
      </c>
      <c r="C162" s="234" t="s">
        <v>1511</v>
      </c>
      <c r="D162" s="234" t="s">
        <v>1614</v>
      </c>
      <c r="E162" s="235" t="s">
        <v>1620</v>
      </c>
      <c r="F162" s="235" t="s">
        <v>1621</v>
      </c>
      <c r="G162" s="236" t="s">
        <v>1622</v>
      </c>
      <c r="H162" s="236" t="s">
        <v>1623</v>
      </c>
      <c r="I162" s="237" t="s">
        <v>1624</v>
      </c>
      <c r="J162" s="237" t="s">
        <v>1625</v>
      </c>
      <c r="K162" s="238" t="s">
        <v>1626</v>
      </c>
      <c r="L162" s="238" t="s">
        <v>1627</v>
      </c>
      <c r="M162" s="234" t="s">
        <v>1619</v>
      </c>
    </row>
    <row r="163" ht="15.75" customHeight="1">
      <c r="A163" s="248">
        <v>1.0</v>
      </c>
      <c r="B163" s="276" t="s">
        <v>1746</v>
      </c>
      <c r="C163" s="280" t="s">
        <v>1176</v>
      </c>
      <c r="D163" s="309">
        <v>2.0</v>
      </c>
      <c r="E163" s="267"/>
      <c r="F163" s="268" t="str">
        <f>IF(E163&lt;&gt;"",D163*E163,"")</f>
        <v/>
      </c>
      <c r="G163" s="199">
        <v>255000.0</v>
      </c>
      <c r="H163" s="243">
        <f>IF(G163&lt;&gt;"",D163*G163,"")</f>
        <v>510000</v>
      </c>
      <c r="I163" s="200">
        <v>300000.0</v>
      </c>
      <c r="J163" s="244">
        <f>IF(I163&lt;&gt;"",D163*I163,"")</f>
        <v>600000</v>
      </c>
      <c r="K163" s="245">
        <f t="shared" ref="K163:K164" si="80">IF(J163&lt;&gt;"",IF(H163&lt;&gt;"",J163-H163,IF(F163&lt;&gt;"",J163-F163,"")),"")</f>
        <v>90000</v>
      </c>
      <c r="L163" s="246">
        <f t="shared" ref="L163:L164" si="81">IF(K163&lt;&gt;"",IF(H163&lt;&gt;"",IF(H163&lt;&gt;0,K163/H163,""),IF(F163&lt;&gt;"",IF(F163&lt;&gt;0,K163/F163,""),"")),"")</f>
        <v>0.1764705882</v>
      </c>
      <c r="M163" s="252"/>
    </row>
    <row r="164" ht="15.75" customHeight="1">
      <c r="A164" s="325" t="s">
        <v>2111</v>
      </c>
      <c r="B164" s="206"/>
      <c r="C164" s="206"/>
      <c r="D164" s="174"/>
      <c r="E164" s="257"/>
      <c r="F164" s="258">
        <f>SUMIF(F163,"&lt;&gt;",F163)</f>
        <v>0</v>
      </c>
      <c r="G164" s="259"/>
      <c r="H164" s="282">
        <f>SUMIF(H163,"&lt;&gt;",H163)</f>
        <v>510000</v>
      </c>
      <c r="I164" s="283"/>
      <c r="J164" s="282">
        <f>SUMIF(J163,"&lt;&gt;",J163)</f>
        <v>600000</v>
      </c>
      <c r="K164" s="261">
        <f t="shared" si="80"/>
        <v>90000</v>
      </c>
      <c r="L164" s="262">
        <f t="shared" si="81"/>
        <v>0.1764705882</v>
      </c>
      <c r="M164" s="247"/>
    </row>
    <row r="165" ht="15.75" customHeight="1"/>
    <row r="166" ht="15.75" customHeight="1">
      <c r="A166" s="363" t="s">
        <v>1789</v>
      </c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</row>
    <row r="167" ht="15.75" customHeight="1">
      <c r="A167" s="364" t="s">
        <v>1509</v>
      </c>
      <c r="B167" s="364" t="s">
        <v>1510</v>
      </c>
      <c r="C167" s="364" t="s">
        <v>1511</v>
      </c>
      <c r="D167" s="364" t="s">
        <v>1614</v>
      </c>
      <c r="E167" s="365" t="s">
        <v>1615</v>
      </c>
      <c r="F167" s="174"/>
      <c r="G167" s="366" t="s">
        <v>1616</v>
      </c>
      <c r="H167" s="174"/>
      <c r="I167" s="367" t="s">
        <v>1617</v>
      </c>
      <c r="J167" s="174"/>
      <c r="K167" s="368" t="s">
        <v>1618</v>
      </c>
      <c r="L167" s="174"/>
      <c r="M167" s="364" t="s">
        <v>1619</v>
      </c>
    </row>
    <row r="168" ht="15.75" customHeight="1">
      <c r="A168" s="369" t="s">
        <v>1509</v>
      </c>
      <c r="B168" s="369" t="s">
        <v>1510</v>
      </c>
      <c r="C168" s="369" t="s">
        <v>1511</v>
      </c>
      <c r="D168" s="369" t="s">
        <v>1614</v>
      </c>
      <c r="E168" s="370" t="s">
        <v>1620</v>
      </c>
      <c r="F168" s="370" t="s">
        <v>1621</v>
      </c>
      <c r="G168" s="371" t="s">
        <v>1622</v>
      </c>
      <c r="H168" s="371" t="s">
        <v>1623</v>
      </c>
      <c r="I168" s="372" t="s">
        <v>1624</v>
      </c>
      <c r="J168" s="372" t="s">
        <v>1625</v>
      </c>
      <c r="K168" s="373" t="s">
        <v>1626</v>
      </c>
      <c r="L168" s="373" t="s">
        <v>1627</v>
      </c>
      <c r="M168" s="369" t="s">
        <v>1619</v>
      </c>
    </row>
    <row r="169" ht="15.75" customHeight="1">
      <c r="A169" s="374">
        <v>1.0</v>
      </c>
      <c r="B169" s="375" t="s">
        <v>1790</v>
      </c>
      <c r="C169" s="374" t="s">
        <v>1762</v>
      </c>
      <c r="D169" s="376">
        <v>1.0</v>
      </c>
      <c r="E169" s="377"/>
      <c r="F169" s="378" t="str">
        <f t="shared" ref="F169:F170" si="82">IF(E169&lt;&gt;"",D169*E169,"")</f>
        <v/>
      </c>
      <c r="G169" s="379">
        <v>2700000.0</v>
      </c>
      <c r="H169" s="380">
        <f t="shared" ref="H169:H170" si="83">IF(G169&lt;&gt;"",D169*G169,"")</f>
        <v>2700000</v>
      </c>
      <c r="I169" s="381">
        <v>2700000.0</v>
      </c>
      <c r="J169" s="382">
        <f t="shared" ref="J169:J170" si="84">IF(I169&lt;&gt;"",D169*I169,"")</f>
        <v>2700000</v>
      </c>
      <c r="K169" s="383">
        <f t="shared" ref="K169:K171" si="85">IF(J169&lt;&gt;"",IF(H169&lt;&gt;"",J169-H169,IF(F169&lt;&gt;"",J169-F169,"")),"")</f>
        <v>0</v>
      </c>
      <c r="L169" s="384">
        <f t="shared" ref="L169:L171" si="86">IF(K169&lt;&gt;"",IF(H169&lt;&gt;"",IF(H169&lt;&gt;0,K169/H169,""),IF(F169&lt;&gt;"",IF(F169&lt;&gt;0,K169/F169,""),"")),"")</f>
        <v>0</v>
      </c>
      <c r="M169" s="385"/>
    </row>
    <row r="170" ht="15.75" customHeight="1">
      <c r="A170" s="386">
        <v>2.0</v>
      </c>
      <c r="B170" s="387" t="s">
        <v>1790</v>
      </c>
      <c r="C170" s="386" t="s">
        <v>1762</v>
      </c>
      <c r="D170" s="388">
        <v>1.0</v>
      </c>
      <c r="E170" s="377"/>
      <c r="F170" s="378" t="str">
        <f t="shared" si="82"/>
        <v/>
      </c>
      <c r="G170" s="379">
        <v>2700000.0</v>
      </c>
      <c r="H170" s="389">
        <f t="shared" si="83"/>
        <v>2700000</v>
      </c>
      <c r="I170" s="381">
        <v>2700000.0</v>
      </c>
      <c r="J170" s="382">
        <f t="shared" si="84"/>
        <v>2700000</v>
      </c>
      <c r="K170" s="383">
        <f t="shared" si="85"/>
        <v>0</v>
      </c>
      <c r="L170" s="384">
        <f t="shared" si="86"/>
        <v>0</v>
      </c>
      <c r="M170" s="390"/>
    </row>
    <row r="171" ht="15.75" customHeight="1">
      <c r="A171" s="391" t="s">
        <v>1791</v>
      </c>
      <c r="B171" s="206"/>
      <c r="C171" s="206"/>
      <c r="D171" s="174"/>
      <c r="E171" s="257"/>
      <c r="F171" s="392">
        <f>SUMIF(F169:F170,"&lt;&gt;",F169:F170)</f>
        <v>0</v>
      </c>
      <c r="G171" s="259"/>
      <c r="H171" s="393">
        <f>SUMIF(H169:H170,"&lt;&gt;",H169:H170)</f>
        <v>5400000</v>
      </c>
      <c r="I171" s="265"/>
      <c r="J171" s="393">
        <f>SUMIF(J169:J170,"&lt;&gt;",J169:J170)</f>
        <v>5400000</v>
      </c>
      <c r="K171" s="394">
        <f t="shared" si="85"/>
        <v>0</v>
      </c>
      <c r="L171" s="395">
        <f t="shared" si="86"/>
        <v>0</v>
      </c>
      <c r="M171" s="257"/>
    </row>
    <row r="172" ht="15.75" customHeight="1"/>
    <row r="173" ht="15.75" customHeight="1">
      <c r="A173" s="363" t="s">
        <v>1789</v>
      </c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</row>
    <row r="174" ht="15.75" customHeight="1">
      <c r="A174" s="364" t="s">
        <v>1509</v>
      </c>
      <c r="B174" s="364" t="s">
        <v>1510</v>
      </c>
      <c r="C174" s="364" t="s">
        <v>1511</v>
      </c>
      <c r="D174" s="364" t="s">
        <v>1614</v>
      </c>
      <c r="E174" s="365" t="s">
        <v>1615</v>
      </c>
      <c r="F174" s="174"/>
      <c r="G174" s="366" t="s">
        <v>1616</v>
      </c>
      <c r="H174" s="174"/>
      <c r="I174" s="367" t="s">
        <v>1617</v>
      </c>
      <c r="J174" s="174"/>
      <c r="K174" s="368" t="s">
        <v>1618</v>
      </c>
      <c r="L174" s="174"/>
      <c r="M174" s="364" t="s">
        <v>1619</v>
      </c>
    </row>
    <row r="175" ht="15.75" customHeight="1">
      <c r="A175" s="369" t="s">
        <v>1509</v>
      </c>
      <c r="B175" s="369" t="s">
        <v>1510</v>
      </c>
      <c r="C175" s="369" t="s">
        <v>1511</v>
      </c>
      <c r="D175" s="369" t="s">
        <v>1614</v>
      </c>
      <c r="E175" s="370" t="s">
        <v>1620</v>
      </c>
      <c r="F175" s="370" t="s">
        <v>1621</v>
      </c>
      <c r="G175" s="371" t="s">
        <v>1622</v>
      </c>
      <c r="H175" s="371" t="s">
        <v>1623</v>
      </c>
      <c r="I175" s="372" t="s">
        <v>1624</v>
      </c>
      <c r="J175" s="372" t="s">
        <v>1625</v>
      </c>
      <c r="K175" s="373" t="s">
        <v>1626</v>
      </c>
      <c r="L175" s="373" t="s">
        <v>1627</v>
      </c>
      <c r="M175" s="369" t="s">
        <v>1619</v>
      </c>
    </row>
    <row r="176" ht="15.75" customHeight="1">
      <c r="A176" s="374">
        <v>1.0</v>
      </c>
      <c r="B176" s="387" t="s">
        <v>2112</v>
      </c>
      <c r="C176" s="411" t="s">
        <v>1754</v>
      </c>
      <c r="D176" s="412">
        <v>20.0</v>
      </c>
      <c r="E176" s="377"/>
      <c r="F176" s="378" t="str">
        <f t="shared" ref="F176:F177" si="87">IF(E176&lt;&gt;"",D176*E176,"")</f>
        <v/>
      </c>
      <c r="G176" s="379">
        <v>19200.0</v>
      </c>
      <c r="H176" s="380">
        <f t="shared" ref="H176:H177" si="88">IF(G176&lt;&gt;"",D176*G176,"")</f>
        <v>384000</v>
      </c>
      <c r="I176" s="381">
        <v>22500.0</v>
      </c>
      <c r="J176" s="382">
        <f t="shared" ref="J176:J177" si="89">IF(I176&lt;&gt;"",D176*I176,"")</f>
        <v>450000</v>
      </c>
      <c r="K176" s="383">
        <f t="shared" ref="K176:K178" si="90">IF(J176&lt;&gt;"",IF(H176&lt;&gt;"",J176-H176,IF(F176&lt;&gt;"",J176-F176,"")),"")</f>
        <v>66000</v>
      </c>
      <c r="L176" s="384">
        <f t="shared" ref="L176:L178" si="91">IF(K176&lt;&gt;"",IF(H176&lt;&gt;"",IF(H176&lt;&gt;0,K176/H176,""),IF(F176&lt;&gt;"",IF(F176&lt;&gt;0,K176/F176,""),"")),"")</f>
        <v>0.171875</v>
      </c>
      <c r="M176" s="385"/>
    </row>
    <row r="177" ht="15.75" customHeight="1">
      <c r="A177" s="386">
        <v>2.0</v>
      </c>
      <c r="B177" s="387" t="s">
        <v>2113</v>
      </c>
      <c r="C177" s="413" t="s">
        <v>1904</v>
      </c>
      <c r="D177" s="414">
        <v>16.0</v>
      </c>
      <c r="E177" s="377"/>
      <c r="F177" s="378" t="str">
        <f t="shared" si="87"/>
        <v/>
      </c>
      <c r="G177" s="379">
        <v>107000.0</v>
      </c>
      <c r="H177" s="389">
        <f t="shared" si="88"/>
        <v>1712000</v>
      </c>
      <c r="I177" s="381">
        <v>135000.0</v>
      </c>
      <c r="J177" s="382">
        <f t="shared" si="89"/>
        <v>2160000</v>
      </c>
      <c r="K177" s="383">
        <f t="shared" si="90"/>
        <v>448000</v>
      </c>
      <c r="L177" s="384">
        <f t="shared" si="91"/>
        <v>0.261682243</v>
      </c>
      <c r="M177" s="390"/>
    </row>
    <row r="178" ht="15.75" customHeight="1">
      <c r="A178" s="391" t="s">
        <v>1791</v>
      </c>
      <c r="B178" s="206"/>
      <c r="C178" s="206"/>
      <c r="D178" s="174"/>
      <c r="E178" s="257"/>
      <c r="F178" s="392">
        <f>SUMIF(F176:F177,"&lt;&gt;",F176:F177)</f>
        <v>0</v>
      </c>
      <c r="G178" s="259"/>
      <c r="H178" s="393">
        <f>SUMIF(H176:H177,"&lt;&gt;",H176:H177)</f>
        <v>2096000</v>
      </c>
      <c r="I178" s="265"/>
      <c r="J178" s="393">
        <f>SUMIF(J176:J177,"&lt;&gt;",J176:J177)</f>
        <v>2610000</v>
      </c>
      <c r="K178" s="394">
        <f t="shared" si="90"/>
        <v>514000</v>
      </c>
      <c r="L178" s="395">
        <f t="shared" si="91"/>
        <v>0.2452290076</v>
      </c>
      <c r="M178" s="257"/>
    </row>
    <row r="179" ht="15.75" customHeight="1"/>
    <row r="180" ht="15.75" customHeight="1">
      <c r="A180" s="363" t="s">
        <v>1789</v>
      </c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</row>
    <row r="181" ht="15.75" customHeight="1">
      <c r="A181" s="364" t="s">
        <v>1509</v>
      </c>
      <c r="B181" s="364" t="s">
        <v>1510</v>
      </c>
      <c r="C181" s="364" t="s">
        <v>1511</v>
      </c>
      <c r="D181" s="364" t="s">
        <v>1614</v>
      </c>
      <c r="E181" s="365" t="s">
        <v>1615</v>
      </c>
      <c r="F181" s="174"/>
      <c r="G181" s="366" t="s">
        <v>1616</v>
      </c>
      <c r="H181" s="174"/>
      <c r="I181" s="367" t="s">
        <v>1617</v>
      </c>
      <c r="J181" s="174"/>
      <c r="K181" s="368" t="s">
        <v>1618</v>
      </c>
      <c r="L181" s="174"/>
      <c r="M181" s="364" t="s">
        <v>1619</v>
      </c>
    </row>
    <row r="182" ht="15.75" customHeight="1">
      <c r="A182" s="369" t="s">
        <v>1509</v>
      </c>
      <c r="B182" s="369" t="s">
        <v>1510</v>
      </c>
      <c r="C182" s="369" t="s">
        <v>1511</v>
      </c>
      <c r="D182" s="369" t="s">
        <v>1614</v>
      </c>
      <c r="E182" s="370" t="s">
        <v>1620</v>
      </c>
      <c r="F182" s="370" t="s">
        <v>1621</v>
      </c>
      <c r="G182" s="371" t="s">
        <v>1622</v>
      </c>
      <c r="H182" s="371" t="s">
        <v>1623</v>
      </c>
      <c r="I182" s="372" t="s">
        <v>1624</v>
      </c>
      <c r="J182" s="372" t="s">
        <v>1625</v>
      </c>
      <c r="K182" s="373" t="s">
        <v>1626</v>
      </c>
      <c r="L182" s="373" t="s">
        <v>1627</v>
      </c>
      <c r="M182" s="369" t="s">
        <v>1619</v>
      </c>
    </row>
    <row r="183" ht="15.75" customHeight="1">
      <c r="A183" s="374">
        <v>1.0</v>
      </c>
      <c r="B183" s="387" t="s">
        <v>1737</v>
      </c>
      <c r="C183" s="411" t="s">
        <v>1176</v>
      </c>
      <c r="D183" s="412">
        <v>1.0</v>
      </c>
      <c r="E183" s="377"/>
      <c r="F183" s="378" t="str">
        <f>IF(E183&lt;&gt;"",D183*E183,"")</f>
        <v/>
      </c>
      <c r="G183" s="379">
        <v>1190000.0</v>
      </c>
      <c r="H183" s="380">
        <f>IF(G183&lt;&gt;"",D183*G183,"")</f>
        <v>1190000</v>
      </c>
      <c r="I183" s="381">
        <v>1350000.0</v>
      </c>
      <c r="J183" s="382">
        <f>IF(I183&lt;&gt;"",D183*I183,"")</f>
        <v>1350000</v>
      </c>
      <c r="K183" s="383">
        <f t="shared" ref="K183:K184" si="92">IF(J183&lt;&gt;"",IF(H183&lt;&gt;"",J183-H183,IF(F183&lt;&gt;"",J183-F183,"")),"")</f>
        <v>160000</v>
      </c>
      <c r="L183" s="384">
        <f t="shared" ref="L183:L184" si="93">IF(K183&lt;&gt;"",IF(H183&lt;&gt;"",IF(H183&lt;&gt;0,K183/H183,""),IF(F183&lt;&gt;"",IF(F183&lt;&gt;0,K183/F183,""),"")),"")</f>
        <v>0.1344537815</v>
      </c>
      <c r="M183" s="385"/>
    </row>
    <row r="184" ht="15.75" customHeight="1">
      <c r="A184" s="391" t="s">
        <v>1791</v>
      </c>
      <c r="B184" s="206"/>
      <c r="C184" s="206"/>
      <c r="D184" s="174"/>
      <c r="E184" s="257"/>
      <c r="F184" s="392">
        <f>SUMIF(F183,"&lt;&gt;",F183)</f>
        <v>0</v>
      </c>
      <c r="G184" s="259"/>
      <c r="H184" s="393">
        <f>SUMIF(H183,"&lt;&gt;",H183)</f>
        <v>1190000</v>
      </c>
      <c r="I184" s="265"/>
      <c r="J184" s="393">
        <f>SUMIF(J183,"&lt;&gt;",J183)</f>
        <v>1350000</v>
      </c>
      <c r="K184" s="394">
        <f t="shared" si="92"/>
        <v>160000</v>
      </c>
      <c r="L184" s="395">
        <f t="shared" si="93"/>
        <v>0.1344537815</v>
      </c>
      <c r="M184" s="257"/>
    </row>
    <row r="185" ht="15.75" customHeight="1"/>
    <row r="186" ht="15.75" customHeight="1"/>
    <row r="187" ht="27.75" customHeight="1">
      <c r="A187" s="328" t="s">
        <v>2062</v>
      </c>
      <c r="B187" s="285"/>
      <c r="C187" s="285"/>
      <c r="D187" s="286"/>
      <c r="E187" s="287"/>
      <c r="F187" s="288">
        <f>F14+F26+F43+F51+F59+F67+F74+F81+F87+F100+F107+F113+F121+F132+F140+F148+F158+F164+F171+F178+F184+F35</f>
        <v>0</v>
      </c>
      <c r="G187" s="288"/>
      <c r="H187" s="288">
        <f>H14+H26+H43+H51+H59+H67+H74+H81+H87+H100+H107+H113+H121+H132+H140+H148+H158+H164+H171+H178+H184+H35</f>
        <v>44018950</v>
      </c>
      <c r="I187" s="288"/>
      <c r="J187" s="288">
        <f>J14+J26+J43+J51+J59+J67+J74+J81+J87+J100+J107+J113+J121+J132+J140+J148+J158+J164+J171+J178+J184+J35</f>
        <v>49785000</v>
      </c>
      <c r="K187" s="289">
        <f>IF(J187&lt;&gt;"",IF(H187&lt;&gt;0,J187-H187,J187-F187),"")</f>
        <v>5766050</v>
      </c>
      <c r="L187" s="290">
        <f>IF(K187&lt;&gt;"",IF(H187&lt;&gt;0,K187/H187,IF(F187&lt;&gt;0,K187/F187,"")),"")</f>
        <v>0.1309901758</v>
      </c>
      <c r="M187" s="287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</sheetData>
  <mergeCells count="148">
    <mergeCell ref="A1:M1"/>
    <mergeCell ref="A2:M2"/>
    <mergeCell ref="A3:M3"/>
    <mergeCell ref="A4:M4"/>
    <mergeCell ref="G5:H5"/>
    <mergeCell ref="I5:J5"/>
    <mergeCell ref="K5:L5"/>
    <mergeCell ref="E5:F5"/>
    <mergeCell ref="A14:D14"/>
    <mergeCell ref="A16:M16"/>
    <mergeCell ref="E17:F17"/>
    <mergeCell ref="G17:H17"/>
    <mergeCell ref="I17:J17"/>
    <mergeCell ref="K17:L17"/>
    <mergeCell ref="A26:D26"/>
    <mergeCell ref="A28:B28"/>
    <mergeCell ref="C28:L28"/>
    <mergeCell ref="E29:F29"/>
    <mergeCell ref="G29:H29"/>
    <mergeCell ref="I29:J29"/>
    <mergeCell ref="K29:L29"/>
    <mergeCell ref="A35:D35"/>
    <mergeCell ref="A38:M38"/>
    <mergeCell ref="E39:F39"/>
    <mergeCell ref="G39:H39"/>
    <mergeCell ref="I39:J39"/>
    <mergeCell ref="K39:L39"/>
    <mergeCell ref="A43:D43"/>
    <mergeCell ref="A45:B45"/>
    <mergeCell ref="C45:L45"/>
    <mergeCell ref="E46:F46"/>
    <mergeCell ref="G46:H46"/>
    <mergeCell ref="I46:J46"/>
    <mergeCell ref="K46:L46"/>
    <mergeCell ref="A51:D51"/>
    <mergeCell ref="A53:B53"/>
    <mergeCell ref="C53:L53"/>
    <mergeCell ref="E54:F54"/>
    <mergeCell ref="G54:H54"/>
    <mergeCell ref="I54:J54"/>
    <mergeCell ref="K54:L54"/>
    <mergeCell ref="A59:D59"/>
    <mergeCell ref="A62:B62"/>
    <mergeCell ref="C62:L62"/>
    <mergeCell ref="E63:F63"/>
    <mergeCell ref="G63:H63"/>
    <mergeCell ref="I63:J63"/>
    <mergeCell ref="K63:L63"/>
    <mergeCell ref="A67:D67"/>
    <mergeCell ref="A107:D107"/>
    <mergeCell ref="A109:B109"/>
    <mergeCell ref="C109:L109"/>
    <mergeCell ref="E110:F110"/>
    <mergeCell ref="G110:H110"/>
    <mergeCell ref="I110:J110"/>
    <mergeCell ref="K110:L110"/>
    <mergeCell ref="A113:D113"/>
    <mergeCell ref="A115:B115"/>
    <mergeCell ref="C115:L115"/>
    <mergeCell ref="E116:F116"/>
    <mergeCell ref="G116:H116"/>
    <mergeCell ref="I116:J116"/>
    <mergeCell ref="K116:L116"/>
    <mergeCell ref="A134:B134"/>
    <mergeCell ref="C134:L134"/>
    <mergeCell ref="E135:F135"/>
    <mergeCell ref="G135:H135"/>
    <mergeCell ref="I135:J135"/>
    <mergeCell ref="K135:L135"/>
    <mergeCell ref="A140:D140"/>
    <mergeCell ref="A142:B142"/>
    <mergeCell ref="C142:L142"/>
    <mergeCell ref="E143:F143"/>
    <mergeCell ref="G143:H143"/>
    <mergeCell ref="I143:J143"/>
    <mergeCell ref="K143:L143"/>
    <mergeCell ref="A148:D148"/>
    <mergeCell ref="A150:M150"/>
    <mergeCell ref="E151:F151"/>
    <mergeCell ref="G151:H151"/>
    <mergeCell ref="I151:J151"/>
    <mergeCell ref="K151:L151"/>
    <mergeCell ref="A158:D158"/>
    <mergeCell ref="A160:M160"/>
    <mergeCell ref="E161:F161"/>
    <mergeCell ref="G161:H161"/>
    <mergeCell ref="I161:J161"/>
    <mergeCell ref="K161:L161"/>
    <mergeCell ref="A164:D164"/>
    <mergeCell ref="A166:M166"/>
    <mergeCell ref="E167:F167"/>
    <mergeCell ref="K167:L167"/>
    <mergeCell ref="G167:H167"/>
    <mergeCell ref="I167:J167"/>
    <mergeCell ref="A171:D171"/>
    <mergeCell ref="A173:M173"/>
    <mergeCell ref="G174:H174"/>
    <mergeCell ref="I174:J174"/>
    <mergeCell ref="K174:L174"/>
    <mergeCell ref="A184:D184"/>
    <mergeCell ref="A187:D187"/>
    <mergeCell ref="E174:F174"/>
    <mergeCell ref="A178:D178"/>
    <mergeCell ref="A180:M180"/>
    <mergeCell ref="E181:F181"/>
    <mergeCell ref="G181:H181"/>
    <mergeCell ref="I181:J181"/>
    <mergeCell ref="K181:L181"/>
    <mergeCell ref="A69:B69"/>
    <mergeCell ref="C69:L69"/>
    <mergeCell ref="E70:F70"/>
    <mergeCell ref="G70:H70"/>
    <mergeCell ref="I70:J70"/>
    <mergeCell ref="K70:L70"/>
    <mergeCell ref="A74:D74"/>
    <mergeCell ref="A76:B76"/>
    <mergeCell ref="C76:L76"/>
    <mergeCell ref="E77:F77"/>
    <mergeCell ref="G77:H77"/>
    <mergeCell ref="I77:J77"/>
    <mergeCell ref="K77:L77"/>
    <mergeCell ref="A81:D81"/>
    <mergeCell ref="G90:H90"/>
    <mergeCell ref="I90:J90"/>
    <mergeCell ref="K90:L90"/>
    <mergeCell ref="A83:B83"/>
    <mergeCell ref="C83:L83"/>
    <mergeCell ref="G84:H84"/>
    <mergeCell ref="I84:J84"/>
    <mergeCell ref="K84:L84"/>
    <mergeCell ref="A87:D87"/>
    <mergeCell ref="A89:M89"/>
    <mergeCell ref="I103:J103"/>
    <mergeCell ref="K103:L103"/>
    <mergeCell ref="E84:F84"/>
    <mergeCell ref="E90:F90"/>
    <mergeCell ref="A100:D100"/>
    <mergeCell ref="A102:B102"/>
    <mergeCell ref="C102:L102"/>
    <mergeCell ref="E103:F103"/>
    <mergeCell ref="G103:H103"/>
    <mergeCell ref="A121:D121"/>
    <mergeCell ref="A123:M123"/>
    <mergeCell ref="E124:F124"/>
    <mergeCell ref="G124:H124"/>
    <mergeCell ref="I124:J124"/>
    <mergeCell ref="K124:L124"/>
    <mergeCell ref="A132:D13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168" t="s">
        <v>2114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169" t="s">
        <v>1734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160" t="s">
        <v>1523</v>
      </c>
      <c r="C7" s="159" t="s">
        <v>109</v>
      </c>
      <c r="D7" s="183">
        <v>7.0</v>
      </c>
      <c r="E7" s="184">
        <f>'Daftar Harga'!D13</f>
        <v>28000</v>
      </c>
      <c r="F7" s="185">
        <f t="shared" ref="F7:F21" si="1">IF(E7&lt;&gt;"",D7*E7,"")</f>
        <v>196000</v>
      </c>
      <c r="G7" s="186">
        <v>36000.0</v>
      </c>
      <c r="H7" s="187">
        <f t="shared" ref="H7:H21" si="2">IF(G7&lt;&gt;"",D7*G7,"")</f>
        <v>252000</v>
      </c>
      <c r="I7" s="188">
        <v>38000.0</v>
      </c>
      <c r="J7" s="215">
        <f t="shared" ref="J7:J21" si="3">IF(I7&lt;&gt;"",D7*I7,"")</f>
        <v>266000</v>
      </c>
      <c r="K7" s="190">
        <f t="shared" ref="K7:K22" si="4">IF(J7&lt;&gt;"",IF(H7&lt;&gt;"",J7-H7,IF(F7&lt;&gt;"",J7-F7,"")),"")</f>
        <v>14000</v>
      </c>
      <c r="L7" s="191">
        <f t="shared" ref="L7:L22" si="5">IF(K7&lt;&gt;"",IF(H7&lt;&gt;"",IF(H7&lt;&gt;0,K7/H7,""),IF(F7&lt;&gt;"",IF(F7&lt;&gt;0,K7/F7,""),"")),"")</f>
        <v>0.05555555556</v>
      </c>
      <c r="M7" s="192"/>
    </row>
    <row r="8" ht="15.75" customHeight="1">
      <c r="A8" s="164">
        <v>2.0</v>
      </c>
      <c r="B8" s="197" t="s">
        <v>2115</v>
      </c>
      <c r="C8" s="164" t="s">
        <v>109</v>
      </c>
      <c r="D8" s="198">
        <v>115.0</v>
      </c>
      <c r="E8" s="184">
        <f>'Daftar Harga'!D17</f>
        <v>15500</v>
      </c>
      <c r="F8" s="185">
        <f t="shared" si="1"/>
        <v>1782500</v>
      </c>
      <c r="G8" s="186">
        <v>14500.0</v>
      </c>
      <c r="H8" s="187">
        <f t="shared" si="2"/>
        <v>1667500</v>
      </c>
      <c r="I8" s="188">
        <v>15500.0</v>
      </c>
      <c r="J8" s="215">
        <f t="shared" si="3"/>
        <v>1782500</v>
      </c>
      <c r="K8" s="194">
        <f t="shared" si="4"/>
        <v>115000</v>
      </c>
      <c r="L8" s="195">
        <f t="shared" si="5"/>
        <v>0.06896551724</v>
      </c>
      <c r="M8" s="396">
        <v>61.0</v>
      </c>
    </row>
    <row r="9" ht="15.75" customHeight="1">
      <c r="A9" s="159">
        <v>3.0</v>
      </c>
      <c r="B9" s="160" t="s">
        <v>1536</v>
      </c>
      <c r="C9" s="159" t="s">
        <v>109</v>
      </c>
      <c r="D9" s="227">
        <v>4.0</v>
      </c>
      <c r="E9" s="184">
        <f>'Daftar Harga'!D26</f>
        <v>47000</v>
      </c>
      <c r="F9" s="185">
        <f t="shared" si="1"/>
        <v>188000</v>
      </c>
      <c r="G9" s="186">
        <v>70000.0</v>
      </c>
      <c r="H9" s="187">
        <f t="shared" si="2"/>
        <v>280000</v>
      </c>
      <c r="I9" s="188">
        <v>64000.0</v>
      </c>
      <c r="J9" s="215">
        <f t="shared" si="3"/>
        <v>256000</v>
      </c>
      <c r="K9" s="190">
        <f t="shared" si="4"/>
        <v>-24000</v>
      </c>
      <c r="L9" s="191">
        <f t="shared" si="5"/>
        <v>-0.08571428571</v>
      </c>
      <c r="M9" s="397">
        <v>4.1</v>
      </c>
    </row>
    <row r="10" ht="15.75" customHeight="1">
      <c r="A10" s="164">
        <v>4.0</v>
      </c>
      <c r="B10" s="165" t="s">
        <v>1537</v>
      </c>
      <c r="C10" s="164" t="s">
        <v>109</v>
      </c>
      <c r="D10" s="198">
        <v>0.3</v>
      </c>
      <c r="E10" s="184">
        <f>'Daftar Harga'!D27</f>
        <v>80000</v>
      </c>
      <c r="F10" s="185">
        <f t="shared" si="1"/>
        <v>24000</v>
      </c>
      <c r="G10" s="186">
        <v>90000.0</v>
      </c>
      <c r="H10" s="187">
        <f t="shared" si="2"/>
        <v>27000</v>
      </c>
      <c r="I10" s="188">
        <v>100000.0</v>
      </c>
      <c r="J10" s="215">
        <f t="shared" si="3"/>
        <v>30000</v>
      </c>
      <c r="K10" s="194">
        <f t="shared" si="4"/>
        <v>3000</v>
      </c>
      <c r="L10" s="195">
        <f t="shared" si="5"/>
        <v>0.1111111111</v>
      </c>
      <c r="M10" s="396">
        <v>3.1</v>
      </c>
    </row>
    <row r="11" ht="15.75" customHeight="1">
      <c r="A11" s="159">
        <v>5.0</v>
      </c>
      <c r="B11" s="160" t="s">
        <v>1538</v>
      </c>
      <c r="C11" s="159" t="s">
        <v>109</v>
      </c>
      <c r="D11" s="183">
        <v>103.0</v>
      </c>
      <c r="E11" s="184">
        <f>'Daftar Harga'!D28</f>
        <v>52000</v>
      </c>
      <c r="F11" s="185">
        <f t="shared" si="1"/>
        <v>5356000</v>
      </c>
      <c r="G11" s="186">
        <v>56000.0</v>
      </c>
      <c r="H11" s="187">
        <f t="shared" si="2"/>
        <v>5768000</v>
      </c>
      <c r="I11" s="188">
        <v>60000.0</v>
      </c>
      <c r="J11" s="215">
        <f t="shared" si="3"/>
        <v>6180000</v>
      </c>
      <c r="K11" s="190">
        <f t="shared" si="4"/>
        <v>412000</v>
      </c>
      <c r="L11" s="191">
        <f t="shared" si="5"/>
        <v>0.07142857143</v>
      </c>
      <c r="M11" s="192"/>
    </row>
    <row r="12" ht="15.75" customHeight="1">
      <c r="A12" s="164">
        <v>6.0</v>
      </c>
      <c r="B12" s="165" t="s">
        <v>1539</v>
      </c>
      <c r="C12" s="164" t="s">
        <v>109</v>
      </c>
      <c r="D12" s="193">
        <v>2.0</v>
      </c>
      <c r="E12" s="184">
        <f>'Daftar Harga'!D29</f>
        <v>10000</v>
      </c>
      <c r="F12" s="185">
        <f t="shared" si="1"/>
        <v>20000</v>
      </c>
      <c r="G12" s="186">
        <v>15000.0</v>
      </c>
      <c r="H12" s="187">
        <f t="shared" si="2"/>
        <v>30000</v>
      </c>
      <c r="I12" s="188">
        <v>12000.0</v>
      </c>
      <c r="J12" s="215">
        <f t="shared" si="3"/>
        <v>24000</v>
      </c>
      <c r="K12" s="194">
        <f t="shared" si="4"/>
        <v>-6000</v>
      </c>
      <c r="L12" s="195">
        <f t="shared" si="5"/>
        <v>-0.2</v>
      </c>
      <c r="M12" s="196"/>
    </row>
    <row r="13" ht="15.75" customHeight="1">
      <c r="A13" s="159">
        <v>7.0</v>
      </c>
      <c r="B13" s="160" t="s">
        <v>1236</v>
      </c>
      <c r="C13" s="159" t="s">
        <v>109</v>
      </c>
      <c r="D13" s="183">
        <v>183.0</v>
      </c>
      <c r="E13" s="184">
        <f>'Daftar Harga'!D43</f>
        <v>28000</v>
      </c>
      <c r="F13" s="185">
        <f t="shared" si="1"/>
        <v>5124000</v>
      </c>
      <c r="G13" s="199">
        <v>28500.0</v>
      </c>
      <c r="H13" s="187">
        <f t="shared" si="2"/>
        <v>5215500</v>
      </c>
      <c r="I13" s="188">
        <v>30000.0</v>
      </c>
      <c r="J13" s="215">
        <f t="shared" si="3"/>
        <v>5490000</v>
      </c>
      <c r="K13" s="190">
        <f t="shared" si="4"/>
        <v>274500</v>
      </c>
      <c r="L13" s="191">
        <f t="shared" si="5"/>
        <v>0.05263157895</v>
      </c>
      <c r="M13" s="192"/>
    </row>
    <row r="14" ht="15.75" customHeight="1">
      <c r="A14" s="164">
        <v>8.0</v>
      </c>
      <c r="B14" s="165" t="s">
        <v>1563</v>
      </c>
      <c r="C14" s="164" t="s">
        <v>109</v>
      </c>
      <c r="D14" s="193">
        <v>2.0</v>
      </c>
      <c r="E14" s="184">
        <f>'Daftar Harga'!D54</f>
        <v>45000</v>
      </c>
      <c r="F14" s="185">
        <f t="shared" si="1"/>
        <v>90000</v>
      </c>
      <c r="G14" s="186">
        <v>43000.0</v>
      </c>
      <c r="H14" s="187">
        <f t="shared" si="2"/>
        <v>86000</v>
      </c>
      <c r="I14" s="188">
        <v>55000.0</v>
      </c>
      <c r="J14" s="215">
        <f t="shared" si="3"/>
        <v>110000</v>
      </c>
      <c r="K14" s="194">
        <f t="shared" si="4"/>
        <v>24000</v>
      </c>
      <c r="L14" s="195">
        <f t="shared" si="5"/>
        <v>0.2790697674</v>
      </c>
      <c r="M14" s="196"/>
    </row>
    <row r="15" ht="15.75" customHeight="1">
      <c r="A15" s="159">
        <v>9.0</v>
      </c>
      <c r="B15" s="160" t="s">
        <v>1574</v>
      </c>
      <c r="C15" s="159" t="s">
        <v>109</v>
      </c>
      <c r="D15" s="183">
        <v>1.0</v>
      </c>
      <c r="E15" s="184">
        <f>'Daftar Harga'!D65</f>
        <v>16000</v>
      </c>
      <c r="F15" s="185">
        <f t="shared" si="1"/>
        <v>16000</v>
      </c>
      <c r="G15" s="186">
        <v>12000.0</v>
      </c>
      <c r="H15" s="187">
        <f t="shared" si="2"/>
        <v>12000</v>
      </c>
      <c r="I15" s="188">
        <v>15000.0</v>
      </c>
      <c r="J15" s="215">
        <f t="shared" si="3"/>
        <v>15000</v>
      </c>
      <c r="K15" s="190">
        <f t="shared" si="4"/>
        <v>3000</v>
      </c>
      <c r="L15" s="191">
        <f t="shared" si="5"/>
        <v>0.25</v>
      </c>
      <c r="M15" s="192"/>
    </row>
    <row r="16" ht="15.75" customHeight="1">
      <c r="A16" s="164">
        <v>10.0</v>
      </c>
      <c r="B16" s="165" t="s">
        <v>1578</v>
      </c>
      <c r="C16" s="164" t="s">
        <v>1579</v>
      </c>
      <c r="D16" s="193">
        <v>48.0</v>
      </c>
      <c r="E16" s="184">
        <f>'Daftar Harga'!D69</f>
        <v>205000</v>
      </c>
      <c r="F16" s="185">
        <f t="shared" si="1"/>
        <v>9840000</v>
      </c>
      <c r="G16" s="186">
        <v>22000.0</v>
      </c>
      <c r="H16" s="187">
        <f t="shared" si="2"/>
        <v>1056000</v>
      </c>
      <c r="I16" s="188">
        <v>23000.0</v>
      </c>
      <c r="J16" s="215">
        <f t="shared" si="3"/>
        <v>1104000</v>
      </c>
      <c r="K16" s="194">
        <f t="shared" si="4"/>
        <v>48000</v>
      </c>
      <c r="L16" s="195">
        <f t="shared" si="5"/>
        <v>0.04545454545</v>
      </c>
      <c r="M16" s="196"/>
    </row>
    <row r="17" ht="15.75" customHeight="1">
      <c r="A17" s="159">
        <v>11.0</v>
      </c>
      <c r="B17" s="160" t="s">
        <v>1595</v>
      </c>
      <c r="C17" s="159" t="s">
        <v>109</v>
      </c>
      <c r="D17" s="227">
        <v>1.5</v>
      </c>
      <c r="E17" s="184">
        <f>'Daftar Harga'!D86</f>
        <v>12000</v>
      </c>
      <c r="F17" s="185">
        <f t="shared" si="1"/>
        <v>18000</v>
      </c>
      <c r="G17" s="186">
        <v>10000.0</v>
      </c>
      <c r="H17" s="187">
        <f t="shared" si="2"/>
        <v>15000</v>
      </c>
      <c r="I17" s="188">
        <v>15000.0</v>
      </c>
      <c r="J17" s="215">
        <f t="shared" si="3"/>
        <v>22500</v>
      </c>
      <c r="K17" s="190">
        <f t="shared" si="4"/>
        <v>7500</v>
      </c>
      <c r="L17" s="191">
        <f t="shared" si="5"/>
        <v>0.5</v>
      </c>
      <c r="M17" s="397">
        <v>2.0</v>
      </c>
    </row>
    <row r="18" ht="15.75" customHeight="1">
      <c r="A18" s="164">
        <v>12.0</v>
      </c>
      <c r="B18" s="165" t="s">
        <v>1344</v>
      </c>
      <c r="C18" s="164" t="s">
        <v>69</v>
      </c>
      <c r="D18" s="198">
        <v>2028.0</v>
      </c>
      <c r="E18" s="184">
        <f>'Daftar Harga'!D91</f>
        <v>500</v>
      </c>
      <c r="F18" s="185">
        <f t="shared" si="1"/>
        <v>1014000</v>
      </c>
      <c r="G18" s="347">
        <v>480.0</v>
      </c>
      <c r="H18" s="187">
        <f t="shared" si="2"/>
        <v>973440</v>
      </c>
      <c r="I18" s="188">
        <v>700.0</v>
      </c>
      <c r="J18" s="215">
        <f t="shared" si="3"/>
        <v>1419600</v>
      </c>
      <c r="K18" s="194">
        <f t="shared" si="4"/>
        <v>446160</v>
      </c>
      <c r="L18" s="195">
        <f t="shared" si="5"/>
        <v>0.4583333333</v>
      </c>
      <c r="M18" s="196"/>
    </row>
    <row r="19" ht="15.75" customHeight="1">
      <c r="A19" s="159">
        <v>13.0</v>
      </c>
      <c r="B19" s="160" t="s">
        <v>1606</v>
      </c>
      <c r="C19" s="159" t="s">
        <v>109</v>
      </c>
      <c r="D19" s="227">
        <v>0.5</v>
      </c>
      <c r="E19" s="184">
        <f>'Daftar Harga'!D98</f>
        <v>7000</v>
      </c>
      <c r="F19" s="185">
        <f t="shared" si="1"/>
        <v>3500</v>
      </c>
      <c r="G19" s="186">
        <v>24000.0</v>
      </c>
      <c r="H19" s="187">
        <f t="shared" si="2"/>
        <v>12000</v>
      </c>
      <c r="I19" s="188">
        <v>30000.0</v>
      </c>
      <c r="J19" s="215">
        <f t="shared" si="3"/>
        <v>15000</v>
      </c>
      <c r="K19" s="190">
        <f t="shared" si="4"/>
        <v>3000</v>
      </c>
      <c r="L19" s="191">
        <f t="shared" si="5"/>
        <v>0.25</v>
      </c>
      <c r="M19" s="397">
        <v>0.4</v>
      </c>
    </row>
    <row r="20" ht="15.75" customHeight="1">
      <c r="A20" s="164">
        <v>14.0</v>
      </c>
      <c r="B20" s="165" t="s">
        <v>1607</v>
      </c>
      <c r="C20" s="164" t="s">
        <v>109</v>
      </c>
      <c r="D20" s="193">
        <v>30.0</v>
      </c>
      <c r="E20" s="184">
        <f>'Daftar Harga'!D99</f>
        <v>8000</v>
      </c>
      <c r="F20" s="185">
        <f t="shared" si="1"/>
        <v>240000</v>
      </c>
      <c r="G20" s="186">
        <v>8000.0</v>
      </c>
      <c r="H20" s="187">
        <f t="shared" si="2"/>
        <v>240000</v>
      </c>
      <c r="I20" s="188">
        <v>12000.0</v>
      </c>
      <c r="J20" s="215">
        <f t="shared" si="3"/>
        <v>360000</v>
      </c>
      <c r="K20" s="194">
        <f t="shared" si="4"/>
        <v>120000</v>
      </c>
      <c r="L20" s="195">
        <f t="shared" si="5"/>
        <v>0.5</v>
      </c>
      <c r="M20" s="196"/>
    </row>
    <row r="21" ht="15.75" customHeight="1">
      <c r="A21" s="159">
        <v>15.0</v>
      </c>
      <c r="B21" s="160" t="s">
        <v>1608</v>
      </c>
      <c r="C21" s="159" t="s">
        <v>109</v>
      </c>
      <c r="D21" s="183">
        <v>30.0</v>
      </c>
      <c r="E21" s="184">
        <f>'Daftar Harga'!D100</f>
        <v>14000</v>
      </c>
      <c r="F21" s="185">
        <f t="shared" si="1"/>
        <v>420000</v>
      </c>
      <c r="G21" s="186">
        <v>12000.0</v>
      </c>
      <c r="H21" s="187">
        <f t="shared" si="2"/>
        <v>360000</v>
      </c>
      <c r="I21" s="188">
        <v>18000.0</v>
      </c>
      <c r="J21" s="219">
        <f t="shared" si="3"/>
        <v>540000</v>
      </c>
      <c r="K21" s="190">
        <f t="shared" si="4"/>
        <v>180000</v>
      </c>
      <c r="L21" s="191">
        <f t="shared" si="5"/>
        <v>0.5</v>
      </c>
      <c r="M21" s="192"/>
    </row>
    <row r="22" ht="19.5" customHeight="1">
      <c r="A22" s="205" t="s">
        <v>1628</v>
      </c>
      <c r="B22" s="206"/>
      <c r="C22" s="206"/>
      <c r="D22" s="174"/>
      <c r="E22" s="207"/>
      <c r="F22" s="208">
        <f>SUMIF(F7:F21,"&lt;&gt;",F7:F21)</f>
        <v>24332000</v>
      </c>
      <c r="G22" s="207"/>
      <c r="H22" s="208">
        <f>SUMIF(H7:H21,"&lt;&gt;",H7:H21)</f>
        <v>15994440</v>
      </c>
      <c r="I22" s="209"/>
      <c r="J22" s="210">
        <f>SUMIF(J7:J21,"&lt;&gt;",J7:J21)</f>
        <v>17614600</v>
      </c>
      <c r="K22" s="211">
        <f t="shared" si="4"/>
        <v>1620160</v>
      </c>
      <c r="L22" s="212">
        <f t="shared" si="5"/>
        <v>0.1012952001</v>
      </c>
      <c r="M22" s="207"/>
    </row>
    <row r="23" ht="15.75" customHeight="1"/>
    <row r="24" ht="21.75" customHeight="1">
      <c r="A24" s="171" t="s">
        <v>1629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ht="19.5" customHeight="1">
      <c r="A25" s="172" t="s">
        <v>1509</v>
      </c>
      <c r="B25" s="172" t="s">
        <v>1510</v>
      </c>
      <c r="C25" s="172" t="s">
        <v>1511</v>
      </c>
      <c r="D25" s="172" t="s">
        <v>1614</v>
      </c>
      <c r="E25" s="173" t="s">
        <v>1615</v>
      </c>
      <c r="F25" s="174"/>
      <c r="G25" s="175" t="s">
        <v>1616</v>
      </c>
      <c r="H25" s="174"/>
      <c r="I25" s="176" t="s">
        <v>1617</v>
      </c>
      <c r="J25" s="174"/>
      <c r="K25" s="177" t="s">
        <v>1618</v>
      </c>
      <c r="L25" s="174"/>
      <c r="M25" s="172" t="s">
        <v>1619</v>
      </c>
    </row>
    <row r="26" ht="27.75" customHeight="1">
      <c r="A26" s="178" t="s">
        <v>1509</v>
      </c>
      <c r="B26" s="178" t="s">
        <v>1510</v>
      </c>
      <c r="C26" s="178" t="s">
        <v>1511</v>
      </c>
      <c r="D26" s="178" t="s">
        <v>1614</v>
      </c>
      <c r="E26" s="179" t="s">
        <v>1620</v>
      </c>
      <c r="F26" s="179" t="s">
        <v>1621</v>
      </c>
      <c r="G26" s="180" t="s">
        <v>1622</v>
      </c>
      <c r="H26" s="180" t="s">
        <v>1623</v>
      </c>
      <c r="I26" s="181" t="s">
        <v>1624</v>
      </c>
      <c r="J26" s="181" t="s">
        <v>1625</v>
      </c>
      <c r="K26" s="182" t="s">
        <v>1626</v>
      </c>
      <c r="L26" s="182" t="s">
        <v>1627</v>
      </c>
      <c r="M26" s="178" t="s">
        <v>1619</v>
      </c>
    </row>
    <row r="27" ht="15.75" customHeight="1">
      <c r="A27" s="159">
        <v>1.0</v>
      </c>
      <c r="B27" s="160" t="s">
        <v>1523</v>
      </c>
      <c r="C27" s="332" t="s">
        <v>109</v>
      </c>
      <c r="D27" s="213">
        <v>7.0</v>
      </c>
      <c r="E27" s="241">
        <f>'Daftar Harga'!D13</f>
        <v>28000</v>
      </c>
      <c r="F27" s="242">
        <f t="shared" ref="F27:F43" si="6">IF(E27&lt;&gt;"",D27*E27,"")</f>
        <v>196000</v>
      </c>
      <c r="G27" s="186">
        <v>36000.0</v>
      </c>
      <c r="H27" s="243">
        <f t="shared" ref="H27:H44" si="7">IF(G27&lt;&gt;"",D27*G27,"")</f>
        <v>252000</v>
      </c>
      <c r="I27" s="188">
        <v>38000.0</v>
      </c>
      <c r="J27" s="244">
        <f t="shared" ref="J27:J44" si="8">IF(I27&lt;&gt;"",D27*I27,"")</f>
        <v>266000</v>
      </c>
      <c r="K27" s="245">
        <f t="shared" ref="K27:K45" si="9">IF(J27&lt;&gt;"",IF(H27&lt;&gt;"",J27-H27,IF(F27&lt;&gt;"",J27-F27,"")),"")</f>
        <v>14000</v>
      </c>
      <c r="L27" s="246">
        <f t="shared" ref="L27:L44" si="10">IF(K27&lt;&gt;"",IF(H27&lt;&gt;"",IF(H27&lt;&gt;0,K27/H27,""),IF(F27&lt;&gt;"",IF(F27&lt;&gt;0,K27/F27,""),"")),"")</f>
        <v>0.05555555556</v>
      </c>
      <c r="M27" s="352"/>
    </row>
    <row r="28" ht="15.75" customHeight="1">
      <c r="A28" s="164">
        <v>2.0</v>
      </c>
      <c r="B28" s="165" t="s">
        <v>1525</v>
      </c>
      <c r="C28" s="334" t="s">
        <v>109</v>
      </c>
      <c r="D28" s="216">
        <v>7.0</v>
      </c>
      <c r="E28" s="241">
        <f>'Daftar Harga'!D15</f>
        <v>33000</v>
      </c>
      <c r="F28" s="242">
        <f t="shared" si="6"/>
        <v>231000</v>
      </c>
      <c r="G28" s="186">
        <v>30000.0</v>
      </c>
      <c r="H28" s="243">
        <f t="shared" si="7"/>
        <v>210000</v>
      </c>
      <c r="I28" s="188">
        <v>40000.0</v>
      </c>
      <c r="J28" s="244">
        <f t="shared" si="8"/>
        <v>280000</v>
      </c>
      <c r="K28" s="250">
        <f t="shared" si="9"/>
        <v>70000</v>
      </c>
      <c r="L28" s="251">
        <f t="shared" si="10"/>
        <v>0.3333333333</v>
      </c>
      <c r="M28" s="407"/>
    </row>
    <row r="29" ht="15.75" customHeight="1">
      <c r="A29" s="159">
        <v>3.0</v>
      </c>
      <c r="B29" s="160" t="s">
        <v>1527</v>
      </c>
      <c r="C29" s="332" t="s">
        <v>109</v>
      </c>
      <c r="D29" s="213">
        <v>118.0</v>
      </c>
      <c r="E29" s="241">
        <f>'Daftar Harga'!D17</f>
        <v>15500</v>
      </c>
      <c r="F29" s="242">
        <f t="shared" si="6"/>
        <v>1829000</v>
      </c>
      <c r="G29" s="186">
        <v>14500.0</v>
      </c>
      <c r="H29" s="243">
        <f t="shared" si="7"/>
        <v>1711000</v>
      </c>
      <c r="I29" s="188">
        <v>15500.0</v>
      </c>
      <c r="J29" s="244">
        <f t="shared" si="8"/>
        <v>1829000</v>
      </c>
      <c r="K29" s="245">
        <f t="shared" si="9"/>
        <v>118000</v>
      </c>
      <c r="L29" s="246">
        <f t="shared" si="10"/>
        <v>0.06896551724</v>
      </c>
      <c r="M29" s="352"/>
    </row>
    <row r="30" ht="15.75" customHeight="1">
      <c r="A30" s="164">
        <v>4.0</v>
      </c>
      <c r="B30" s="165" t="s">
        <v>1536</v>
      </c>
      <c r="C30" s="334" t="s">
        <v>109</v>
      </c>
      <c r="D30" s="216">
        <v>3.1</v>
      </c>
      <c r="E30" s="241">
        <f>'Daftar Harga'!D26</f>
        <v>47000</v>
      </c>
      <c r="F30" s="242">
        <f t="shared" si="6"/>
        <v>145700</v>
      </c>
      <c r="G30" s="186">
        <v>70000.0</v>
      </c>
      <c r="H30" s="243">
        <f t="shared" si="7"/>
        <v>217000</v>
      </c>
      <c r="I30" s="188">
        <v>75000.0</v>
      </c>
      <c r="J30" s="244">
        <f t="shared" si="8"/>
        <v>232500</v>
      </c>
      <c r="K30" s="250">
        <f t="shared" si="9"/>
        <v>15500</v>
      </c>
      <c r="L30" s="251">
        <f t="shared" si="10"/>
        <v>0.07142857143</v>
      </c>
      <c r="M30" s="407"/>
    </row>
    <row r="31" ht="15.75" customHeight="1">
      <c r="A31" s="159">
        <v>5.0</v>
      </c>
      <c r="B31" s="160" t="s">
        <v>1540</v>
      </c>
      <c r="C31" s="332" t="s">
        <v>109</v>
      </c>
      <c r="D31" s="213">
        <v>0.2</v>
      </c>
      <c r="E31" s="241">
        <f>'Daftar Harga'!D30</f>
        <v>27000</v>
      </c>
      <c r="F31" s="242">
        <f t="shared" si="6"/>
        <v>5400</v>
      </c>
      <c r="G31" s="186">
        <v>28000.0</v>
      </c>
      <c r="H31" s="243">
        <f t="shared" si="7"/>
        <v>5600</v>
      </c>
      <c r="I31" s="188">
        <v>30000.0</v>
      </c>
      <c r="J31" s="244">
        <f t="shared" si="8"/>
        <v>6000</v>
      </c>
      <c r="K31" s="245">
        <f t="shared" si="9"/>
        <v>400</v>
      </c>
      <c r="L31" s="246">
        <f t="shared" si="10"/>
        <v>0.07142857143</v>
      </c>
      <c r="M31" s="352"/>
    </row>
    <row r="32" ht="15.75" customHeight="1">
      <c r="A32" s="164">
        <v>6.0</v>
      </c>
      <c r="B32" s="165" t="s">
        <v>1546</v>
      </c>
      <c r="C32" s="334" t="s">
        <v>109</v>
      </c>
      <c r="D32" s="216">
        <v>87.4</v>
      </c>
      <c r="E32" s="241">
        <f>'Daftar Harga'!D37</f>
        <v>6500</v>
      </c>
      <c r="F32" s="242">
        <f t="shared" si="6"/>
        <v>568100</v>
      </c>
      <c r="G32" s="186">
        <v>105000.0</v>
      </c>
      <c r="H32" s="243">
        <f t="shared" si="7"/>
        <v>9177000</v>
      </c>
      <c r="I32" s="188">
        <v>106500.0</v>
      </c>
      <c r="J32" s="244">
        <f t="shared" si="8"/>
        <v>9308100</v>
      </c>
      <c r="K32" s="250">
        <f t="shared" si="9"/>
        <v>131100</v>
      </c>
      <c r="L32" s="251">
        <f t="shared" si="10"/>
        <v>0.01428571429</v>
      </c>
      <c r="M32" s="407"/>
    </row>
    <row r="33" ht="15.75" customHeight="1">
      <c r="A33" s="159">
        <v>7.0</v>
      </c>
      <c r="B33" s="160" t="s">
        <v>1563</v>
      </c>
      <c r="C33" s="332" t="s">
        <v>109</v>
      </c>
      <c r="D33" s="213">
        <v>4.0</v>
      </c>
      <c r="E33" s="241">
        <f>'Daftar Harga'!D54</f>
        <v>45000</v>
      </c>
      <c r="F33" s="242">
        <f t="shared" si="6"/>
        <v>180000</v>
      </c>
      <c r="G33" s="186">
        <v>43000.0</v>
      </c>
      <c r="H33" s="243">
        <f t="shared" si="7"/>
        <v>172000</v>
      </c>
      <c r="I33" s="188">
        <v>45000.0</v>
      </c>
      <c r="J33" s="244">
        <f t="shared" si="8"/>
        <v>180000</v>
      </c>
      <c r="K33" s="245">
        <f t="shared" si="9"/>
        <v>8000</v>
      </c>
      <c r="L33" s="246">
        <f t="shared" si="10"/>
        <v>0.04651162791</v>
      </c>
      <c r="M33" s="352"/>
    </row>
    <row r="34" ht="15.75" customHeight="1">
      <c r="A34" s="164">
        <v>8.0</v>
      </c>
      <c r="B34" s="165" t="s">
        <v>1569</v>
      </c>
      <c r="C34" s="334" t="s">
        <v>109</v>
      </c>
      <c r="D34" s="216">
        <v>2.0</v>
      </c>
      <c r="E34" s="241">
        <f>'Daftar Harga'!D60</f>
        <v>12000</v>
      </c>
      <c r="F34" s="242">
        <f t="shared" si="6"/>
        <v>24000</v>
      </c>
      <c r="G34" s="186">
        <v>12000.0</v>
      </c>
      <c r="H34" s="243">
        <f t="shared" si="7"/>
        <v>24000</v>
      </c>
      <c r="I34" s="188">
        <v>14000.0</v>
      </c>
      <c r="J34" s="244">
        <f t="shared" si="8"/>
        <v>28000</v>
      </c>
      <c r="K34" s="250">
        <f t="shared" si="9"/>
        <v>4000</v>
      </c>
      <c r="L34" s="251">
        <f t="shared" si="10"/>
        <v>0.1666666667</v>
      </c>
      <c r="M34" s="407"/>
    </row>
    <row r="35" ht="15.75" customHeight="1">
      <c r="A35" s="159">
        <v>9.0</v>
      </c>
      <c r="B35" s="160" t="s">
        <v>1574</v>
      </c>
      <c r="C35" s="332" t="s">
        <v>109</v>
      </c>
      <c r="D35" s="213">
        <v>1.5</v>
      </c>
      <c r="E35" s="241">
        <f>'Daftar Harga'!D65</f>
        <v>16000</v>
      </c>
      <c r="F35" s="242">
        <f t="shared" si="6"/>
        <v>24000</v>
      </c>
      <c r="G35" s="186">
        <v>12000.0</v>
      </c>
      <c r="H35" s="243">
        <f t="shared" si="7"/>
        <v>18000</v>
      </c>
      <c r="I35" s="188">
        <v>14000.0</v>
      </c>
      <c r="J35" s="244">
        <f t="shared" si="8"/>
        <v>21000</v>
      </c>
      <c r="K35" s="245">
        <f t="shared" si="9"/>
        <v>3000</v>
      </c>
      <c r="L35" s="246">
        <f t="shared" si="10"/>
        <v>0.1666666667</v>
      </c>
      <c r="M35" s="352"/>
    </row>
    <row r="36" ht="15.75" customHeight="1">
      <c r="A36" s="164">
        <v>10.0</v>
      </c>
      <c r="B36" s="165" t="s">
        <v>1578</v>
      </c>
      <c r="C36" s="334" t="s">
        <v>1579</v>
      </c>
      <c r="D36" s="216">
        <v>37.0</v>
      </c>
      <c r="E36" s="241">
        <f>'Daftar Harga'!D69</f>
        <v>205000</v>
      </c>
      <c r="F36" s="242">
        <f t="shared" si="6"/>
        <v>7585000</v>
      </c>
      <c r="G36" s="186">
        <v>22000.0</v>
      </c>
      <c r="H36" s="243">
        <f t="shared" si="7"/>
        <v>814000</v>
      </c>
      <c r="I36" s="188">
        <v>24000.0</v>
      </c>
      <c r="J36" s="244">
        <f t="shared" si="8"/>
        <v>888000</v>
      </c>
      <c r="K36" s="250">
        <f t="shared" si="9"/>
        <v>74000</v>
      </c>
      <c r="L36" s="251">
        <f t="shared" si="10"/>
        <v>0.09090909091</v>
      </c>
      <c r="M36" s="407"/>
    </row>
    <row r="37" ht="15.75" customHeight="1">
      <c r="A37" s="159">
        <v>11.0</v>
      </c>
      <c r="B37" s="160" t="s">
        <v>1593</v>
      </c>
      <c r="C37" s="332" t="s">
        <v>109</v>
      </c>
      <c r="D37" s="213">
        <v>48.7</v>
      </c>
      <c r="E37" s="241">
        <f>'Daftar Harga'!D83</f>
        <v>9000</v>
      </c>
      <c r="F37" s="242">
        <f t="shared" si="6"/>
        <v>438300</v>
      </c>
      <c r="G37" s="186">
        <v>12000.0</v>
      </c>
      <c r="H37" s="243">
        <f t="shared" si="7"/>
        <v>584400</v>
      </c>
      <c r="I37" s="188">
        <v>14000.0</v>
      </c>
      <c r="J37" s="244">
        <f t="shared" si="8"/>
        <v>681800</v>
      </c>
      <c r="K37" s="245">
        <f t="shared" si="9"/>
        <v>97400</v>
      </c>
      <c r="L37" s="246">
        <f t="shared" si="10"/>
        <v>0.1666666667</v>
      </c>
      <c r="M37" s="352"/>
    </row>
    <row r="38" ht="15.75" customHeight="1">
      <c r="A38" s="164">
        <v>12.0</v>
      </c>
      <c r="B38" s="165" t="s">
        <v>1112</v>
      </c>
      <c r="C38" s="334" t="s">
        <v>109</v>
      </c>
      <c r="D38" s="216">
        <v>164.5</v>
      </c>
      <c r="E38" s="241">
        <f>'Daftar Harga'!D85</f>
        <v>18500</v>
      </c>
      <c r="F38" s="242">
        <f t="shared" si="6"/>
        <v>3043250</v>
      </c>
      <c r="G38" s="186">
        <v>15500.0</v>
      </c>
      <c r="H38" s="243">
        <f t="shared" si="7"/>
        <v>2549750</v>
      </c>
      <c r="I38" s="188">
        <v>17500.0</v>
      </c>
      <c r="J38" s="244">
        <f t="shared" si="8"/>
        <v>2878750</v>
      </c>
      <c r="K38" s="250">
        <f t="shared" si="9"/>
        <v>329000</v>
      </c>
      <c r="L38" s="251">
        <f t="shared" si="10"/>
        <v>0.1290322581</v>
      </c>
      <c r="M38" s="407"/>
    </row>
    <row r="39" ht="15.75" customHeight="1">
      <c r="A39" s="159">
        <v>13.0</v>
      </c>
      <c r="B39" s="160" t="s">
        <v>1595</v>
      </c>
      <c r="C39" s="332" t="s">
        <v>109</v>
      </c>
      <c r="D39" s="213">
        <v>2.0</v>
      </c>
      <c r="E39" s="241">
        <f>'Daftar Harga'!D86</f>
        <v>12000</v>
      </c>
      <c r="F39" s="242">
        <f t="shared" si="6"/>
        <v>24000</v>
      </c>
      <c r="G39" s="186">
        <v>12000.0</v>
      </c>
      <c r="H39" s="243">
        <f t="shared" si="7"/>
        <v>24000</v>
      </c>
      <c r="I39" s="188">
        <v>14000.0</v>
      </c>
      <c r="J39" s="244">
        <f t="shared" si="8"/>
        <v>28000</v>
      </c>
      <c r="K39" s="245">
        <f t="shared" si="9"/>
        <v>4000</v>
      </c>
      <c r="L39" s="246">
        <f t="shared" si="10"/>
        <v>0.1666666667</v>
      </c>
      <c r="M39" s="352"/>
    </row>
    <row r="40" ht="15.75" customHeight="1">
      <c r="A40" s="164">
        <v>14.0</v>
      </c>
      <c r="B40" s="165" t="s">
        <v>1600</v>
      </c>
      <c r="C40" s="334" t="s">
        <v>109</v>
      </c>
      <c r="D40" s="216">
        <v>0.5</v>
      </c>
      <c r="E40" s="241">
        <f>'Daftar Harga'!D92</f>
        <v>28000</v>
      </c>
      <c r="F40" s="242">
        <f t="shared" si="6"/>
        <v>14000</v>
      </c>
      <c r="G40" s="186">
        <v>25500.0</v>
      </c>
      <c r="H40" s="243">
        <f t="shared" si="7"/>
        <v>12750</v>
      </c>
      <c r="I40" s="188">
        <v>28000.0</v>
      </c>
      <c r="J40" s="244">
        <f t="shared" si="8"/>
        <v>14000</v>
      </c>
      <c r="K40" s="250">
        <f t="shared" si="9"/>
        <v>1250</v>
      </c>
      <c r="L40" s="251">
        <f t="shared" si="10"/>
        <v>0.09803921569</v>
      </c>
      <c r="M40" s="407"/>
    </row>
    <row r="41" ht="15.75" customHeight="1">
      <c r="A41" s="159">
        <v>15.0</v>
      </c>
      <c r="B41" s="160" t="s">
        <v>1601</v>
      </c>
      <c r="C41" s="332" t="s">
        <v>67</v>
      </c>
      <c r="D41" s="213">
        <v>51.0</v>
      </c>
      <c r="E41" s="241">
        <f>'Daftar Harga'!D93</f>
        <v>12000</v>
      </c>
      <c r="F41" s="242">
        <f t="shared" si="6"/>
        <v>612000</v>
      </c>
      <c r="G41" s="199">
        <v>12000.0</v>
      </c>
      <c r="H41" s="243">
        <f t="shared" si="7"/>
        <v>612000</v>
      </c>
      <c r="I41" s="188">
        <v>14000.0</v>
      </c>
      <c r="J41" s="244">
        <f t="shared" si="8"/>
        <v>714000</v>
      </c>
      <c r="K41" s="245">
        <f t="shared" si="9"/>
        <v>102000</v>
      </c>
      <c r="L41" s="246">
        <f t="shared" si="10"/>
        <v>0.1666666667</v>
      </c>
      <c r="M41" s="352"/>
    </row>
    <row r="42" ht="15.75" customHeight="1">
      <c r="A42" s="164">
        <v>16.0</v>
      </c>
      <c r="B42" s="165" t="s">
        <v>1605</v>
      </c>
      <c r="C42" s="334" t="s">
        <v>109</v>
      </c>
      <c r="D42" s="216">
        <v>10.0</v>
      </c>
      <c r="E42" s="241">
        <f>'Daftar Harga'!D97</f>
        <v>11500</v>
      </c>
      <c r="F42" s="242">
        <f t="shared" si="6"/>
        <v>115000</v>
      </c>
      <c r="G42" s="186">
        <v>11500.0</v>
      </c>
      <c r="H42" s="243">
        <f t="shared" si="7"/>
        <v>115000</v>
      </c>
      <c r="I42" s="188">
        <v>14000.0</v>
      </c>
      <c r="J42" s="244">
        <f t="shared" si="8"/>
        <v>140000</v>
      </c>
      <c r="K42" s="250">
        <f t="shared" si="9"/>
        <v>25000</v>
      </c>
      <c r="L42" s="251">
        <f t="shared" si="10"/>
        <v>0.2173913043</v>
      </c>
      <c r="M42" s="407"/>
    </row>
    <row r="43" ht="15.75" customHeight="1">
      <c r="A43" s="159">
        <v>17.0</v>
      </c>
      <c r="B43" s="160" t="s">
        <v>1609</v>
      </c>
      <c r="C43" s="332" t="s">
        <v>109</v>
      </c>
      <c r="D43" s="213">
        <v>20.6</v>
      </c>
      <c r="E43" s="241">
        <f>'Daftar Harga'!D101</f>
        <v>9000</v>
      </c>
      <c r="F43" s="242">
        <f t="shared" si="6"/>
        <v>185400</v>
      </c>
      <c r="G43" s="186">
        <v>9000.0</v>
      </c>
      <c r="H43" s="243">
        <f t="shared" si="7"/>
        <v>185400</v>
      </c>
      <c r="I43" s="188">
        <v>14000.0</v>
      </c>
      <c r="J43" s="244">
        <f t="shared" si="8"/>
        <v>288400</v>
      </c>
      <c r="K43" s="245">
        <f t="shared" si="9"/>
        <v>103000</v>
      </c>
      <c r="L43" s="246">
        <f t="shared" si="10"/>
        <v>0.5555555556</v>
      </c>
      <c r="M43" s="352"/>
    </row>
    <row r="44" ht="15.75" customHeight="1">
      <c r="A44" s="415"/>
      <c r="B44" s="401" t="s">
        <v>1655</v>
      </c>
      <c r="C44" s="416" t="s">
        <v>109</v>
      </c>
      <c r="D44" s="321">
        <v>1.0</v>
      </c>
      <c r="E44" s="267"/>
      <c r="F44" s="268"/>
      <c r="G44" s="186">
        <v>20000.0</v>
      </c>
      <c r="H44" s="243">
        <f t="shared" si="7"/>
        <v>20000</v>
      </c>
      <c r="I44" s="188">
        <v>20000.0</v>
      </c>
      <c r="J44" s="244">
        <f t="shared" si="8"/>
        <v>20000</v>
      </c>
      <c r="K44" s="245">
        <f t="shared" si="9"/>
        <v>0</v>
      </c>
      <c r="L44" s="246">
        <f t="shared" si="10"/>
        <v>0</v>
      </c>
      <c r="M44" s="352"/>
    </row>
    <row r="45" ht="19.5" customHeight="1">
      <c r="A45" s="205" t="s">
        <v>1632</v>
      </c>
      <c r="B45" s="206"/>
      <c r="C45" s="206"/>
      <c r="D45" s="174"/>
      <c r="E45" s="207"/>
      <c r="F45" s="208">
        <f>SUMIF(F27:F43,"&lt;&gt;",F27:F43)</f>
        <v>15220150</v>
      </c>
      <c r="G45" s="207"/>
      <c r="H45" s="208">
        <f>SUMIF(H27:H44,"&lt;&gt;",H27:H44)</f>
        <v>16703900</v>
      </c>
      <c r="I45" s="207"/>
      <c r="J45" s="208">
        <f>SUMIF(J27:J44,"&lt;&gt;",J27:J44)</f>
        <v>17803550</v>
      </c>
      <c r="K45" s="208">
        <f t="shared" si="9"/>
        <v>1099650</v>
      </c>
      <c r="L45" s="212">
        <f>IF(K45&lt;&gt;"",IF(H45&lt;&gt;"",IF(H45&lt;&gt;0,K45/H45,""),IF(F45&lt;&gt;"",IF(F45&lt;&gt;0,K45/F45,""),"")),"")</f>
        <v>0.06583193147</v>
      </c>
      <c r="M45" s="207"/>
    </row>
    <row r="46" ht="15.75" customHeight="1"/>
    <row r="47" ht="21.75" customHeight="1">
      <c r="A47" s="171" t="s">
        <v>1633</v>
      </c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6"/>
    </row>
    <row r="48" ht="19.5" customHeight="1">
      <c r="A48" s="172" t="s">
        <v>1509</v>
      </c>
      <c r="B48" s="172" t="s">
        <v>1510</v>
      </c>
      <c r="C48" s="172" t="s">
        <v>1511</v>
      </c>
      <c r="D48" s="172" t="s">
        <v>1614</v>
      </c>
      <c r="E48" s="173" t="s">
        <v>1615</v>
      </c>
      <c r="F48" s="174"/>
      <c r="G48" s="175" t="s">
        <v>1616</v>
      </c>
      <c r="H48" s="174"/>
      <c r="I48" s="176" t="s">
        <v>1617</v>
      </c>
      <c r="J48" s="174"/>
      <c r="K48" s="177" t="s">
        <v>1618</v>
      </c>
      <c r="L48" s="174"/>
      <c r="M48" s="172" t="s">
        <v>1619</v>
      </c>
    </row>
    <row r="49" ht="27.75" customHeight="1">
      <c r="A49" s="178" t="s">
        <v>1509</v>
      </c>
      <c r="B49" s="178" t="s">
        <v>1510</v>
      </c>
      <c r="C49" s="178" t="s">
        <v>1511</v>
      </c>
      <c r="D49" s="178" t="s">
        <v>1614</v>
      </c>
      <c r="E49" s="179" t="s">
        <v>1620</v>
      </c>
      <c r="F49" s="179" t="s">
        <v>1621</v>
      </c>
      <c r="G49" s="180" t="s">
        <v>1622</v>
      </c>
      <c r="H49" s="180" t="s">
        <v>1623</v>
      </c>
      <c r="I49" s="181" t="s">
        <v>1624</v>
      </c>
      <c r="J49" s="181" t="s">
        <v>1625</v>
      </c>
      <c r="K49" s="182" t="s">
        <v>1626</v>
      </c>
      <c r="L49" s="182" t="s">
        <v>1627</v>
      </c>
      <c r="M49" s="178" t="s">
        <v>1619</v>
      </c>
    </row>
    <row r="50" ht="15.75" customHeight="1">
      <c r="A50" s="159">
        <v>1.0</v>
      </c>
      <c r="B50" s="160" t="s">
        <v>1516</v>
      </c>
      <c r="C50" s="159" t="s">
        <v>109</v>
      </c>
      <c r="D50" s="227">
        <v>36.0</v>
      </c>
      <c r="E50" s="184">
        <f>'Daftar Harga'!D4</f>
        <v>90000</v>
      </c>
      <c r="F50" s="185">
        <f t="shared" ref="F50:F71" si="11">IF(E50&lt;&gt;"",D50*E50,"")</f>
        <v>3240000</v>
      </c>
      <c r="G50" s="221">
        <v>70000.0</v>
      </c>
      <c r="H50" s="187">
        <f t="shared" ref="H50:H72" si="12">IF(G50&lt;&gt;"",D50*G50,"")</f>
        <v>2520000</v>
      </c>
      <c r="I50" s="222">
        <v>72500.0</v>
      </c>
      <c r="J50" s="215">
        <f t="shared" ref="J50:J72" si="13">IF(I50&lt;&gt;"",D50*I50,"")</f>
        <v>2610000</v>
      </c>
      <c r="K50" s="190">
        <f t="shared" ref="K50:K73" si="14">IF(J50&lt;&gt;"",IF(H50&lt;&gt;"",J50-H50,IF(F50&lt;&gt;"",J50-F50,"")),"")</f>
        <v>90000</v>
      </c>
      <c r="L50" s="191">
        <f t="shared" ref="L50:L73" si="15">IF(K50&lt;&gt;"",IF(H50&lt;&gt;"",IF(H50&lt;&gt;0,K50/H50,""),IF(F50&lt;&gt;"",IF(F50&lt;&gt;0,K50/F50,""),"")),"")</f>
        <v>0.03571428571</v>
      </c>
      <c r="M50" s="192"/>
    </row>
    <row r="51" ht="15.75" customHeight="1">
      <c r="A51" s="164">
        <v>2.0</v>
      </c>
      <c r="B51" s="165" t="s">
        <v>1116</v>
      </c>
      <c r="C51" s="164" t="s">
        <v>109</v>
      </c>
      <c r="D51" s="198">
        <v>138.0</v>
      </c>
      <c r="E51" s="184">
        <f>'Daftar Harga'!D9</f>
        <v>36500</v>
      </c>
      <c r="F51" s="185">
        <f t="shared" si="11"/>
        <v>5037000</v>
      </c>
      <c r="G51" s="221">
        <v>34500.0</v>
      </c>
      <c r="H51" s="187">
        <f t="shared" si="12"/>
        <v>4761000</v>
      </c>
      <c r="I51" s="222">
        <v>38000.0</v>
      </c>
      <c r="J51" s="215">
        <f t="shared" si="13"/>
        <v>5244000</v>
      </c>
      <c r="K51" s="194">
        <f t="shared" si="14"/>
        <v>483000</v>
      </c>
      <c r="L51" s="195">
        <f t="shared" si="15"/>
        <v>0.1014492754</v>
      </c>
      <c r="M51" s="196"/>
    </row>
    <row r="52" ht="15.75" customHeight="1">
      <c r="A52" s="159">
        <v>3.0</v>
      </c>
      <c r="B52" s="160" t="s">
        <v>1523</v>
      </c>
      <c r="C52" s="159" t="s">
        <v>109</v>
      </c>
      <c r="D52" s="183">
        <v>4.0</v>
      </c>
      <c r="E52" s="184">
        <f>'Daftar Harga'!D13</f>
        <v>28000</v>
      </c>
      <c r="F52" s="185">
        <f t="shared" si="11"/>
        <v>112000</v>
      </c>
      <c r="G52" s="221">
        <v>32000.0</v>
      </c>
      <c r="H52" s="187">
        <f t="shared" si="12"/>
        <v>128000</v>
      </c>
      <c r="I52" s="222">
        <v>38000.0</v>
      </c>
      <c r="J52" s="215">
        <f t="shared" si="13"/>
        <v>152000</v>
      </c>
      <c r="K52" s="190">
        <f t="shared" si="14"/>
        <v>24000</v>
      </c>
      <c r="L52" s="191">
        <f t="shared" si="15"/>
        <v>0.1875</v>
      </c>
      <c r="M52" s="192"/>
    </row>
    <row r="53" ht="15.75" customHeight="1">
      <c r="A53" s="164">
        <v>4.0</v>
      </c>
      <c r="B53" s="165" t="s">
        <v>1525</v>
      </c>
      <c r="C53" s="164" t="s">
        <v>109</v>
      </c>
      <c r="D53" s="198">
        <v>3.0</v>
      </c>
      <c r="E53" s="184">
        <f>'Daftar Harga'!D15</f>
        <v>33000</v>
      </c>
      <c r="F53" s="185">
        <f t="shared" si="11"/>
        <v>99000</v>
      </c>
      <c r="G53" s="221">
        <v>30000.0</v>
      </c>
      <c r="H53" s="187">
        <f t="shared" si="12"/>
        <v>90000</v>
      </c>
      <c r="I53" s="222">
        <v>40000.0</v>
      </c>
      <c r="J53" s="215">
        <f t="shared" si="13"/>
        <v>120000</v>
      </c>
      <c r="K53" s="194">
        <f t="shared" si="14"/>
        <v>30000</v>
      </c>
      <c r="L53" s="195">
        <f t="shared" si="15"/>
        <v>0.3333333333</v>
      </c>
      <c r="M53" s="196"/>
    </row>
    <row r="54" ht="15.75" customHeight="1">
      <c r="A54" s="159">
        <v>5.0</v>
      </c>
      <c r="B54" s="160" t="s">
        <v>1527</v>
      </c>
      <c r="C54" s="159" t="s">
        <v>109</v>
      </c>
      <c r="D54" s="183">
        <v>70.0</v>
      </c>
      <c r="E54" s="184">
        <f>'Daftar Harga'!D17</f>
        <v>15500</v>
      </c>
      <c r="F54" s="185">
        <f t="shared" si="11"/>
        <v>1085000</v>
      </c>
      <c r="G54" s="221">
        <v>14500.0</v>
      </c>
      <c r="H54" s="187">
        <f t="shared" si="12"/>
        <v>1015000</v>
      </c>
      <c r="I54" s="222">
        <v>15500.0</v>
      </c>
      <c r="J54" s="215">
        <f t="shared" si="13"/>
        <v>1085000</v>
      </c>
      <c r="K54" s="190">
        <f t="shared" si="14"/>
        <v>70000</v>
      </c>
      <c r="L54" s="191">
        <f t="shared" si="15"/>
        <v>0.06896551724</v>
      </c>
      <c r="M54" s="192"/>
    </row>
    <row r="55" ht="15.75" customHeight="1">
      <c r="A55" s="164">
        <v>6.0</v>
      </c>
      <c r="B55" s="160" t="s">
        <v>1534</v>
      </c>
      <c r="C55" s="159" t="s">
        <v>109</v>
      </c>
      <c r="D55" s="227">
        <v>12.0</v>
      </c>
      <c r="E55" s="184">
        <f>'Daftar Harga'!D24</f>
        <v>13000</v>
      </c>
      <c r="F55" s="185">
        <f t="shared" si="11"/>
        <v>156000</v>
      </c>
      <c r="G55" s="221">
        <v>20000.0</v>
      </c>
      <c r="H55" s="187">
        <f t="shared" si="12"/>
        <v>240000</v>
      </c>
      <c r="I55" s="222">
        <v>23500.0</v>
      </c>
      <c r="J55" s="215">
        <f t="shared" si="13"/>
        <v>282000</v>
      </c>
      <c r="K55" s="190">
        <f t="shared" si="14"/>
        <v>42000</v>
      </c>
      <c r="L55" s="191">
        <f t="shared" si="15"/>
        <v>0.175</v>
      </c>
      <c r="M55" s="192"/>
    </row>
    <row r="56" ht="15.75" customHeight="1">
      <c r="A56" s="159">
        <v>7.0</v>
      </c>
      <c r="B56" s="165" t="s">
        <v>1535</v>
      </c>
      <c r="C56" s="164" t="s">
        <v>109</v>
      </c>
      <c r="D56" s="193">
        <v>2.5</v>
      </c>
      <c r="E56" s="184">
        <f>'Daftar Harga'!D25</f>
        <v>47000</v>
      </c>
      <c r="F56" s="185">
        <f t="shared" si="11"/>
        <v>117500</v>
      </c>
      <c r="G56" s="221">
        <v>75000.0</v>
      </c>
      <c r="H56" s="187">
        <f t="shared" si="12"/>
        <v>187500</v>
      </c>
      <c r="I56" s="222">
        <v>75000.0</v>
      </c>
      <c r="J56" s="215">
        <f t="shared" si="13"/>
        <v>187500</v>
      </c>
      <c r="K56" s="194">
        <f t="shared" si="14"/>
        <v>0</v>
      </c>
      <c r="L56" s="195">
        <f t="shared" si="15"/>
        <v>0</v>
      </c>
      <c r="M56" s="196"/>
    </row>
    <row r="57" ht="15.75" customHeight="1">
      <c r="A57" s="164">
        <v>8.0</v>
      </c>
      <c r="B57" s="160" t="s">
        <v>1540</v>
      </c>
      <c r="C57" s="159" t="s">
        <v>109</v>
      </c>
      <c r="D57" s="227">
        <v>0.5</v>
      </c>
      <c r="E57" s="184">
        <f>'Daftar Harga'!D30</f>
        <v>27000</v>
      </c>
      <c r="F57" s="185">
        <f t="shared" si="11"/>
        <v>13500</v>
      </c>
      <c r="G57" s="221">
        <v>20000.0</v>
      </c>
      <c r="H57" s="187">
        <f t="shared" si="12"/>
        <v>10000</v>
      </c>
      <c r="I57" s="222">
        <v>25000.0</v>
      </c>
      <c r="J57" s="215">
        <f t="shared" si="13"/>
        <v>12500</v>
      </c>
      <c r="K57" s="190">
        <f t="shared" si="14"/>
        <v>2500</v>
      </c>
      <c r="L57" s="191">
        <f t="shared" si="15"/>
        <v>0.25</v>
      </c>
      <c r="M57" s="192"/>
    </row>
    <row r="58" ht="15.75" customHeight="1">
      <c r="A58" s="159">
        <v>9.0</v>
      </c>
      <c r="B58" s="165" t="s">
        <v>1542</v>
      </c>
      <c r="C58" s="164" t="s">
        <v>109</v>
      </c>
      <c r="D58" s="198">
        <v>1.5</v>
      </c>
      <c r="E58" s="184">
        <f>'Daftar Harga'!D32</f>
        <v>21600</v>
      </c>
      <c r="F58" s="185">
        <f t="shared" si="11"/>
        <v>32400</v>
      </c>
      <c r="G58" s="221">
        <v>32308.0</v>
      </c>
      <c r="H58" s="187">
        <f t="shared" si="12"/>
        <v>48462</v>
      </c>
      <c r="I58" s="222">
        <v>33000.0</v>
      </c>
      <c r="J58" s="215">
        <f t="shared" si="13"/>
        <v>49500</v>
      </c>
      <c r="K58" s="194">
        <f t="shared" si="14"/>
        <v>1038</v>
      </c>
      <c r="L58" s="195">
        <f t="shared" si="15"/>
        <v>0.02141884363</v>
      </c>
      <c r="M58" s="196"/>
    </row>
    <row r="59" ht="15.75" customHeight="1">
      <c r="A59" s="164">
        <v>10.0</v>
      </c>
      <c r="B59" s="160" t="s">
        <v>1543</v>
      </c>
      <c r="C59" s="159" t="s">
        <v>109</v>
      </c>
      <c r="D59" s="183">
        <v>2.0</v>
      </c>
      <c r="E59" s="184">
        <f>'Daftar Harga'!D34</f>
        <v>9000</v>
      </c>
      <c r="F59" s="185">
        <f t="shared" si="11"/>
        <v>18000</v>
      </c>
      <c r="G59" s="221">
        <v>7000.0</v>
      </c>
      <c r="H59" s="187">
        <f t="shared" si="12"/>
        <v>14000</v>
      </c>
      <c r="I59" s="222">
        <v>10000.0</v>
      </c>
      <c r="J59" s="215">
        <f t="shared" si="13"/>
        <v>20000</v>
      </c>
      <c r="K59" s="190">
        <f t="shared" si="14"/>
        <v>6000</v>
      </c>
      <c r="L59" s="191">
        <f t="shared" si="15"/>
        <v>0.4285714286</v>
      </c>
      <c r="M59" s="192"/>
    </row>
    <row r="60" ht="15.75" customHeight="1">
      <c r="A60" s="159">
        <v>11.0</v>
      </c>
      <c r="B60" s="160" t="s">
        <v>1548</v>
      </c>
      <c r="C60" s="159" t="s">
        <v>109</v>
      </c>
      <c r="D60" s="183">
        <v>2.5</v>
      </c>
      <c r="E60" s="184">
        <f>'Daftar Harga'!D39</f>
        <v>20000</v>
      </c>
      <c r="F60" s="185">
        <f t="shared" si="11"/>
        <v>50000</v>
      </c>
      <c r="G60" s="221">
        <v>20000.0</v>
      </c>
      <c r="H60" s="187">
        <f t="shared" si="12"/>
        <v>50000</v>
      </c>
      <c r="I60" s="222">
        <v>22000.0</v>
      </c>
      <c r="J60" s="215">
        <f t="shared" si="13"/>
        <v>55000</v>
      </c>
      <c r="K60" s="190">
        <f t="shared" si="14"/>
        <v>5000</v>
      </c>
      <c r="L60" s="191">
        <f t="shared" si="15"/>
        <v>0.1</v>
      </c>
      <c r="M60" s="192"/>
    </row>
    <row r="61" ht="15.75" customHeight="1">
      <c r="A61" s="164">
        <v>12.0</v>
      </c>
      <c r="B61" s="165" t="s">
        <v>1551</v>
      </c>
      <c r="C61" s="164" t="s">
        <v>109</v>
      </c>
      <c r="D61" s="193">
        <v>0.2</v>
      </c>
      <c r="E61" s="184" t="str">
        <f>'Daftar Harga'!D44</f>
        <v/>
      </c>
      <c r="F61" s="185" t="str">
        <f t="shared" si="11"/>
        <v/>
      </c>
      <c r="G61" s="221">
        <v>100000.0</v>
      </c>
      <c r="H61" s="187">
        <f t="shared" si="12"/>
        <v>20000</v>
      </c>
      <c r="I61" s="222">
        <v>110000.0</v>
      </c>
      <c r="J61" s="215">
        <f t="shared" si="13"/>
        <v>22000</v>
      </c>
      <c r="K61" s="194">
        <f t="shared" si="14"/>
        <v>2000</v>
      </c>
      <c r="L61" s="195">
        <f t="shared" si="15"/>
        <v>0.1</v>
      </c>
      <c r="M61" s="196"/>
    </row>
    <row r="62" ht="15.75" customHeight="1">
      <c r="A62" s="159">
        <v>13.0</v>
      </c>
      <c r="B62" s="160" t="s">
        <v>1563</v>
      </c>
      <c r="C62" s="159" t="s">
        <v>109</v>
      </c>
      <c r="D62" s="183">
        <v>2.5</v>
      </c>
      <c r="E62" s="184">
        <f>'Daftar Harga'!D54</f>
        <v>45000</v>
      </c>
      <c r="F62" s="185">
        <f t="shared" si="11"/>
        <v>112500</v>
      </c>
      <c r="G62" s="221">
        <v>45000.0</v>
      </c>
      <c r="H62" s="187">
        <f t="shared" si="12"/>
        <v>112500</v>
      </c>
      <c r="I62" s="222">
        <v>50000.0</v>
      </c>
      <c r="J62" s="215">
        <f t="shared" si="13"/>
        <v>125000</v>
      </c>
      <c r="K62" s="190">
        <f t="shared" si="14"/>
        <v>12500</v>
      </c>
      <c r="L62" s="191">
        <f t="shared" si="15"/>
        <v>0.1111111111</v>
      </c>
      <c r="M62" s="192"/>
    </row>
    <row r="63" ht="15.75" customHeight="1">
      <c r="A63" s="164">
        <v>14.0</v>
      </c>
      <c r="B63" s="165" t="s">
        <v>1569</v>
      </c>
      <c r="C63" s="164" t="s">
        <v>109</v>
      </c>
      <c r="D63" s="193">
        <v>2.5</v>
      </c>
      <c r="E63" s="184">
        <f>'Daftar Harga'!D60</f>
        <v>12000</v>
      </c>
      <c r="F63" s="185">
        <f t="shared" si="11"/>
        <v>30000</v>
      </c>
      <c r="G63" s="221">
        <v>10000.0</v>
      </c>
      <c r="H63" s="187">
        <f t="shared" si="12"/>
        <v>25000</v>
      </c>
      <c r="I63" s="222">
        <v>12000.0</v>
      </c>
      <c r="J63" s="215">
        <f t="shared" si="13"/>
        <v>30000</v>
      </c>
      <c r="K63" s="194">
        <f t="shared" si="14"/>
        <v>5000</v>
      </c>
      <c r="L63" s="195">
        <f t="shared" si="15"/>
        <v>0.2</v>
      </c>
      <c r="M63" s="196"/>
    </row>
    <row r="64" ht="15.75" customHeight="1">
      <c r="A64" s="159">
        <v>15.0</v>
      </c>
      <c r="B64" s="160" t="s">
        <v>1571</v>
      </c>
      <c r="C64" s="159" t="s">
        <v>109</v>
      </c>
      <c r="D64" s="227">
        <v>0.5</v>
      </c>
      <c r="E64" s="184">
        <f>'Daftar Harga'!D62</f>
        <v>170000</v>
      </c>
      <c r="F64" s="185">
        <f t="shared" si="11"/>
        <v>85000</v>
      </c>
      <c r="G64" s="221">
        <v>180000.0</v>
      </c>
      <c r="H64" s="187">
        <f t="shared" si="12"/>
        <v>90000</v>
      </c>
      <c r="I64" s="222">
        <v>180000.0</v>
      </c>
      <c r="J64" s="215">
        <f t="shared" si="13"/>
        <v>90000</v>
      </c>
      <c r="K64" s="190">
        <f t="shared" si="14"/>
        <v>0</v>
      </c>
      <c r="L64" s="191">
        <f t="shared" si="15"/>
        <v>0</v>
      </c>
      <c r="M64" s="192"/>
    </row>
    <row r="65" ht="15.75" customHeight="1">
      <c r="A65" s="164">
        <v>16.0</v>
      </c>
      <c r="B65" s="165" t="s">
        <v>1574</v>
      </c>
      <c r="C65" s="164" t="s">
        <v>109</v>
      </c>
      <c r="D65" s="198">
        <v>1.0</v>
      </c>
      <c r="E65" s="184">
        <f>'Daftar Harga'!D65</f>
        <v>16000</v>
      </c>
      <c r="F65" s="185">
        <f t="shared" si="11"/>
        <v>16000</v>
      </c>
      <c r="G65" s="221">
        <v>12000.0</v>
      </c>
      <c r="H65" s="187">
        <f t="shared" si="12"/>
        <v>12000</v>
      </c>
      <c r="I65" s="222">
        <v>14000.0</v>
      </c>
      <c r="J65" s="215">
        <f t="shared" si="13"/>
        <v>14000</v>
      </c>
      <c r="K65" s="194">
        <f t="shared" si="14"/>
        <v>2000</v>
      </c>
      <c r="L65" s="195">
        <f t="shared" si="15"/>
        <v>0.1666666667</v>
      </c>
      <c r="M65" s="196"/>
    </row>
    <row r="66" ht="15.75" customHeight="1">
      <c r="A66" s="159">
        <v>17.0</v>
      </c>
      <c r="B66" s="160" t="s">
        <v>1578</v>
      </c>
      <c r="C66" s="159" t="s">
        <v>1579</v>
      </c>
      <c r="D66" s="183">
        <v>12.0</v>
      </c>
      <c r="E66" s="184">
        <f>'Daftar Harga'!D69</f>
        <v>205000</v>
      </c>
      <c r="F66" s="185">
        <f t="shared" si="11"/>
        <v>2460000</v>
      </c>
      <c r="G66" s="221">
        <v>22000.0</v>
      </c>
      <c r="H66" s="187">
        <f t="shared" si="12"/>
        <v>264000</v>
      </c>
      <c r="I66" s="222">
        <v>24000.0</v>
      </c>
      <c r="J66" s="215">
        <f t="shared" si="13"/>
        <v>288000</v>
      </c>
      <c r="K66" s="190">
        <f t="shared" si="14"/>
        <v>24000</v>
      </c>
      <c r="L66" s="191">
        <f t="shared" si="15"/>
        <v>0.09090909091</v>
      </c>
      <c r="M66" s="192"/>
    </row>
    <row r="67" ht="15.75" customHeight="1">
      <c r="A67" s="164">
        <v>18.0</v>
      </c>
      <c r="B67" s="165" t="s">
        <v>1589</v>
      </c>
      <c r="C67" s="164" t="s">
        <v>1557</v>
      </c>
      <c r="D67" s="198">
        <v>1.0</v>
      </c>
      <c r="E67" s="184">
        <f>'Daftar Harga'!D79</f>
        <v>52000</v>
      </c>
      <c r="F67" s="185">
        <f t="shared" si="11"/>
        <v>52000</v>
      </c>
      <c r="G67" s="221">
        <v>52000.0</v>
      </c>
      <c r="H67" s="187">
        <f t="shared" si="12"/>
        <v>52000</v>
      </c>
      <c r="I67" s="222">
        <v>55000.0</v>
      </c>
      <c r="J67" s="215">
        <f t="shared" si="13"/>
        <v>55000</v>
      </c>
      <c r="K67" s="194">
        <f t="shared" si="14"/>
        <v>3000</v>
      </c>
      <c r="L67" s="195">
        <f t="shared" si="15"/>
        <v>0.05769230769</v>
      </c>
      <c r="M67" s="196"/>
    </row>
    <row r="68" ht="15.75" customHeight="1">
      <c r="A68" s="159">
        <v>19.0</v>
      </c>
      <c r="B68" s="160" t="s">
        <v>1595</v>
      </c>
      <c r="C68" s="159" t="s">
        <v>109</v>
      </c>
      <c r="D68" s="183">
        <v>3.0</v>
      </c>
      <c r="E68" s="184">
        <f>'Daftar Harga'!D86</f>
        <v>12000</v>
      </c>
      <c r="F68" s="185">
        <f t="shared" si="11"/>
        <v>36000</v>
      </c>
      <c r="G68" s="221">
        <v>10000.0</v>
      </c>
      <c r="H68" s="187">
        <f t="shared" si="12"/>
        <v>30000</v>
      </c>
      <c r="I68" s="222">
        <v>12000.0</v>
      </c>
      <c r="J68" s="215">
        <f t="shared" si="13"/>
        <v>36000</v>
      </c>
      <c r="K68" s="190">
        <f t="shared" si="14"/>
        <v>6000</v>
      </c>
      <c r="L68" s="191">
        <f t="shared" si="15"/>
        <v>0.2</v>
      </c>
      <c r="M68" s="192"/>
    </row>
    <row r="69" ht="15.75" customHeight="1">
      <c r="A69" s="223">
        <v>20.0</v>
      </c>
      <c r="B69" s="160" t="s">
        <v>1344</v>
      </c>
      <c r="C69" s="159" t="s">
        <v>69</v>
      </c>
      <c r="D69" s="227">
        <v>1400.0</v>
      </c>
      <c r="E69" s="184">
        <f>'Daftar Harga'!D91</f>
        <v>500</v>
      </c>
      <c r="F69" s="185">
        <f t="shared" si="11"/>
        <v>700000</v>
      </c>
      <c r="G69" s="221">
        <v>500.0</v>
      </c>
      <c r="H69" s="187">
        <f t="shared" si="12"/>
        <v>700000</v>
      </c>
      <c r="I69" s="222">
        <v>700.0</v>
      </c>
      <c r="J69" s="215">
        <f t="shared" si="13"/>
        <v>980000</v>
      </c>
      <c r="K69" s="190">
        <f t="shared" si="14"/>
        <v>280000</v>
      </c>
      <c r="L69" s="191">
        <f t="shared" si="15"/>
        <v>0.4</v>
      </c>
      <c r="M69" s="192"/>
    </row>
    <row r="70" ht="15.75" customHeight="1">
      <c r="A70" s="223">
        <v>22.0</v>
      </c>
      <c r="B70" s="160" t="s">
        <v>1605</v>
      </c>
      <c r="C70" s="159" t="s">
        <v>109</v>
      </c>
      <c r="D70" s="183">
        <v>13.0</v>
      </c>
      <c r="E70" s="184">
        <f>'Daftar Harga'!D97</f>
        <v>11500</v>
      </c>
      <c r="F70" s="185">
        <f t="shared" si="11"/>
        <v>149500</v>
      </c>
      <c r="G70" s="221">
        <v>11500.0</v>
      </c>
      <c r="H70" s="187">
        <f t="shared" si="12"/>
        <v>149500</v>
      </c>
      <c r="I70" s="222">
        <v>12000.0</v>
      </c>
      <c r="J70" s="215">
        <f t="shared" si="13"/>
        <v>156000</v>
      </c>
      <c r="K70" s="190">
        <f t="shared" si="14"/>
        <v>6500</v>
      </c>
      <c r="L70" s="191">
        <f t="shared" si="15"/>
        <v>0.04347826087</v>
      </c>
      <c r="M70" s="192"/>
    </row>
    <row r="71" ht="15.75" customHeight="1">
      <c r="A71" s="220">
        <v>23.0</v>
      </c>
      <c r="B71" s="165" t="s">
        <v>1609</v>
      </c>
      <c r="C71" s="164" t="s">
        <v>109</v>
      </c>
      <c r="D71" s="198">
        <v>19.9</v>
      </c>
      <c r="E71" s="184">
        <f>'Daftar Harga'!D101</f>
        <v>9000</v>
      </c>
      <c r="F71" s="185">
        <f t="shared" si="11"/>
        <v>179100</v>
      </c>
      <c r="G71" s="221">
        <v>9000.0</v>
      </c>
      <c r="H71" s="187">
        <f t="shared" si="12"/>
        <v>179100</v>
      </c>
      <c r="I71" s="222">
        <v>12000.0</v>
      </c>
      <c r="J71" s="215">
        <f t="shared" si="13"/>
        <v>238800</v>
      </c>
      <c r="K71" s="194">
        <f t="shared" si="14"/>
        <v>59700</v>
      </c>
      <c r="L71" s="195">
        <f t="shared" si="15"/>
        <v>0.3333333333</v>
      </c>
      <c r="M71" s="196"/>
    </row>
    <row r="72" ht="15.75" customHeight="1">
      <c r="A72" s="202">
        <v>24.0</v>
      </c>
      <c r="B72" s="201" t="s">
        <v>2021</v>
      </c>
      <c r="C72" s="202" t="s">
        <v>109</v>
      </c>
      <c r="D72" s="203">
        <v>1.0</v>
      </c>
      <c r="E72" s="184"/>
      <c r="F72" s="185"/>
      <c r="G72" s="221">
        <v>18500.0</v>
      </c>
      <c r="H72" s="187">
        <f t="shared" si="12"/>
        <v>18500</v>
      </c>
      <c r="I72" s="222">
        <v>20000.0</v>
      </c>
      <c r="J72" s="219">
        <f t="shared" si="13"/>
        <v>20000</v>
      </c>
      <c r="K72" s="194">
        <f t="shared" si="14"/>
        <v>1500</v>
      </c>
      <c r="L72" s="195">
        <f t="shared" si="15"/>
        <v>0.08108108108</v>
      </c>
      <c r="M72" s="196"/>
    </row>
    <row r="73" ht="19.5" customHeight="1">
      <c r="A73" s="205" t="s">
        <v>1635</v>
      </c>
      <c r="B73" s="206"/>
      <c r="C73" s="206"/>
      <c r="D73" s="174"/>
      <c r="E73" s="207"/>
      <c r="F73" s="208">
        <f>SUMIF(F50:F72,"&lt;&gt;",F50:F72)</f>
        <v>13780500</v>
      </c>
      <c r="G73" s="207"/>
      <c r="H73" s="208">
        <f>SUMIF(H50:H72,"&lt;&gt;",H50:H72)</f>
        <v>10716562</v>
      </c>
      <c r="I73" s="209"/>
      <c r="J73" s="210">
        <f>SUMIF(J50:J72,"&lt;&gt;",J50:J72)</f>
        <v>11872300</v>
      </c>
      <c r="K73" s="211">
        <f t="shared" si="14"/>
        <v>1155738</v>
      </c>
      <c r="L73" s="212">
        <f t="shared" si="15"/>
        <v>0.1078459678</v>
      </c>
      <c r="M73" s="207"/>
    </row>
    <row r="74" ht="15.75" customHeight="1"/>
    <row r="75" ht="15.75" customHeight="1">
      <c r="A75" s="225" t="s">
        <v>1876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6"/>
    </row>
    <row r="76" ht="15.75" customHeight="1">
      <c r="A76" s="172" t="s">
        <v>1509</v>
      </c>
      <c r="B76" s="172" t="s">
        <v>1510</v>
      </c>
      <c r="C76" s="172" t="s">
        <v>1511</v>
      </c>
      <c r="D76" s="172" t="s">
        <v>1614</v>
      </c>
      <c r="E76" s="173" t="s">
        <v>1615</v>
      </c>
      <c r="F76" s="174"/>
      <c r="G76" s="175" t="s">
        <v>1616</v>
      </c>
      <c r="H76" s="174"/>
      <c r="I76" s="176" t="s">
        <v>1617</v>
      </c>
      <c r="J76" s="174"/>
      <c r="K76" s="177" t="s">
        <v>1618</v>
      </c>
      <c r="L76" s="174"/>
      <c r="M76" s="172" t="s">
        <v>1619</v>
      </c>
    </row>
    <row r="77" ht="15.75" customHeight="1">
      <c r="A77" s="178" t="s">
        <v>1509</v>
      </c>
      <c r="B77" s="178" t="s">
        <v>1510</v>
      </c>
      <c r="C77" s="178" t="s">
        <v>1511</v>
      </c>
      <c r="D77" s="178" t="s">
        <v>1614</v>
      </c>
      <c r="E77" s="179" t="s">
        <v>1620</v>
      </c>
      <c r="F77" s="179" t="s">
        <v>1621</v>
      </c>
      <c r="G77" s="180" t="s">
        <v>1622</v>
      </c>
      <c r="H77" s="180" t="s">
        <v>1623</v>
      </c>
      <c r="I77" s="181" t="s">
        <v>1624</v>
      </c>
      <c r="J77" s="181" t="s">
        <v>1625</v>
      </c>
      <c r="K77" s="182" t="s">
        <v>1626</v>
      </c>
      <c r="L77" s="182" t="s">
        <v>1627</v>
      </c>
      <c r="M77" s="178" t="s">
        <v>1619</v>
      </c>
    </row>
    <row r="78" ht="15.75" customHeight="1">
      <c r="A78" s="159">
        <v>1.0</v>
      </c>
      <c r="B78" s="226" t="s">
        <v>1596</v>
      </c>
      <c r="C78" s="278" t="s">
        <v>69</v>
      </c>
      <c r="D78" s="254">
        <v>1188.0</v>
      </c>
      <c r="E78" s="241"/>
      <c r="F78" s="242" t="str">
        <f t="shared" ref="F78:F80" si="16">IF(E78&lt;&gt;"",D78*E78,"")</f>
        <v/>
      </c>
      <c r="G78" s="199">
        <v>3167.0</v>
      </c>
      <c r="H78" s="243">
        <f t="shared" ref="H78:H80" si="17">IF(G78&lt;&gt;"",D78*G78,"")</f>
        <v>3762396</v>
      </c>
      <c r="I78" s="200">
        <v>3600.0</v>
      </c>
      <c r="J78" s="244">
        <f t="shared" ref="J78:J80" si="18">IF(I78&lt;&gt;"",D78*I78,"")</f>
        <v>4276800</v>
      </c>
      <c r="K78" s="245">
        <f t="shared" ref="K78:K81" si="19">IF(J78&lt;&gt;"",IF(H78&lt;&gt;"",J78-H78,IF(F78&lt;&gt;"",J78-F78,"")),"")</f>
        <v>514404</v>
      </c>
      <c r="L78" s="246">
        <f t="shared" ref="L78:L80" si="20">IF(K78&lt;&gt;"",IF(H78&lt;&gt;"",IF(H78&lt;&gt;0,K78/H78,""),IF(F78&lt;&gt;"",IF(F78&lt;&gt;0,K78/F78,""),"")),"")</f>
        <v>0.1367224503</v>
      </c>
      <c r="M78" s="352"/>
    </row>
    <row r="79" ht="15.75" customHeight="1">
      <c r="A79" s="164">
        <v>2.0</v>
      </c>
      <c r="B79" s="197" t="s">
        <v>1517</v>
      </c>
      <c r="C79" s="334" t="s">
        <v>109</v>
      </c>
      <c r="D79" s="277">
        <v>120.6</v>
      </c>
      <c r="E79" s="241"/>
      <c r="F79" s="242" t="str">
        <f t="shared" si="16"/>
        <v/>
      </c>
      <c r="G79" s="199">
        <v>37000.0</v>
      </c>
      <c r="H79" s="243">
        <f t="shared" si="17"/>
        <v>4462200</v>
      </c>
      <c r="I79" s="200">
        <v>39000.0</v>
      </c>
      <c r="J79" s="244">
        <f t="shared" si="18"/>
        <v>4703400</v>
      </c>
      <c r="K79" s="250">
        <f t="shared" si="19"/>
        <v>241200</v>
      </c>
      <c r="L79" s="251">
        <f t="shared" si="20"/>
        <v>0.05405405405</v>
      </c>
      <c r="M79" s="407"/>
    </row>
    <row r="80" ht="15.75" customHeight="1">
      <c r="A80" s="159">
        <v>3.0</v>
      </c>
      <c r="B80" s="226" t="s">
        <v>1152</v>
      </c>
      <c r="C80" s="278" t="s">
        <v>69</v>
      </c>
      <c r="D80" s="254">
        <v>535.0</v>
      </c>
      <c r="E80" s="241"/>
      <c r="F80" s="242" t="str">
        <f t="shared" si="16"/>
        <v/>
      </c>
      <c r="G80" s="199">
        <v>1800.0</v>
      </c>
      <c r="H80" s="243">
        <f t="shared" si="17"/>
        <v>963000</v>
      </c>
      <c r="I80" s="200">
        <v>2000.0</v>
      </c>
      <c r="J80" s="264">
        <f t="shared" si="18"/>
        <v>1070000</v>
      </c>
      <c r="K80" s="245">
        <f t="shared" si="19"/>
        <v>107000</v>
      </c>
      <c r="L80" s="246">
        <f t="shared" si="20"/>
        <v>0.1111111111</v>
      </c>
      <c r="M80" s="352"/>
    </row>
    <row r="81" ht="15.75" customHeight="1">
      <c r="A81" s="205" t="s">
        <v>1632</v>
      </c>
      <c r="B81" s="206"/>
      <c r="C81" s="206"/>
      <c r="D81" s="174"/>
      <c r="E81" s="207"/>
      <c r="F81" s="208">
        <f>SUMIF(F78:F80,"&lt;&gt;",F78:F80)</f>
        <v>0</v>
      </c>
      <c r="G81" s="208"/>
      <c r="H81" s="208">
        <f>SUMIF(H78:H80,"&lt;&gt;",H78:H80)</f>
        <v>9187596</v>
      </c>
      <c r="I81" s="348"/>
      <c r="J81" s="210">
        <f>SUMIF(J78:J80,"&lt;&gt;",J78:J80)</f>
        <v>10050200</v>
      </c>
      <c r="K81" s="211">
        <f t="shared" si="19"/>
        <v>862604</v>
      </c>
      <c r="L81" s="212">
        <f>IF(K81&lt;&gt;"",IF(H81&lt;&gt;"",IF(H81&lt;&gt;0,K81/H81,""),IF(F81&lt;&gt;"",IF(F81&lt;&gt;0,K81/F81,""),"")),"")</f>
        <v>0.09388788972</v>
      </c>
      <c r="M81" s="207"/>
    </row>
    <row r="82" ht="15.75" customHeight="1"/>
    <row r="83" ht="15.75" customHeight="1">
      <c r="A83" s="228" t="s">
        <v>1639</v>
      </c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6"/>
    </row>
    <row r="84" ht="15.75" customHeight="1">
      <c r="A84" s="229" t="s">
        <v>1509</v>
      </c>
      <c r="B84" s="229" t="s">
        <v>1510</v>
      </c>
      <c r="C84" s="229" t="s">
        <v>1511</v>
      </c>
      <c r="D84" s="229" t="s">
        <v>1614</v>
      </c>
      <c r="E84" s="230" t="s">
        <v>1615</v>
      </c>
      <c r="F84" s="174"/>
      <c r="G84" s="231" t="s">
        <v>1616</v>
      </c>
      <c r="H84" s="174"/>
      <c r="I84" s="232" t="s">
        <v>1617</v>
      </c>
      <c r="J84" s="174"/>
      <c r="K84" s="233" t="s">
        <v>1618</v>
      </c>
      <c r="L84" s="174"/>
      <c r="M84" s="229" t="s">
        <v>1619</v>
      </c>
    </row>
    <row r="85" ht="15.75" customHeight="1">
      <c r="A85" s="234" t="s">
        <v>1509</v>
      </c>
      <c r="B85" s="234" t="s">
        <v>1510</v>
      </c>
      <c r="C85" s="234" t="s">
        <v>1511</v>
      </c>
      <c r="D85" s="234" t="s">
        <v>1614</v>
      </c>
      <c r="E85" s="235" t="s">
        <v>1620</v>
      </c>
      <c r="F85" s="235" t="s">
        <v>1621</v>
      </c>
      <c r="G85" s="236" t="s">
        <v>1622</v>
      </c>
      <c r="H85" s="236" t="s">
        <v>1623</v>
      </c>
      <c r="I85" s="237" t="s">
        <v>1624</v>
      </c>
      <c r="J85" s="237" t="s">
        <v>1625</v>
      </c>
      <c r="K85" s="238" t="s">
        <v>1626</v>
      </c>
      <c r="L85" s="238" t="s">
        <v>1627</v>
      </c>
      <c r="M85" s="234" t="s">
        <v>1619</v>
      </c>
    </row>
    <row r="86" ht="15.75" customHeight="1">
      <c r="A86" s="239">
        <v>1.0</v>
      </c>
      <c r="B86" s="240" t="s">
        <v>1117</v>
      </c>
      <c r="C86" s="239" t="s">
        <v>109</v>
      </c>
      <c r="D86" s="213">
        <v>99.0</v>
      </c>
      <c r="E86" s="241">
        <f>'Daftar Harga'!D87</f>
        <v>3264</v>
      </c>
      <c r="F86" s="242">
        <f t="shared" ref="F86:F87" si="21">IF(E86&lt;&gt;"",D86*E86,"")</f>
        <v>323136</v>
      </c>
      <c r="G86" s="186">
        <v>48000.0</v>
      </c>
      <c r="H86" s="243">
        <f t="shared" ref="H86:H100" si="22">IF(G86&lt;&gt;"",D86*G86,"")</f>
        <v>4752000</v>
      </c>
      <c r="I86" s="188">
        <v>50000.0</v>
      </c>
      <c r="J86" s="244">
        <f t="shared" ref="J86:J100" si="23">IF(I86&lt;&gt;"",D86*I86,"")</f>
        <v>4950000</v>
      </c>
      <c r="K86" s="245">
        <f t="shared" ref="K86:K101" si="24">IF(J86&lt;&gt;"",IF(H86&lt;&gt;"",J86-H86,IF(F86&lt;&gt;"",J86-F86,"")),"")</f>
        <v>198000</v>
      </c>
      <c r="L86" s="246">
        <f t="shared" ref="L86:L101" si="25">IF(K86&lt;&gt;"",IF(H86&lt;&gt;"",IF(H86&lt;&gt;0,K86/H86,""),IF(F86&lt;&gt;"",IF(F86&lt;&gt;0,K86/F86,""),"")),"")</f>
        <v>0.04166666667</v>
      </c>
      <c r="M86" s="247"/>
    </row>
    <row r="87" ht="15.75" customHeight="1">
      <c r="A87" s="248">
        <v>2.0</v>
      </c>
      <c r="B87" s="249" t="s">
        <v>1527</v>
      </c>
      <c r="C87" s="248" t="s">
        <v>109</v>
      </c>
      <c r="D87" s="216">
        <v>75.0</v>
      </c>
      <c r="E87" s="241">
        <f>'Daftar Harga'!D97</f>
        <v>11500</v>
      </c>
      <c r="F87" s="242">
        <f t="shared" si="21"/>
        <v>862500</v>
      </c>
      <c r="G87" s="186">
        <v>14500.0</v>
      </c>
      <c r="H87" s="243">
        <f t="shared" si="22"/>
        <v>1087500</v>
      </c>
      <c r="I87" s="188">
        <v>15500.0</v>
      </c>
      <c r="J87" s="244">
        <f t="shared" si="23"/>
        <v>1162500</v>
      </c>
      <c r="K87" s="250">
        <f t="shared" si="24"/>
        <v>75000</v>
      </c>
      <c r="L87" s="251">
        <f t="shared" si="25"/>
        <v>0.06896551724</v>
      </c>
      <c r="M87" s="252"/>
    </row>
    <row r="88" ht="15.75" customHeight="1">
      <c r="A88" s="239">
        <v>3.0</v>
      </c>
      <c r="B88" s="249" t="s">
        <v>1527</v>
      </c>
      <c r="C88" s="248" t="s">
        <v>109</v>
      </c>
      <c r="D88" s="216">
        <v>50.0</v>
      </c>
      <c r="E88" s="267"/>
      <c r="F88" s="268"/>
      <c r="G88" s="186">
        <v>16600.0</v>
      </c>
      <c r="H88" s="243">
        <f t="shared" si="22"/>
        <v>830000</v>
      </c>
      <c r="I88" s="188">
        <v>17500.0</v>
      </c>
      <c r="J88" s="244">
        <f t="shared" si="23"/>
        <v>875000</v>
      </c>
      <c r="K88" s="250">
        <f t="shared" si="24"/>
        <v>45000</v>
      </c>
      <c r="L88" s="251">
        <f t="shared" si="25"/>
        <v>0.05421686747</v>
      </c>
      <c r="M88" s="252"/>
    </row>
    <row r="89" ht="15.75" customHeight="1">
      <c r="A89" s="248">
        <v>4.0</v>
      </c>
      <c r="B89" s="240" t="s">
        <v>1534</v>
      </c>
      <c r="C89" s="239" t="s">
        <v>109</v>
      </c>
      <c r="D89" s="213">
        <v>21.0</v>
      </c>
      <c r="E89" s="241">
        <f>'Daftar Harga'!D100</f>
        <v>14000</v>
      </c>
      <c r="F89" s="242">
        <f t="shared" ref="F89:F95" si="26">IF(E89&lt;&gt;"",D89*E89,"")</f>
        <v>294000</v>
      </c>
      <c r="G89" s="186">
        <v>14000.0</v>
      </c>
      <c r="H89" s="243">
        <f t="shared" si="22"/>
        <v>294000</v>
      </c>
      <c r="I89" s="188">
        <v>16000.0</v>
      </c>
      <c r="J89" s="244">
        <f t="shared" si="23"/>
        <v>336000</v>
      </c>
      <c r="K89" s="250">
        <f t="shared" si="24"/>
        <v>42000</v>
      </c>
      <c r="L89" s="251">
        <f t="shared" si="25"/>
        <v>0.1428571429</v>
      </c>
      <c r="M89" s="247"/>
    </row>
    <row r="90" ht="15.75" customHeight="1">
      <c r="A90" s="239">
        <v>5.0</v>
      </c>
      <c r="B90" s="249" t="s">
        <v>1543</v>
      </c>
      <c r="C90" s="248" t="s">
        <v>109</v>
      </c>
      <c r="D90" s="216">
        <v>2.0</v>
      </c>
      <c r="E90" s="241" t="str">
        <f>'Daftar Harga'!D115</f>
        <v/>
      </c>
      <c r="F90" s="242" t="str">
        <f t="shared" si="26"/>
        <v/>
      </c>
      <c r="G90" s="186">
        <v>7000.0</v>
      </c>
      <c r="H90" s="243">
        <f t="shared" si="22"/>
        <v>14000</v>
      </c>
      <c r="I90" s="188">
        <v>10000.0</v>
      </c>
      <c r="J90" s="244">
        <f t="shared" si="23"/>
        <v>20000</v>
      </c>
      <c r="K90" s="250">
        <f t="shared" si="24"/>
        <v>6000</v>
      </c>
      <c r="L90" s="251">
        <f t="shared" si="25"/>
        <v>0.4285714286</v>
      </c>
      <c r="M90" s="252"/>
    </row>
    <row r="91" ht="15.75" customHeight="1">
      <c r="A91" s="248">
        <v>6.0</v>
      </c>
      <c r="B91" s="240" t="s">
        <v>1223</v>
      </c>
      <c r="C91" s="239" t="s">
        <v>109</v>
      </c>
      <c r="D91" s="213">
        <v>16.0</v>
      </c>
      <c r="E91" s="241" t="str">
        <f>'Daftar Harga'!D121</f>
        <v/>
      </c>
      <c r="F91" s="242" t="str">
        <f t="shared" si="26"/>
        <v/>
      </c>
      <c r="G91" s="186">
        <v>22000.0</v>
      </c>
      <c r="H91" s="243">
        <f t="shared" si="22"/>
        <v>352000</v>
      </c>
      <c r="I91" s="188">
        <v>25000.0</v>
      </c>
      <c r="J91" s="244">
        <f t="shared" si="23"/>
        <v>400000</v>
      </c>
      <c r="K91" s="250">
        <f t="shared" si="24"/>
        <v>48000</v>
      </c>
      <c r="L91" s="251">
        <f t="shared" si="25"/>
        <v>0.1363636364</v>
      </c>
      <c r="M91" s="247"/>
    </row>
    <row r="92" ht="15.75" customHeight="1">
      <c r="A92" s="239">
        <v>7.0</v>
      </c>
      <c r="B92" s="249" t="s">
        <v>2116</v>
      </c>
      <c r="C92" s="248" t="s">
        <v>109</v>
      </c>
      <c r="D92" s="216">
        <v>106.0</v>
      </c>
      <c r="E92" s="241" t="str">
        <f>'Daftar Harga'!D126</f>
        <v/>
      </c>
      <c r="F92" s="242" t="str">
        <f t="shared" si="26"/>
        <v/>
      </c>
      <c r="G92" s="186">
        <v>34500.0</v>
      </c>
      <c r="H92" s="243">
        <f t="shared" si="22"/>
        <v>3657000</v>
      </c>
      <c r="I92" s="188">
        <v>38000.0</v>
      </c>
      <c r="J92" s="244">
        <f t="shared" si="23"/>
        <v>4028000</v>
      </c>
      <c r="K92" s="250">
        <f t="shared" si="24"/>
        <v>371000</v>
      </c>
      <c r="L92" s="251">
        <f t="shared" si="25"/>
        <v>0.1014492754</v>
      </c>
      <c r="M92" s="252"/>
    </row>
    <row r="93" ht="15.75" customHeight="1">
      <c r="A93" s="248">
        <v>8.0</v>
      </c>
      <c r="B93" s="240" t="s">
        <v>1230</v>
      </c>
      <c r="C93" s="239" t="s">
        <v>109</v>
      </c>
      <c r="D93" s="213">
        <v>2.0</v>
      </c>
      <c r="E93" s="241" t="str">
        <f>'Daftar Harga'!D136</f>
        <v/>
      </c>
      <c r="F93" s="242" t="str">
        <f t="shared" si="26"/>
        <v/>
      </c>
      <c r="G93" s="186">
        <v>18000.0</v>
      </c>
      <c r="H93" s="243">
        <f t="shared" si="22"/>
        <v>36000</v>
      </c>
      <c r="I93" s="188">
        <v>18000.0</v>
      </c>
      <c r="J93" s="244">
        <f t="shared" si="23"/>
        <v>36000</v>
      </c>
      <c r="K93" s="250">
        <f t="shared" si="24"/>
        <v>0</v>
      </c>
      <c r="L93" s="251">
        <f t="shared" si="25"/>
        <v>0</v>
      </c>
      <c r="M93" s="247"/>
    </row>
    <row r="94" ht="15.75" customHeight="1">
      <c r="A94" s="239">
        <v>9.0</v>
      </c>
      <c r="B94" s="249" t="s">
        <v>1566</v>
      </c>
      <c r="C94" s="248" t="s">
        <v>109</v>
      </c>
      <c r="D94" s="216">
        <v>2.0</v>
      </c>
      <c r="E94" s="241" t="str">
        <f>'Daftar Harga'!D139</f>
        <v/>
      </c>
      <c r="F94" s="242" t="str">
        <f t="shared" si="26"/>
        <v/>
      </c>
      <c r="G94" s="186">
        <v>94000.0</v>
      </c>
      <c r="H94" s="243">
        <f t="shared" si="22"/>
        <v>188000</v>
      </c>
      <c r="I94" s="188">
        <v>105000.0</v>
      </c>
      <c r="J94" s="244">
        <f t="shared" si="23"/>
        <v>210000</v>
      </c>
      <c r="K94" s="250">
        <f t="shared" si="24"/>
        <v>22000</v>
      </c>
      <c r="L94" s="251">
        <f t="shared" si="25"/>
        <v>0.1170212766</v>
      </c>
      <c r="M94" s="252"/>
    </row>
    <row r="95" ht="15.75" customHeight="1">
      <c r="A95" s="248">
        <v>10.0</v>
      </c>
      <c r="B95" s="240" t="s">
        <v>1345</v>
      </c>
      <c r="C95" s="239" t="s">
        <v>69</v>
      </c>
      <c r="D95" s="213">
        <v>1980.0</v>
      </c>
      <c r="E95" s="241" t="str">
        <f>'Daftar Harga'!D177</f>
        <v/>
      </c>
      <c r="F95" s="242" t="str">
        <f t="shared" si="26"/>
        <v/>
      </c>
      <c r="G95" s="199">
        <v>500.0</v>
      </c>
      <c r="H95" s="243">
        <f t="shared" si="22"/>
        <v>990000</v>
      </c>
      <c r="I95" s="188">
        <v>700.0</v>
      </c>
      <c r="J95" s="244">
        <f t="shared" si="23"/>
        <v>1386000</v>
      </c>
      <c r="K95" s="250">
        <f t="shared" si="24"/>
        <v>396000</v>
      </c>
      <c r="L95" s="251">
        <f t="shared" si="25"/>
        <v>0.4</v>
      </c>
      <c r="M95" s="247"/>
    </row>
    <row r="96" ht="15.75" customHeight="1">
      <c r="A96" s="239">
        <v>11.0</v>
      </c>
      <c r="B96" s="249" t="s">
        <v>1578</v>
      </c>
      <c r="C96" s="248" t="s">
        <v>1579</v>
      </c>
      <c r="D96" s="216">
        <v>42.0</v>
      </c>
      <c r="E96" s="267"/>
      <c r="F96" s="268"/>
      <c r="G96" s="186">
        <v>21500.0</v>
      </c>
      <c r="H96" s="243">
        <f t="shared" si="22"/>
        <v>903000</v>
      </c>
      <c r="I96" s="188">
        <v>23000.0</v>
      </c>
      <c r="J96" s="244">
        <f t="shared" si="23"/>
        <v>966000</v>
      </c>
      <c r="K96" s="250">
        <f t="shared" si="24"/>
        <v>63000</v>
      </c>
      <c r="L96" s="251">
        <f t="shared" si="25"/>
        <v>0.06976744186</v>
      </c>
      <c r="M96" s="252"/>
    </row>
    <row r="97" ht="15.75" customHeight="1">
      <c r="A97" s="239">
        <v>12.0</v>
      </c>
      <c r="B97" s="249" t="s">
        <v>1829</v>
      </c>
      <c r="C97" s="248" t="s">
        <v>109</v>
      </c>
      <c r="D97" s="216">
        <v>3.0</v>
      </c>
      <c r="E97" s="267"/>
      <c r="F97" s="268"/>
      <c r="G97" s="186">
        <v>80000.0</v>
      </c>
      <c r="H97" s="243">
        <f t="shared" si="22"/>
        <v>240000</v>
      </c>
      <c r="I97" s="188">
        <v>90000.0</v>
      </c>
      <c r="J97" s="244">
        <f t="shared" si="23"/>
        <v>270000</v>
      </c>
      <c r="K97" s="250">
        <f t="shared" si="24"/>
        <v>30000</v>
      </c>
      <c r="L97" s="251">
        <f t="shared" si="25"/>
        <v>0.125</v>
      </c>
      <c r="M97" s="252"/>
    </row>
    <row r="98" ht="15.75" customHeight="1">
      <c r="A98" s="239">
        <v>13.0</v>
      </c>
      <c r="B98" s="249" t="s">
        <v>1839</v>
      </c>
      <c r="C98" s="248" t="s">
        <v>109</v>
      </c>
      <c r="D98" s="216">
        <v>40.0</v>
      </c>
      <c r="E98" s="241" t="str">
        <f>'Daftar Harga'!D185</f>
        <v/>
      </c>
      <c r="F98" s="242" t="str">
        <f t="shared" ref="F98:F100" si="27">IF(E98&lt;&gt;"",D98*E98,"")</f>
        <v/>
      </c>
      <c r="G98" s="186">
        <v>14000.0</v>
      </c>
      <c r="H98" s="243">
        <f t="shared" si="22"/>
        <v>560000</v>
      </c>
      <c r="I98" s="188">
        <v>16000.0</v>
      </c>
      <c r="J98" s="244">
        <f t="shared" si="23"/>
        <v>640000</v>
      </c>
      <c r="K98" s="250">
        <f t="shared" si="24"/>
        <v>80000</v>
      </c>
      <c r="L98" s="251">
        <f t="shared" si="25"/>
        <v>0.1428571429</v>
      </c>
      <c r="M98" s="252"/>
    </row>
    <row r="99" ht="15.75" customHeight="1">
      <c r="A99" s="248">
        <v>14.0</v>
      </c>
      <c r="B99" s="240" t="s">
        <v>1605</v>
      </c>
      <c r="C99" s="239" t="s">
        <v>109</v>
      </c>
      <c r="D99" s="213">
        <v>15.0</v>
      </c>
      <c r="E99" s="241" t="str">
        <f>'Daftar Harga'!D187</f>
        <v/>
      </c>
      <c r="F99" s="242" t="str">
        <f t="shared" si="27"/>
        <v/>
      </c>
      <c r="G99" s="186">
        <v>11267.0</v>
      </c>
      <c r="H99" s="243">
        <f t="shared" si="22"/>
        <v>169005</v>
      </c>
      <c r="I99" s="188">
        <v>12000.0</v>
      </c>
      <c r="J99" s="244">
        <f t="shared" si="23"/>
        <v>180000</v>
      </c>
      <c r="K99" s="250">
        <f t="shared" si="24"/>
        <v>10995</v>
      </c>
      <c r="L99" s="251">
        <f t="shared" si="25"/>
        <v>0.06505724683</v>
      </c>
      <c r="M99" s="247"/>
    </row>
    <row r="100" ht="15.75" customHeight="1">
      <c r="A100" s="248">
        <v>15.0</v>
      </c>
      <c r="B100" s="249" t="s">
        <v>1609</v>
      </c>
      <c r="C100" s="248" t="s">
        <v>109</v>
      </c>
      <c r="D100" s="216">
        <v>20.0</v>
      </c>
      <c r="E100" s="241" t="str">
        <f>'Daftar Harga'!D191</f>
        <v/>
      </c>
      <c r="F100" s="242" t="str">
        <f t="shared" si="27"/>
        <v/>
      </c>
      <c r="G100" s="186">
        <v>15000.0</v>
      </c>
      <c r="H100" s="243">
        <f t="shared" si="22"/>
        <v>300000</v>
      </c>
      <c r="I100" s="188">
        <v>18000.0</v>
      </c>
      <c r="J100" s="264">
        <f t="shared" si="23"/>
        <v>360000</v>
      </c>
      <c r="K100" s="250">
        <f t="shared" si="24"/>
        <v>60000</v>
      </c>
      <c r="L100" s="251">
        <f t="shared" si="25"/>
        <v>0.2</v>
      </c>
      <c r="M100" s="252"/>
    </row>
    <row r="101" ht="15.75" customHeight="1">
      <c r="A101" s="256" t="s">
        <v>1646</v>
      </c>
      <c r="B101" s="206"/>
      <c r="C101" s="206"/>
      <c r="D101" s="174"/>
      <c r="E101" s="257"/>
      <c r="F101" s="258">
        <f>SUMIF(F86:F100,"&lt;&gt;",F86:F100)</f>
        <v>1479636</v>
      </c>
      <c r="G101" s="257"/>
      <c r="H101" s="258">
        <f>SUMIF(H86:H100,"&lt;&gt;",H86:H100)</f>
        <v>14372505</v>
      </c>
      <c r="I101" s="259"/>
      <c r="J101" s="260">
        <f>SUMIF(J86:J100,"&lt;&gt;",J86:J100)</f>
        <v>15819500</v>
      </c>
      <c r="K101" s="261">
        <f t="shared" si="24"/>
        <v>1446995</v>
      </c>
      <c r="L101" s="262">
        <f t="shared" si="25"/>
        <v>0.1006779959</v>
      </c>
      <c r="M101" s="257"/>
    </row>
    <row r="102" ht="15.75" customHeight="1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</row>
    <row r="103" ht="15.75" customHeight="1">
      <c r="A103" s="228" t="s">
        <v>1647</v>
      </c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6"/>
    </row>
    <row r="104" ht="15.75" customHeight="1">
      <c r="A104" s="229" t="s">
        <v>1509</v>
      </c>
      <c r="B104" s="229" t="s">
        <v>1510</v>
      </c>
      <c r="C104" s="229" t="s">
        <v>1511</v>
      </c>
      <c r="D104" s="229" t="s">
        <v>1614</v>
      </c>
      <c r="E104" s="230" t="s">
        <v>1615</v>
      </c>
      <c r="F104" s="174"/>
      <c r="G104" s="231" t="s">
        <v>1616</v>
      </c>
      <c r="H104" s="174"/>
      <c r="I104" s="232" t="s">
        <v>1617</v>
      </c>
      <c r="J104" s="174"/>
      <c r="K104" s="233" t="s">
        <v>1618</v>
      </c>
      <c r="L104" s="174"/>
      <c r="M104" s="229" t="s">
        <v>1619</v>
      </c>
    </row>
    <row r="105" ht="15.75" customHeight="1">
      <c r="A105" s="234" t="s">
        <v>1509</v>
      </c>
      <c r="B105" s="234" t="s">
        <v>1510</v>
      </c>
      <c r="C105" s="234" t="s">
        <v>1511</v>
      </c>
      <c r="D105" s="234" t="s">
        <v>1614</v>
      </c>
      <c r="E105" s="235" t="s">
        <v>1620</v>
      </c>
      <c r="F105" s="235" t="s">
        <v>1621</v>
      </c>
      <c r="G105" s="236" t="s">
        <v>1622</v>
      </c>
      <c r="H105" s="236" t="s">
        <v>1623</v>
      </c>
      <c r="I105" s="237" t="s">
        <v>1624</v>
      </c>
      <c r="J105" s="237" t="s">
        <v>1625</v>
      </c>
      <c r="K105" s="238" t="s">
        <v>1626</v>
      </c>
      <c r="L105" s="238" t="s">
        <v>1627</v>
      </c>
      <c r="M105" s="234" t="s">
        <v>1619</v>
      </c>
    </row>
    <row r="106" ht="15.75" customHeight="1">
      <c r="A106" s="239">
        <v>1.0</v>
      </c>
      <c r="B106" s="240" t="s">
        <v>1516</v>
      </c>
      <c r="C106" s="239" t="s">
        <v>109</v>
      </c>
      <c r="D106" s="213">
        <v>55.0</v>
      </c>
      <c r="E106" s="241">
        <f>'Daftar Harga'!D83</f>
        <v>9000</v>
      </c>
      <c r="F106" s="242">
        <f t="shared" ref="F106:F117" si="28">IF(E106&lt;&gt;"",D106*E106,"")</f>
        <v>495000</v>
      </c>
      <c r="G106" s="186">
        <v>70000.0</v>
      </c>
      <c r="H106" s="243">
        <f t="shared" ref="H106:H117" si="29">IF(G106&lt;&gt;"",D106*G106,"")</f>
        <v>3850000</v>
      </c>
      <c r="I106" s="188">
        <v>78000.0</v>
      </c>
      <c r="J106" s="253">
        <f t="shared" ref="J106:J117" si="30">IF(I106&lt;&gt;"",D106*I106,"")</f>
        <v>4290000</v>
      </c>
      <c r="K106" s="245">
        <f t="shared" ref="K106:K118" si="31">IF(J106&lt;&gt;"",IF(H106&lt;&gt;"",J106-H106,IF(F106&lt;&gt;"",J106-F106,"")),"")</f>
        <v>440000</v>
      </c>
      <c r="L106" s="246">
        <f t="shared" ref="L106:L118" si="32">IF(K106&lt;&gt;"",IF(H106&lt;&gt;"",IF(H106&lt;&gt;0,K106/H106,""),IF(F106&lt;&gt;"",IF(F106&lt;&gt;0,K106/F106,""),"")),"")</f>
        <v>0.1142857143</v>
      </c>
      <c r="M106" s="247"/>
    </row>
    <row r="107" ht="15.75" customHeight="1">
      <c r="A107" s="239">
        <v>2.0</v>
      </c>
      <c r="B107" s="240" t="s">
        <v>1935</v>
      </c>
      <c r="C107" s="239" t="s">
        <v>109</v>
      </c>
      <c r="D107" s="213">
        <v>2.0</v>
      </c>
      <c r="E107" s="241">
        <f>'Daftar Harga'!D93</f>
        <v>12000</v>
      </c>
      <c r="F107" s="242">
        <f t="shared" si="28"/>
        <v>24000</v>
      </c>
      <c r="G107" s="186">
        <v>30000.0</v>
      </c>
      <c r="H107" s="243">
        <f t="shared" si="29"/>
        <v>60000</v>
      </c>
      <c r="I107" s="200">
        <v>36000.0</v>
      </c>
      <c r="J107" s="253">
        <f t="shared" si="30"/>
        <v>72000</v>
      </c>
      <c r="K107" s="245">
        <f t="shared" si="31"/>
        <v>12000</v>
      </c>
      <c r="L107" s="246">
        <f t="shared" si="32"/>
        <v>0.2</v>
      </c>
      <c r="M107" s="247"/>
    </row>
    <row r="108" ht="15.75" customHeight="1">
      <c r="A108" s="248">
        <v>3.0</v>
      </c>
      <c r="B108" s="249" t="s">
        <v>1527</v>
      </c>
      <c r="C108" s="248" t="s">
        <v>109</v>
      </c>
      <c r="D108" s="216">
        <v>121.0</v>
      </c>
      <c r="E108" s="241">
        <f>'Daftar Harga'!D97</f>
        <v>11500</v>
      </c>
      <c r="F108" s="242">
        <f t="shared" si="28"/>
        <v>1391500</v>
      </c>
      <c r="G108" s="186">
        <v>14500.0</v>
      </c>
      <c r="H108" s="243">
        <f t="shared" si="29"/>
        <v>1754500</v>
      </c>
      <c r="I108" s="188">
        <v>15700.0</v>
      </c>
      <c r="J108" s="253">
        <f t="shared" si="30"/>
        <v>1899700</v>
      </c>
      <c r="K108" s="250">
        <f t="shared" si="31"/>
        <v>145200</v>
      </c>
      <c r="L108" s="251">
        <f t="shared" si="32"/>
        <v>0.08275862069</v>
      </c>
      <c r="M108" s="252"/>
    </row>
    <row r="109" ht="15.75" customHeight="1">
      <c r="A109" s="239">
        <v>4.0</v>
      </c>
      <c r="B109" s="240" t="s">
        <v>1681</v>
      </c>
      <c r="C109" s="239" t="s">
        <v>1689</v>
      </c>
      <c r="D109" s="213">
        <v>50.0</v>
      </c>
      <c r="E109" s="267" t="str">
        <f>'Daftar Harga'!D102</f>
        <v/>
      </c>
      <c r="F109" s="268" t="str">
        <f t="shared" si="28"/>
        <v/>
      </c>
      <c r="G109" s="186">
        <v>21500.0</v>
      </c>
      <c r="H109" s="243">
        <f t="shared" si="29"/>
        <v>1075000</v>
      </c>
      <c r="I109" s="188">
        <v>24500.0</v>
      </c>
      <c r="J109" s="253">
        <f t="shared" si="30"/>
        <v>1225000</v>
      </c>
      <c r="K109" s="245">
        <f t="shared" si="31"/>
        <v>150000</v>
      </c>
      <c r="L109" s="246">
        <f t="shared" si="32"/>
        <v>0.1395348837</v>
      </c>
      <c r="M109" s="247"/>
    </row>
    <row r="110" ht="15.75" customHeight="1">
      <c r="A110" s="248">
        <v>5.0</v>
      </c>
      <c r="B110" s="249" t="s">
        <v>2117</v>
      </c>
      <c r="C110" s="248" t="s">
        <v>109</v>
      </c>
      <c r="D110" s="216">
        <v>0.5</v>
      </c>
      <c r="E110" s="241" t="str">
        <f>'Daftar Harga'!D110</f>
        <v/>
      </c>
      <c r="F110" s="242" t="str">
        <f t="shared" si="28"/>
        <v/>
      </c>
      <c r="G110" s="186">
        <v>36000.0</v>
      </c>
      <c r="H110" s="243">
        <f t="shared" si="29"/>
        <v>18000</v>
      </c>
      <c r="I110" s="188">
        <v>45000.0</v>
      </c>
      <c r="J110" s="253">
        <f t="shared" si="30"/>
        <v>22500</v>
      </c>
      <c r="K110" s="250">
        <f t="shared" si="31"/>
        <v>4500</v>
      </c>
      <c r="L110" s="251">
        <f t="shared" si="32"/>
        <v>0.25</v>
      </c>
      <c r="M110" s="252"/>
    </row>
    <row r="111" ht="15.75" customHeight="1">
      <c r="A111" s="239">
        <v>6.0</v>
      </c>
      <c r="B111" s="240" t="s">
        <v>1543</v>
      </c>
      <c r="C111" s="239" t="s">
        <v>109</v>
      </c>
      <c r="D111" s="213">
        <v>1.2</v>
      </c>
      <c r="E111" s="241" t="str">
        <f>'Daftar Harga'!D115</f>
        <v/>
      </c>
      <c r="F111" s="242" t="str">
        <f t="shared" si="28"/>
        <v/>
      </c>
      <c r="G111" s="186">
        <v>7000.0</v>
      </c>
      <c r="H111" s="243">
        <f t="shared" si="29"/>
        <v>8400</v>
      </c>
      <c r="I111" s="188">
        <v>10000.0</v>
      </c>
      <c r="J111" s="253">
        <f t="shared" si="30"/>
        <v>12000</v>
      </c>
      <c r="K111" s="245">
        <f t="shared" si="31"/>
        <v>3600</v>
      </c>
      <c r="L111" s="246">
        <f t="shared" si="32"/>
        <v>0.4285714286</v>
      </c>
      <c r="M111" s="247"/>
    </row>
    <row r="112" ht="15.75" customHeight="1">
      <c r="A112" s="248">
        <v>7.0</v>
      </c>
      <c r="B112" s="249" t="s">
        <v>1223</v>
      </c>
      <c r="C112" s="248" t="s">
        <v>109</v>
      </c>
      <c r="D112" s="216">
        <v>20.0</v>
      </c>
      <c r="E112" s="241" t="str">
        <f>'Daftar Harga'!D121</f>
        <v/>
      </c>
      <c r="F112" s="242" t="str">
        <f t="shared" si="28"/>
        <v/>
      </c>
      <c r="G112" s="186">
        <v>22000.0</v>
      </c>
      <c r="H112" s="243">
        <f t="shared" si="29"/>
        <v>440000</v>
      </c>
      <c r="I112" s="188">
        <v>25000.0</v>
      </c>
      <c r="J112" s="253">
        <f t="shared" si="30"/>
        <v>500000</v>
      </c>
      <c r="K112" s="250">
        <f t="shared" si="31"/>
        <v>60000</v>
      </c>
      <c r="L112" s="251">
        <f t="shared" si="32"/>
        <v>0.1363636364</v>
      </c>
      <c r="M112" s="252"/>
    </row>
    <row r="113" ht="15.75" customHeight="1">
      <c r="A113" s="239">
        <v>8.0</v>
      </c>
      <c r="B113" s="240" t="s">
        <v>2118</v>
      </c>
      <c r="C113" s="239" t="s">
        <v>109</v>
      </c>
      <c r="D113" s="213">
        <v>50.0</v>
      </c>
      <c r="E113" s="241" t="str">
        <f>'Daftar Harga'!D167</f>
        <v/>
      </c>
      <c r="F113" s="242" t="str">
        <f t="shared" si="28"/>
        <v/>
      </c>
      <c r="G113" s="186">
        <v>9000.0</v>
      </c>
      <c r="H113" s="243">
        <f t="shared" si="29"/>
        <v>450000</v>
      </c>
      <c r="I113" s="200">
        <v>12000.0</v>
      </c>
      <c r="J113" s="253">
        <f t="shared" si="30"/>
        <v>600000</v>
      </c>
      <c r="K113" s="245">
        <f t="shared" si="31"/>
        <v>150000</v>
      </c>
      <c r="L113" s="246">
        <f t="shared" si="32"/>
        <v>0.3333333333</v>
      </c>
      <c r="M113" s="247"/>
    </row>
    <row r="114" ht="15.75" customHeight="1">
      <c r="A114" s="248">
        <v>9.0</v>
      </c>
      <c r="B114" s="249" t="s">
        <v>1600</v>
      </c>
      <c r="C114" s="248" t="s">
        <v>109</v>
      </c>
      <c r="D114" s="216">
        <v>135.0</v>
      </c>
      <c r="E114" s="241" t="str">
        <f>'Daftar Harga'!D181</f>
        <v/>
      </c>
      <c r="F114" s="242" t="str">
        <f t="shared" si="28"/>
        <v/>
      </c>
      <c r="G114" s="186">
        <v>25500.0</v>
      </c>
      <c r="H114" s="243">
        <f t="shared" si="29"/>
        <v>3442500</v>
      </c>
      <c r="I114" s="188">
        <v>28000.0</v>
      </c>
      <c r="J114" s="253">
        <f t="shared" si="30"/>
        <v>3780000</v>
      </c>
      <c r="K114" s="250">
        <f t="shared" si="31"/>
        <v>337500</v>
      </c>
      <c r="L114" s="251">
        <f t="shared" si="32"/>
        <v>0.09803921569</v>
      </c>
      <c r="M114" s="252"/>
    </row>
    <row r="115" ht="15.75" customHeight="1">
      <c r="A115" s="239">
        <v>10.0</v>
      </c>
      <c r="B115" s="240" t="s">
        <v>1601</v>
      </c>
      <c r="C115" s="239" t="s">
        <v>69</v>
      </c>
      <c r="D115" s="213">
        <v>56.0</v>
      </c>
      <c r="E115" s="241" t="str">
        <f>'Daftar Harga'!D183</f>
        <v/>
      </c>
      <c r="F115" s="242" t="str">
        <f t="shared" si="28"/>
        <v/>
      </c>
      <c r="G115" s="199">
        <v>12000.0</v>
      </c>
      <c r="H115" s="243">
        <f t="shared" si="29"/>
        <v>672000</v>
      </c>
      <c r="I115" s="200">
        <v>14000.0</v>
      </c>
      <c r="J115" s="253">
        <f t="shared" si="30"/>
        <v>784000</v>
      </c>
      <c r="K115" s="245">
        <f t="shared" si="31"/>
        <v>112000</v>
      </c>
      <c r="L115" s="246">
        <f t="shared" si="32"/>
        <v>0.1666666667</v>
      </c>
      <c r="M115" s="247"/>
    </row>
    <row r="116" ht="15.75" customHeight="1">
      <c r="A116" s="248">
        <v>11.0</v>
      </c>
      <c r="B116" s="249" t="s">
        <v>1605</v>
      </c>
      <c r="C116" s="248" t="s">
        <v>109</v>
      </c>
      <c r="D116" s="216">
        <v>25.0</v>
      </c>
      <c r="E116" s="241" t="str">
        <f>'Daftar Harga'!D187</f>
        <v/>
      </c>
      <c r="F116" s="242" t="str">
        <f t="shared" si="28"/>
        <v/>
      </c>
      <c r="G116" s="186">
        <v>11250.0</v>
      </c>
      <c r="H116" s="243">
        <f t="shared" si="29"/>
        <v>281250</v>
      </c>
      <c r="I116" s="188">
        <v>12000.0</v>
      </c>
      <c r="J116" s="253">
        <f t="shared" si="30"/>
        <v>300000</v>
      </c>
      <c r="K116" s="250">
        <f t="shared" si="31"/>
        <v>18750</v>
      </c>
      <c r="L116" s="251">
        <f t="shared" si="32"/>
        <v>0.06666666667</v>
      </c>
      <c r="M116" s="252"/>
    </row>
    <row r="117" ht="15.75" customHeight="1">
      <c r="A117" s="239">
        <v>12.0</v>
      </c>
      <c r="B117" s="240" t="s">
        <v>1609</v>
      </c>
      <c r="C117" s="239" t="s">
        <v>109</v>
      </c>
      <c r="D117" s="213">
        <v>6.0</v>
      </c>
      <c r="E117" s="241" t="str">
        <f>'Daftar Harga'!D191</f>
        <v/>
      </c>
      <c r="F117" s="242" t="str">
        <f t="shared" si="28"/>
        <v/>
      </c>
      <c r="G117" s="186">
        <v>15000.0</v>
      </c>
      <c r="H117" s="263">
        <f t="shared" si="29"/>
        <v>90000</v>
      </c>
      <c r="I117" s="188">
        <v>18000.0</v>
      </c>
      <c r="J117" s="255">
        <f t="shared" si="30"/>
        <v>108000</v>
      </c>
      <c r="K117" s="245">
        <f t="shared" si="31"/>
        <v>18000</v>
      </c>
      <c r="L117" s="246">
        <f t="shared" si="32"/>
        <v>0.2</v>
      </c>
      <c r="M117" s="247"/>
    </row>
    <row r="118" ht="15.75" customHeight="1">
      <c r="A118" s="256" t="s">
        <v>1653</v>
      </c>
      <c r="B118" s="206"/>
      <c r="C118" s="206"/>
      <c r="D118" s="174"/>
      <c r="E118" s="257"/>
      <c r="F118" s="258">
        <f>SUMIF(F106:F117,"&lt;&gt;",F106:F117)</f>
        <v>1910500</v>
      </c>
      <c r="G118" s="259"/>
      <c r="H118" s="260">
        <f>SUMIF(H106:H117,"&lt;&gt;",H106:H117)</f>
        <v>12141650</v>
      </c>
      <c r="I118" s="265"/>
      <c r="J118" s="260">
        <f>SUMIF(J106:J117,"&lt;&gt;",J106:J117)</f>
        <v>13593200</v>
      </c>
      <c r="K118" s="261">
        <f t="shared" si="31"/>
        <v>1451550</v>
      </c>
      <c r="L118" s="262">
        <f t="shared" si="32"/>
        <v>0.1195512966</v>
      </c>
      <c r="M118" s="257"/>
    </row>
    <row r="119" ht="15.75" customHeight="1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</row>
    <row r="120" ht="15.75" customHeight="1">
      <c r="A120" s="228" t="s">
        <v>1654</v>
      </c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6"/>
    </row>
    <row r="121" ht="15.75" customHeight="1">
      <c r="A121" s="229" t="s">
        <v>1509</v>
      </c>
      <c r="B121" s="229" t="s">
        <v>1510</v>
      </c>
      <c r="C121" s="229" t="s">
        <v>1511</v>
      </c>
      <c r="D121" s="229" t="s">
        <v>1614</v>
      </c>
      <c r="E121" s="230" t="s">
        <v>1615</v>
      </c>
      <c r="F121" s="174"/>
      <c r="G121" s="231" t="s">
        <v>1616</v>
      </c>
      <c r="H121" s="174"/>
      <c r="I121" s="232" t="s">
        <v>1617</v>
      </c>
      <c r="J121" s="174"/>
      <c r="K121" s="233" t="s">
        <v>1618</v>
      </c>
      <c r="L121" s="174"/>
      <c r="M121" s="229" t="s">
        <v>1619</v>
      </c>
    </row>
    <row r="122" ht="15.75" customHeight="1">
      <c r="A122" s="234" t="s">
        <v>1509</v>
      </c>
      <c r="B122" s="234" t="s">
        <v>1510</v>
      </c>
      <c r="C122" s="234" t="s">
        <v>1511</v>
      </c>
      <c r="D122" s="234" t="s">
        <v>1614</v>
      </c>
      <c r="E122" s="235" t="s">
        <v>1620</v>
      </c>
      <c r="F122" s="235" t="s">
        <v>1621</v>
      </c>
      <c r="G122" s="236" t="s">
        <v>1622</v>
      </c>
      <c r="H122" s="236" t="s">
        <v>1623</v>
      </c>
      <c r="I122" s="237" t="s">
        <v>1624</v>
      </c>
      <c r="J122" s="237" t="s">
        <v>1625</v>
      </c>
      <c r="K122" s="238" t="s">
        <v>1626</v>
      </c>
      <c r="L122" s="238" t="s">
        <v>1627</v>
      </c>
      <c r="M122" s="234" t="s">
        <v>1619</v>
      </c>
    </row>
    <row r="123" ht="15.75" customHeight="1">
      <c r="A123" s="239">
        <v>1.0</v>
      </c>
      <c r="B123" s="240" t="s">
        <v>1934</v>
      </c>
      <c r="C123" s="239" t="s">
        <v>109</v>
      </c>
      <c r="D123" s="213">
        <v>5.0</v>
      </c>
      <c r="E123" s="241">
        <f>'Daftar Harga'!D91</f>
        <v>500</v>
      </c>
      <c r="F123" s="242">
        <f t="shared" ref="F123:F141" si="33">IF(E123&lt;&gt;"",D123*E123,"")</f>
        <v>2500</v>
      </c>
      <c r="G123" s="186">
        <v>40000.0</v>
      </c>
      <c r="H123" s="243">
        <f t="shared" ref="H123:H141" si="34">IF(G123&lt;&gt;"",D123*G123,"")</f>
        <v>200000</v>
      </c>
      <c r="I123" s="188">
        <v>45000.0</v>
      </c>
      <c r="J123" s="244">
        <f t="shared" ref="J123:J141" si="35">IF(I123&lt;&gt;"",D123*I123,"")</f>
        <v>225000</v>
      </c>
      <c r="K123" s="245">
        <f t="shared" ref="K123:K142" si="36">IF(J123&lt;&gt;"",IF(H123&lt;&gt;"",J123-H123,IF(F123&lt;&gt;"",J123-F123,"")),"")</f>
        <v>25000</v>
      </c>
      <c r="L123" s="246">
        <f t="shared" ref="L123:L142" si="37">IF(K123&lt;&gt;"",IF(H123&lt;&gt;"",IF(H123&lt;&gt;0,K123/H123,""),IF(F123&lt;&gt;"",IF(F123&lt;&gt;0,K123/F123,""),"")),"")</f>
        <v>0.125</v>
      </c>
      <c r="M123" s="247"/>
    </row>
    <row r="124" ht="15.75" customHeight="1">
      <c r="A124" s="248">
        <v>2.0</v>
      </c>
      <c r="B124" s="249" t="s">
        <v>1935</v>
      </c>
      <c r="C124" s="248" t="s">
        <v>109</v>
      </c>
      <c r="D124" s="216">
        <v>6.0</v>
      </c>
      <c r="E124" s="241">
        <f>'Daftar Harga'!D93</f>
        <v>12000</v>
      </c>
      <c r="F124" s="242">
        <f t="shared" si="33"/>
        <v>72000</v>
      </c>
      <c r="G124" s="186">
        <v>33000.0</v>
      </c>
      <c r="H124" s="243">
        <f t="shared" si="34"/>
        <v>198000</v>
      </c>
      <c r="I124" s="188">
        <v>36000.0</v>
      </c>
      <c r="J124" s="244">
        <f t="shared" si="35"/>
        <v>216000</v>
      </c>
      <c r="K124" s="250">
        <f t="shared" si="36"/>
        <v>18000</v>
      </c>
      <c r="L124" s="251">
        <f t="shared" si="37"/>
        <v>0.09090909091</v>
      </c>
      <c r="M124" s="252"/>
    </row>
    <row r="125" ht="15.75" customHeight="1">
      <c r="A125" s="239">
        <v>3.0</v>
      </c>
      <c r="B125" s="240" t="s">
        <v>1527</v>
      </c>
      <c r="C125" s="239" t="s">
        <v>109</v>
      </c>
      <c r="D125" s="213">
        <v>121.0</v>
      </c>
      <c r="E125" s="241">
        <f>'Daftar Harga'!D97</f>
        <v>11500</v>
      </c>
      <c r="F125" s="242">
        <f t="shared" si="33"/>
        <v>1391500</v>
      </c>
      <c r="G125" s="186">
        <v>14500.0</v>
      </c>
      <c r="H125" s="243">
        <f t="shared" si="34"/>
        <v>1754500</v>
      </c>
      <c r="I125" s="188">
        <v>15500.0</v>
      </c>
      <c r="J125" s="244">
        <f t="shared" si="35"/>
        <v>1875500</v>
      </c>
      <c r="K125" s="245">
        <f t="shared" si="36"/>
        <v>121000</v>
      </c>
      <c r="L125" s="246">
        <f t="shared" si="37"/>
        <v>0.06896551724</v>
      </c>
      <c r="M125" s="247"/>
    </row>
    <row r="126" ht="15.75" customHeight="1">
      <c r="A126" s="248">
        <v>4.0</v>
      </c>
      <c r="B126" s="249" t="s">
        <v>2117</v>
      </c>
      <c r="C126" s="248" t="s">
        <v>109</v>
      </c>
      <c r="D126" s="216">
        <v>0.5</v>
      </c>
      <c r="E126" s="241" t="str">
        <f>'Daftar Harga'!D110</f>
        <v/>
      </c>
      <c r="F126" s="242" t="str">
        <f t="shared" si="33"/>
        <v/>
      </c>
      <c r="G126" s="186">
        <v>36000.0</v>
      </c>
      <c r="H126" s="243">
        <f t="shared" si="34"/>
        <v>18000</v>
      </c>
      <c r="I126" s="188">
        <v>45000.0</v>
      </c>
      <c r="J126" s="244">
        <f t="shared" si="35"/>
        <v>22500</v>
      </c>
      <c r="K126" s="250">
        <f t="shared" si="36"/>
        <v>4500</v>
      </c>
      <c r="L126" s="251">
        <f t="shared" si="37"/>
        <v>0.25</v>
      </c>
      <c r="M126" s="252"/>
    </row>
    <row r="127" ht="15.75" customHeight="1">
      <c r="A127" s="239">
        <v>5.0</v>
      </c>
      <c r="B127" s="240" t="s">
        <v>1543</v>
      </c>
      <c r="C127" s="239" t="s">
        <v>109</v>
      </c>
      <c r="D127" s="213">
        <v>2.0</v>
      </c>
      <c r="E127" s="241" t="str">
        <f>'Daftar Harga'!D115</f>
        <v/>
      </c>
      <c r="F127" s="242" t="str">
        <f t="shared" si="33"/>
        <v/>
      </c>
      <c r="G127" s="186">
        <v>7000.0</v>
      </c>
      <c r="H127" s="243">
        <f t="shared" si="34"/>
        <v>14000</v>
      </c>
      <c r="I127" s="188">
        <v>10000.0</v>
      </c>
      <c r="J127" s="244">
        <f t="shared" si="35"/>
        <v>20000</v>
      </c>
      <c r="K127" s="245">
        <f t="shared" si="36"/>
        <v>6000</v>
      </c>
      <c r="L127" s="246">
        <f t="shared" si="37"/>
        <v>0.4285714286</v>
      </c>
      <c r="M127" s="247"/>
    </row>
    <row r="128" ht="15.75" customHeight="1">
      <c r="A128" s="248">
        <v>6.0</v>
      </c>
      <c r="B128" s="249" t="s">
        <v>1655</v>
      </c>
      <c r="C128" s="248" t="s">
        <v>109</v>
      </c>
      <c r="D128" s="216">
        <v>1.0</v>
      </c>
      <c r="E128" s="241" t="str">
        <f>'Daftar Harga'!D118</f>
        <v/>
      </c>
      <c r="F128" s="242" t="str">
        <f t="shared" si="33"/>
        <v/>
      </c>
      <c r="G128" s="186">
        <v>18500.0</v>
      </c>
      <c r="H128" s="243">
        <f t="shared" si="34"/>
        <v>18500</v>
      </c>
      <c r="I128" s="188">
        <v>20000.0</v>
      </c>
      <c r="J128" s="244">
        <f t="shared" si="35"/>
        <v>20000</v>
      </c>
      <c r="K128" s="250">
        <f t="shared" si="36"/>
        <v>1500</v>
      </c>
      <c r="L128" s="251">
        <f t="shared" si="37"/>
        <v>0.08108108108</v>
      </c>
      <c r="M128" s="252"/>
    </row>
    <row r="129" ht="15.75" customHeight="1">
      <c r="A129" s="239">
        <v>7.0</v>
      </c>
      <c r="B129" s="240" t="s">
        <v>2119</v>
      </c>
      <c r="C129" s="239" t="s">
        <v>109</v>
      </c>
      <c r="D129" s="213">
        <v>2015.0</v>
      </c>
      <c r="E129" s="241" t="str">
        <f>'Daftar Harga'!D119</f>
        <v/>
      </c>
      <c r="F129" s="242" t="str">
        <f t="shared" si="33"/>
        <v/>
      </c>
      <c r="G129" s="186">
        <v>3500.0</v>
      </c>
      <c r="H129" s="243">
        <f t="shared" si="34"/>
        <v>7052500</v>
      </c>
      <c r="I129" s="188">
        <v>3800.0</v>
      </c>
      <c r="J129" s="244">
        <f t="shared" si="35"/>
        <v>7657000</v>
      </c>
      <c r="K129" s="245">
        <f t="shared" si="36"/>
        <v>604500</v>
      </c>
      <c r="L129" s="246">
        <f t="shared" si="37"/>
        <v>0.08571428571</v>
      </c>
      <c r="M129" s="247"/>
    </row>
    <row r="130" ht="15.75" customHeight="1">
      <c r="A130" s="248">
        <v>8.0</v>
      </c>
      <c r="B130" s="249" t="s">
        <v>1548</v>
      </c>
      <c r="C130" s="248" t="s">
        <v>109</v>
      </c>
      <c r="D130" s="216">
        <v>3.6</v>
      </c>
      <c r="E130" s="241" t="str">
        <f>'Daftar Harga'!D122</f>
        <v/>
      </c>
      <c r="F130" s="242" t="str">
        <f t="shared" si="33"/>
        <v/>
      </c>
      <c r="G130" s="186">
        <v>20000.0</v>
      </c>
      <c r="H130" s="243">
        <f t="shared" si="34"/>
        <v>72000</v>
      </c>
      <c r="I130" s="188">
        <v>26000.0</v>
      </c>
      <c r="J130" s="244">
        <f t="shared" si="35"/>
        <v>93600</v>
      </c>
      <c r="K130" s="250">
        <f t="shared" si="36"/>
        <v>21600</v>
      </c>
      <c r="L130" s="251">
        <f t="shared" si="37"/>
        <v>0.3</v>
      </c>
      <c r="M130" s="252"/>
    </row>
    <row r="131" ht="15.75" customHeight="1">
      <c r="A131" s="239">
        <v>9.0</v>
      </c>
      <c r="B131" s="240" t="s">
        <v>1566</v>
      </c>
      <c r="C131" s="239" t="s">
        <v>109</v>
      </c>
      <c r="D131" s="213">
        <v>4.0</v>
      </c>
      <c r="E131" s="241" t="str">
        <f>'Daftar Harga'!D139</f>
        <v/>
      </c>
      <c r="F131" s="242" t="str">
        <f t="shared" si="33"/>
        <v/>
      </c>
      <c r="G131" s="186">
        <v>110000.0</v>
      </c>
      <c r="H131" s="243">
        <f t="shared" si="34"/>
        <v>440000</v>
      </c>
      <c r="I131" s="188">
        <v>105000.0</v>
      </c>
      <c r="J131" s="244">
        <f t="shared" si="35"/>
        <v>420000</v>
      </c>
      <c r="K131" s="245">
        <f t="shared" si="36"/>
        <v>-20000</v>
      </c>
      <c r="L131" s="246">
        <f t="shared" si="37"/>
        <v>-0.04545454545</v>
      </c>
      <c r="M131" s="247"/>
    </row>
    <row r="132" ht="15.75" customHeight="1">
      <c r="A132" s="248">
        <v>10.0</v>
      </c>
      <c r="B132" s="249" t="s">
        <v>1569</v>
      </c>
      <c r="C132" s="248" t="s">
        <v>109</v>
      </c>
      <c r="D132" s="216">
        <v>3.5</v>
      </c>
      <c r="E132" s="241" t="str">
        <f>'Daftar Harga'!D142</f>
        <v/>
      </c>
      <c r="F132" s="242" t="str">
        <f t="shared" si="33"/>
        <v/>
      </c>
      <c r="G132" s="186">
        <v>10000.0</v>
      </c>
      <c r="H132" s="243">
        <f t="shared" si="34"/>
        <v>35000</v>
      </c>
      <c r="I132" s="188">
        <v>16000.0</v>
      </c>
      <c r="J132" s="244">
        <f t="shared" si="35"/>
        <v>56000</v>
      </c>
      <c r="K132" s="250">
        <f t="shared" si="36"/>
        <v>21000</v>
      </c>
      <c r="L132" s="251">
        <f t="shared" si="37"/>
        <v>0.6</v>
      </c>
      <c r="M132" s="252"/>
    </row>
    <row r="133" ht="15.75" customHeight="1">
      <c r="A133" s="239">
        <v>11.0</v>
      </c>
      <c r="B133" s="240" t="s">
        <v>1570</v>
      </c>
      <c r="C133" s="239" t="s">
        <v>109</v>
      </c>
      <c r="D133" s="213">
        <v>45.0</v>
      </c>
      <c r="E133" s="241" t="str">
        <f>'Daftar Harga'!D143</f>
        <v/>
      </c>
      <c r="F133" s="242" t="str">
        <f t="shared" si="33"/>
        <v/>
      </c>
      <c r="G133" s="186">
        <v>9000.0</v>
      </c>
      <c r="H133" s="243">
        <f t="shared" si="34"/>
        <v>405000</v>
      </c>
      <c r="I133" s="188">
        <v>12000.0</v>
      </c>
      <c r="J133" s="244">
        <f t="shared" si="35"/>
        <v>540000</v>
      </c>
      <c r="K133" s="245">
        <f t="shared" si="36"/>
        <v>135000</v>
      </c>
      <c r="L133" s="246">
        <f t="shared" si="37"/>
        <v>0.3333333333</v>
      </c>
      <c r="M133" s="247"/>
    </row>
    <row r="134" ht="15.75" customHeight="1">
      <c r="A134" s="248">
        <v>12.0</v>
      </c>
      <c r="B134" s="249" t="s">
        <v>1574</v>
      </c>
      <c r="C134" s="248" t="s">
        <v>109</v>
      </c>
      <c r="D134" s="216">
        <v>4.0</v>
      </c>
      <c r="E134" s="241" t="str">
        <f>'Daftar Harga'!D148</f>
        <v/>
      </c>
      <c r="F134" s="242" t="str">
        <f t="shared" si="33"/>
        <v/>
      </c>
      <c r="G134" s="186">
        <v>10000.0</v>
      </c>
      <c r="H134" s="243">
        <f t="shared" si="34"/>
        <v>40000</v>
      </c>
      <c r="I134" s="188">
        <v>15000.0</v>
      </c>
      <c r="J134" s="244">
        <f t="shared" si="35"/>
        <v>60000</v>
      </c>
      <c r="K134" s="250">
        <f t="shared" si="36"/>
        <v>20000</v>
      </c>
      <c r="L134" s="251">
        <f t="shared" si="37"/>
        <v>0.5</v>
      </c>
      <c r="M134" s="252"/>
    </row>
    <row r="135" ht="15.75" customHeight="1">
      <c r="A135" s="239">
        <v>13.0</v>
      </c>
      <c r="B135" s="249" t="s">
        <v>1112</v>
      </c>
      <c r="C135" s="248" t="s">
        <v>109</v>
      </c>
      <c r="D135" s="216">
        <v>170.0</v>
      </c>
      <c r="E135" s="241" t="str">
        <f>'Daftar Harga'!D169</f>
        <v/>
      </c>
      <c r="F135" s="242" t="str">
        <f t="shared" si="33"/>
        <v/>
      </c>
      <c r="G135" s="186">
        <v>15500.0</v>
      </c>
      <c r="H135" s="243">
        <f t="shared" si="34"/>
        <v>2635000</v>
      </c>
      <c r="I135" s="188">
        <v>17500.0</v>
      </c>
      <c r="J135" s="244">
        <f t="shared" si="35"/>
        <v>2975000</v>
      </c>
      <c r="K135" s="250">
        <f t="shared" si="36"/>
        <v>340000</v>
      </c>
      <c r="L135" s="251">
        <f t="shared" si="37"/>
        <v>0.1290322581</v>
      </c>
      <c r="M135" s="252"/>
    </row>
    <row r="136" ht="15.75" customHeight="1">
      <c r="A136" s="248">
        <v>14.0</v>
      </c>
      <c r="B136" s="240" t="s">
        <v>1344</v>
      </c>
      <c r="C136" s="239" t="s">
        <v>69</v>
      </c>
      <c r="D136" s="213">
        <v>1980.0</v>
      </c>
      <c r="E136" s="241" t="str">
        <f>'Daftar Harga'!D179</f>
        <v/>
      </c>
      <c r="F136" s="242" t="str">
        <f t="shared" si="33"/>
        <v/>
      </c>
      <c r="G136" s="199">
        <v>500.0</v>
      </c>
      <c r="H136" s="243">
        <f t="shared" si="34"/>
        <v>990000</v>
      </c>
      <c r="I136" s="188">
        <v>700.0</v>
      </c>
      <c r="J136" s="244">
        <f t="shared" si="35"/>
        <v>1386000</v>
      </c>
      <c r="K136" s="250">
        <f t="shared" si="36"/>
        <v>396000</v>
      </c>
      <c r="L136" s="246">
        <f t="shared" si="37"/>
        <v>0.4</v>
      </c>
      <c r="M136" s="247"/>
    </row>
    <row r="137" ht="15.75" customHeight="1">
      <c r="A137" s="239">
        <v>15.0</v>
      </c>
      <c r="B137" s="249" t="s">
        <v>1605</v>
      </c>
      <c r="C137" s="248" t="s">
        <v>109</v>
      </c>
      <c r="D137" s="216">
        <v>41.0</v>
      </c>
      <c r="E137" s="241" t="str">
        <f>'Daftar Harga'!D187</f>
        <v/>
      </c>
      <c r="F137" s="242" t="str">
        <f t="shared" si="33"/>
        <v/>
      </c>
      <c r="G137" s="186">
        <v>11250.0</v>
      </c>
      <c r="H137" s="243">
        <f t="shared" si="34"/>
        <v>461250</v>
      </c>
      <c r="I137" s="188">
        <v>12000.0</v>
      </c>
      <c r="J137" s="244">
        <f t="shared" si="35"/>
        <v>492000</v>
      </c>
      <c r="K137" s="250">
        <f t="shared" si="36"/>
        <v>30750</v>
      </c>
      <c r="L137" s="251">
        <f t="shared" si="37"/>
        <v>0.06666666667</v>
      </c>
      <c r="M137" s="252"/>
    </row>
    <row r="138" ht="15.75" customHeight="1">
      <c r="A138" s="248">
        <v>16.0</v>
      </c>
      <c r="B138" s="240" t="s">
        <v>1608</v>
      </c>
      <c r="C138" s="239" t="s">
        <v>109</v>
      </c>
      <c r="D138" s="213">
        <v>4.0</v>
      </c>
      <c r="E138" s="241" t="str">
        <f>'Daftar Harga'!D190</f>
        <v/>
      </c>
      <c r="F138" s="242" t="str">
        <f t="shared" si="33"/>
        <v/>
      </c>
      <c r="G138" s="186">
        <v>12000.0</v>
      </c>
      <c r="H138" s="243">
        <f t="shared" si="34"/>
        <v>48000</v>
      </c>
      <c r="I138" s="188">
        <v>18000.0</v>
      </c>
      <c r="J138" s="244">
        <f t="shared" si="35"/>
        <v>72000</v>
      </c>
      <c r="K138" s="245">
        <f t="shared" si="36"/>
        <v>24000</v>
      </c>
      <c r="L138" s="246">
        <f t="shared" si="37"/>
        <v>0.5</v>
      </c>
      <c r="M138" s="247"/>
    </row>
    <row r="139" ht="15.75" customHeight="1">
      <c r="A139" s="239">
        <v>17.0</v>
      </c>
      <c r="B139" s="249" t="s">
        <v>2120</v>
      </c>
      <c r="C139" s="248" t="s">
        <v>109</v>
      </c>
      <c r="D139" s="216">
        <v>0.3</v>
      </c>
      <c r="E139" s="267"/>
      <c r="F139" s="268" t="str">
        <f t="shared" si="33"/>
        <v/>
      </c>
      <c r="G139" s="186">
        <v>85000.0</v>
      </c>
      <c r="H139" s="243">
        <f t="shared" si="34"/>
        <v>25500</v>
      </c>
      <c r="I139" s="188">
        <v>90000.0</v>
      </c>
      <c r="J139" s="244">
        <f t="shared" si="35"/>
        <v>27000</v>
      </c>
      <c r="K139" s="245">
        <f t="shared" si="36"/>
        <v>1500</v>
      </c>
      <c r="L139" s="246">
        <f t="shared" si="37"/>
        <v>0.05882352941</v>
      </c>
      <c r="M139" s="252"/>
    </row>
    <row r="140" ht="15.75" customHeight="1">
      <c r="A140" s="248">
        <v>18.0</v>
      </c>
      <c r="B140" s="249" t="s">
        <v>2042</v>
      </c>
      <c r="C140" s="248" t="s">
        <v>109</v>
      </c>
      <c r="D140" s="216">
        <v>15.0</v>
      </c>
      <c r="E140" s="267"/>
      <c r="F140" s="268" t="str">
        <f t="shared" si="33"/>
        <v/>
      </c>
      <c r="G140" s="186">
        <v>25500.0</v>
      </c>
      <c r="H140" s="243">
        <f t="shared" si="34"/>
        <v>382500</v>
      </c>
      <c r="I140" s="188">
        <v>28000.0</v>
      </c>
      <c r="J140" s="244">
        <f t="shared" si="35"/>
        <v>420000</v>
      </c>
      <c r="K140" s="245">
        <f t="shared" si="36"/>
        <v>37500</v>
      </c>
      <c r="L140" s="246">
        <f t="shared" si="37"/>
        <v>0.09803921569</v>
      </c>
      <c r="M140" s="252"/>
    </row>
    <row r="141" ht="15.75" customHeight="1">
      <c r="A141" s="239">
        <v>19.0</v>
      </c>
      <c r="B141" s="249" t="s">
        <v>1609</v>
      </c>
      <c r="C141" s="248" t="s">
        <v>109</v>
      </c>
      <c r="D141" s="216">
        <v>30.0</v>
      </c>
      <c r="E141" s="241" t="str">
        <f>'Daftar Harga'!D191</f>
        <v/>
      </c>
      <c r="F141" s="242" t="str">
        <f t="shared" si="33"/>
        <v/>
      </c>
      <c r="G141" s="186">
        <v>14000.0</v>
      </c>
      <c r="H141" s="243">
        <f t="shared" si="34"/>
        <v>420000</v>
      </c>
      <c r="I141" s="188">
        <v>18000.0</v>
      </c>
      <c r="J141" s="264">
        <f t="shared" si="35"/>
        <v>540000</v>
      </c>
      <c r="K141" s="250">
        <f t="shared" si="36"/>
        <v>120000</v>
      </c>
      <c r="L141" s="251">
        <f t="shared" si="37"/>
        <v>0.2857142857</v>
      </c>
      <c r="M141" s="252"/>
    </row>
    <row r="142" ht="15.75" customHeight="1">
      <c r="A142" s="256" t="s">
        <v>1659</v>
      </c>
      <c r="B142" s="206"/>
      <c r="C142" s="206"/>
      <c r="D142" s="174"/>
      <c r="E142" s="257"/>
      <c r="F142" s="258">
        <f>SUMIF(F123:F141,"&lt;&gt;",F123:F141)</f>
        <v>1466000</v>
      </c>
      <c r="G142" s="257"/>
      <c r="H142" s="258">
        <f>SUMIF(H123:H141,"&lt;&gt;",H123:H141)</f>
        <v>15209750</v>
      </c>
      <c r="I142" s="259"/>
      <c r="J142" s="260">
        <f>SUMIF(J123:J141,"&lt;&gt;",J123:J141)</f>
        <v>17117600</v>
      </c>
      <c r="K142" s="261">
        <f t="shared" si="36"/>
        <v>1907850</v>
      </c>
      <c r="L142" s="262">
        <f t="shared" si="37"/>
        <v>0.1254359868</v>
      </c>
      <c r="M142" s="257"/>
    </row>
    <row r="143" ht="15.75" customHeight="1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</row>
    <row r="144" ht="15.75" customHeight="1">
      <c r="A144" s="228" t="s">
        <v>1660</v>
      </c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6"/>
    </row>
    <row r="145" ht="15.75" customHeight="1">
      <c r="A145" s="229" t="s">
        <v>1509</v>
      </c>
      <c r="B145" s="229" t="s">
        <v>1510</v>
      </c>
      <c r="C145" s="229" t="s">
        <v>1511</v>
      </c>
      <c r="D145" s="229" t="s">
        <v>1614</v>
      </c>
      <c r="E145" s="230" t="s">
        <v>1615</v>
      </c>
      <c r="F145" s="174"/>
      <c r="G145" s="231" t="s">
        <v>1616</v>
      </c>
      <c r="H145" s="174"/>
      <c r="I145" s="232" t="s">
        <v>1617</v>
      </c>
      <c r="J145" s="174"/>
      <c r="K145" s="233" t="s">
        <v>1618</v>
      </c>
      <c r="L145" s="174"/>
      <c r="M145" s="229" t="s">
        <v>1619</v>
      </c>
    </row>
    <row r="146" ht="15.75" customHeight="1">
      <c r="A146" s="234" t="s">
        <v>1509</v>
      </c>
      <c r="B146" s="234" t="s">
        <v>1510</v>
      </c>
      <c r="C146" s="234" t="s">
        <v>1511</v>
      </c>
      <c r="D146" s="234" t="s">
        <v>1614</v>
      </c>
      <c r="E146" s="235" t="s">
        <v>1620</v>
      </c>
      <c r="F146" s="235" t="s">
        <v>1621</v>
      </c>
      <c r="G146" s="236" t="s">
        <v>1622</v>
      </c>
      <c r="H146" s="236" t="s">
        <v>1623</v>
      </c>
      <c r="I146" s="237" t="s">
        <v>1624</v>
      </c>
      <c r="J146" s="237" t="s">
        <v>1625</v>
      </c>
      <c r="K146" s="238" t="s">
        <v>1626</v>
      </c>
      <c r="L146" s="238" t="s">
        <v>1627</v>
      </c>
      <c r="M146" s="234" t="s">
        <v>1619</v>
      </c>
    </row>
    <row r="147" ht="15.75" customHeight="1">
      <c r="A147" s="248">
        <v>1.0</v>
      </c>
      <c r="B147" s="249" t="s">
        <v>1116</v>
      </c>
      <c r="C147" s="248" t="s">
        <v>109</v>
      </c>
      <c r="D147" s="216">
        <v>198.0</v>
      </c>
      <c r="E147" s="241">
        <f>'Daftar Harga'!D88</f>
        <v>500</v>
      </c>
      <c r="F147" s="242">
        <f t="shared" ref="F147:F168" si="38">IF(E147&lt;&gt;"",D147*E147,"")</f>
        <v>99000</v>
      </c>
      <c r="G147" s="186">
        <v>33000.0</v>
      </c>
      <c r="H147" s="243">
        <f t="shared" ref="H147:H168" si="39">IF(G147&lt;&gt;"",D147*G147,"")</f>
        <v>6534000</v>
      </c>
      <c r="I147" s="188">
        <v>38000.0</v>
      </c>
      <c r="J147" s="244">
        <f t="shared" ref="J147:J168" si="40">IF(I147&lt;&gt;"",D147*I147,"")</f>
        <v>7524000</v>
      </c>
      <c r="K147" s="250">
        <f t="shared" ref="K147:K169" si="41">IF(J147&lt;&gt;"",IF(H147&lt;&gt;"",J147-H147,IF(F147&lt;&gt;"",J147-F147,"")),"")</f>
        <v>990000</v>
      </c>
      <c r="L147" s="251">
        <f t="shared" ref="L147:L169" si="42">IF(K147&lt;&gt;"",IF(H147&lt;&gt;"",IF(H147&lt;&gt;0,K147/H147,""),IF(F147&lt;&gt;"",IF(F147&lt;&gt;0,K147/F147,""),"")),"")</f>
        <v>0.1515151515</v>
      </c>
      <c r="M147" s="252"/>
    </row>
    <row r="148" ht="15.75" customHeight="1">
      <c r="A148" s="239">
        <v>2.0</v>
      </c>
      <c r="B148" s="240" t="s">
        <v>1934</v>
      </c>
      <c r="C148" s="239" t="s">
        <v>109</v>
      </c>
      <c r="D148" s="213">
        <v>5.0</v>
      </c>
      <c r="E148" s="241">
        <f>'Daftar Harga'!D91</f>
        <v>500</v>
      </c>
      <c r="F148" s="242">
        <f t="shared" si="38"/>
        <v>2500</v>
      </c>
      <c r="G148" s="186">
        <v>40000.0</v>
      </c>
      <c r="H148" s="243">
        <f t="shared" si="39"/>
        <v>200000</v>
      </c>
      <c r="I148" s="188">
        <v>47000.0</v>
      </c>
      <c r="J148" s="244">
        <f t="shared" si="40"/>
        <v>235000</v>
      </c>
      <c r="K148" s="245">
        <f t="shared" si="41"/>
        <v>35000</v>
      </c>
      <c r="L148" s="246">
        <f t="shared" si="42"/>
        <v>0.175</v>
      </c>
      <c r="M148" s="247"/>
    </row>
    <row r="149" ht="15.75" customHeight="1">
      <c r="A149" s="248">
        <v>3.0</v>
      </c>
      <c r="B149" s="249" t="s">
        <v>1935</v>
      </c>
      <c r="C149" s="248" t="s">
        <v>109</v>
      </c>
      <c r="D149" s="216">
        <v>5.0</v>
      </c>
      <c r="E149" s="241">
        <f>'Daftar Harga'!D93</f>
        <v>12000</v>
      </c>
      <c r="F149" s="242">
        <f t="shared" si="38"/>
        <v>60000</v>
      </c>
      <c r="G149" s="186">
        <v>32000.0</v>
      </c>
      <c r="H149" s="243">
        <f t="shared" si="39"/>
        <v>160000</v>
      </c>
      <c r="I149" s="188">
        <v>36000.0</v>
      </c>
      <c r="J149" s="244">
        <f t="shared" si="40"/>
        <v>180000</v>
      </c>
      <c r="K149" s="250">
        <f t="shared" si="41"/>
        <v>20000</v>
      </c>
      <c r="L149" s="251">
        <f t="shared" si="42"/>
        <v>0.125</v>
      </c>
      <c r="M149" s="252"/>
    </row>
    <row r="150" ht="15.75" customHeight="1">
      <c r="A150" s="248">
        <v>4.0</v>
      </c>
      <c r="B150" s="240" t="s">
        <v>1527</v>
      </c>
      <c r="C150" s="239" t="s">
        <v>109</v>
      </c>
      <c r="D150" s="213">
        <v>158.0</v>
      </c>
      <c r="E150" s="241">
        <f>'Daftar Harga'!D97</f>
        <v>11500</v>
      </c>
      <c r="F150" s="242">
        <f t="shared" si="38"/>
        <v>1817000</v>
      </c>
      <c r="G150" s="186">
        <v>14500.0</v>
      </c>
      <c r="H150" s="243">
        <f t="shared" si="39"/>
        <v>2291000</v>
      </c>
      <c r="I150" s="188">
        <v>15500.0</v>
      </c>
      <c r="J150" s="244">
        <f t="shared" si="40"/>
        <v>2449000</v>
      </c>
      <c r="K150" s="245">
        <f t="shared" si="41"/>
        <v>158000</v>
      </c>
      <c r="L150" s="246">
        <f t="shared" si="42"/>
        <v>0.06896551724</v>
      </c>
      <c r="M150" s="247"/>
    </row>
    <row r="151" ht="15.75" customHeight="1">
      <c r="A151" s="239">
        <v>5.0</v>
      </c>
      <c r="B151" s="249" t="s">
        <v>1696</v>
      </c>
      <c r="C151" s="248" t="s">
        <v>109</v>
      </c>
      <c r="D151" s="216">
        <v>5.0</v>
      </c>
      <c r="E151" s="241" t="str">
        <f>'Daftar Harga'!D104</f>
        <v/>
      </c>
      <c r="F151" s="242" t="str">
        <f t="shared" si="38"/>
        <v/>
      </c>
      <c r="G151" s="186">
        <v>60000.0</v>
      </c>
      <c r="H151" s="243">
        <f t="shared" si="39"/>
        <v>300000</v>
      </c>
      <c r="I151" s="188">
        <v>70000.0</v>
      </c>
      <c r="J151" s="244">
        <f t="shared" si="40"/>
        <v>350000</v>
      </c>
      <c r="K151" s="250">
        <f t="shared" si="41"/>
        <v>50000</v>
      </c>
      <c r="L151" s="251">
        <f t="shared" si="42"/>
        <v>0.1666666667</v>
      </c>
      <c r="M151" s="252"/>
    </row>
    <row r="152" ht="15.75" customHeight="1">
      <c r="A152" s="248">
        <v>6.0</v>
      </c>
      <c r="B152" s="240" t="s">
        <v>2121</v>
      </c>
      <c r="C152" s="239" t="s">
        <v>109</v>
      </c>
      <c r="D152" s="213">
        <v>3.0</v>
      </c>
      <c r="E152" s="241" t="str">
        <f>'Daftar Harga'!D106</f>
        <v/>
      </c>
      <c r="F152" s="242" t="str">
        <f t="shared" si="38"/>
        <v/>
      </c>
      <c r="G152" s="186">
        <v>45000.0</v>
      </c>
      <c r="H152" s="243">
        <f t="shared" si="39"/>
        <v>135000</v>
      </c>
      <c r="I152" s="188">
        <v>120000.0</v>
      </c>
      <c r="J152" s="244">
        <f t="shared" si="40"/>
        <v>360000</v>
      </c>
      <c r="K152" s="245">
        <f t="shared" si="41"/>
        <v>225000</v>
      </c>
      <c r="L152" s="246">
        <f t="shared" si="42"/>
        <v>1.666666667</v>
      </c>
      <c r="M152" s="247"/>
    </row>
    <row r="153" ht="15.75" customHeight="1">
      <c r="A153" s="248">
        <v>7.0</v>
      </c>
      <c r="B153" s="249" t="s">
        <v>1642</v>
      </c>
      <c r="C153" s="248" t="s">
        <v>109</v>
      </c>
      <c r="D153" s="216">
        <v>2.0</v>
      </c>
      <c r="E153" s="241" t="str">
        <f>'Daftar Harga'!D109</f>
        <v/>
      </c>
      <c r="F153" s="242" t="str">
        <f t="shared" si="38"/>
        <v/>
      </c>
      <c r="G153" s="186">
        <v>15000.0</v>
      </c>
      <c r="H153" s="243">
        <f t="shared" si="39"/>
        <v>30000</v>
      </c>
      <c r="I153" s="188">
        <v>18000.0</v>
      </c>
      <c r="J153" s="244">
        <f t="shared" si="40"/>
        <v>36000</v>
      </c>
      <c r="K153" s="250">
        <f t="shared" si="41"/>
        <v>6000</v>
      </c>
      <c r="L153" s="251">
        <f t="shared" si="42"/>
        <v>0.2</v>
      </c>
      <c r="M153" s="252"/>
    </row>
    <row r="154" ht="15.75" customHeight="1">
      <c r="A154" s="239">
        <v>8.0</v>
      </c>
      <c r="B154" s="240" t="s">
        <v>2117</v>
      </c>
      <c r="C154" s="239" t="s">
        <v>109</v>
      </c>
      <c r="D154" s="213">
        <v>0.5</v>
      </c>
      <c r="E154" s="241" t="str">
        <f>'Daftar Harga'!D110</f>
        <v/>
      </c>
      <c r="F154" s="242" t="str">
        <f t="shared" si="38"/>
        <v/>
      </c>
      <c r="G154" s="186">
        <v>36000.0</v>
      </c>
      <c r="H154" s="243">
        <f t="shared" si="39"/>
        <v>18000</v>
      </c>
      <c r="I154" s="188">
        <v>30000.0</v>
      </c>
      <c r="J154" s="244">
        <f t="shared" si="40"/>
        <v>15000</v>
      </c>
      <c r="K154" s="245">
        <f t="shared" si="41"/>
        <v>-3000</v>
      </c>
      <c r="L154" s="246">
        <f t="shared" si="42"/>
        <v>-0.1666666667</v>
      </c>
      <c r="M154" s="247"/>
    </row>
    <row r="155" ht="15.75" customHeight="1">
      <c r="A155" s="248">
        <v>9.0</v>
      </c>
      <c r="B155" s="249" t="s">
        <v>1543</v>
      </c>
      <c r="C155" s="248" t="s">
        <v>109</v>
      </c>
      <c r="D155" s="216">
        <v>4.0</v>
      </c>
      <c r="E155" s="241" t="str">
        <f>'Daftar Harga'!D115</f>
        <v/>
      </c>
      <c r="F155" s="242" t="str">
        <f t="shared" si="38"/>
        <v/>
      </c>
      <c r="G155" s="186">
        <v>7000.0</v>
      </c>
      <c r="H155" s="243">
        <f t="shared" si="39"/>
        <v>28000</v>
      </c>
      <c r="I155" s="188">
        <v>10000.0</v>
      </c>
      <c r="J155" s="244">
        <f t="shared" si="40"/>
        <v>40000</v>
      </c>
      <c r="K155" s="250">
        <f t="shared" si="41"/>
        <v>12000</v>
      </c>
      <c r="L155" s="251">
        <f t="shared" si="42"/>
        <v>0.4285714286</v>
      </c>
      <c r="M155" s="252"/>
    </row>
    <row r="156" ht="15.75" customHeight="1">
      <c r="A156" s="248">
        <v>10.0</v>
      </c>
      <c r="B156" s="240" t="s">
        <v>1655</v>
      </c>
      <c r="C156" s="239" t="s">
        <v>109</v>
      </c>
      <c r="D156" s="213">
        <v>1.0</v>
      </c>
      <c r="E156" s="241" t="str">
        <f>'Daftar Harga'!D118</f>
        <v/>
      </c>
      <c r="F156" s="242" t="str">
        <f t="shared" si="38"/>
        <v/>
      </c>
      <c r="G156" s="186">
        <v>18500.0</v>
      </c>
      <c r="H156" s="243">
        <f t="shared" si="39"/>
        <v>18500</v>
      </c>
      <c r="I156" s="188">
        <v>20000.0</v>
      </c>
      <c r="J156" s="244">
        <f t="shared" si="40"/>
        <v>20000</v>
      </c>
      <c r="K156" s="245">
        <f t="shared" si="41"/>
        <v>1500</v>
      </c>
      <c r="L156" s="246">
        <f t="shared" si="42"/>
        <v>0.08108108108</v>
      </c>
      <c r="M156" s="247"/>
    </row>
    <row r="157" ht="15.75" customHeight="1">
      <c r="A157" s="239">
        <v>11.0</v>
      </c>
      <c r="B157" s="249" t="s">
        <v>1548</v>
      </c>
      <c r="C157" s="248" t="s">
        <v>109</v>
      </c>
      <c r="D157" s="216">
        <v>1.0</v>
      </c>
      <c r="E157" s="241" t="str">
        <f>'Daftar Harga'!D122</f>
        <v/>
      </c>
      <c r="F157" s="242" t="str">
        <f t="shared" si="38"/>
        <v/>
      </c>
      <c r="G157" s="186">
        <v>20000.0</v>
      </c>
      <c r="H157" s="243">
        <f t="shared" si="39"/>
        <v>20000</v>
      </c>
      <c r="I157" s="188">
        <v>26000.0</v>
      </c>
      <c r="J157" s="244">
        <f t="shared" si="40"/>
        <v>26000</v>
      </c>
      <c r="K157" s="250">
        <f t="shared" si="41"/>
        <v>6000</v>
      </c>
      <c r="L157" s="251">
        <f t="shared" si="42"/>
        <v>0.3</v>
      </c>
      <c r="M157" s="252"/>
    </row>
    <row r="158" ht="15.75" customHeight="1">
      <c r="A158" s="248">
        <v>12.0</v>
      </c>
      <c r="B158" s="249" t="s">
        <v>1563</v>
      </c>
      <c r="C158" s="248" t="s">
        <v>109</v>
      </c>
      <c r="D158" s="216">
        <v>4.0</v>
      </c>
      <c r="E158" s="241" t="str">
        <f>'Daftar Harga'!D135</f>
        <v/>
      </c>
      <c r="F158" s="242" t="str">
        <f t="shared" si="38"/>
        <v/>
      </c>
      <c r="G158" s="186">
        <v>45000.0</v>
      </c>
      <c r="H158" s="243">
        <f t="shared" si="39"/>
        <v>180000</v>
      </c>
      <c r="I158" s="188">
        <v>55000.0</v>
      </c>
      <c r="J158" s="244">
        <f t="shared" si="40"/>
        <v>220000</v>
      </c>
      <c r="K158" s="250">
        <f t="shared" si="41"/>
        <v>40000</v>
      </c>
      <c r="L158" s="251">
        <f t="shared" si="42"/>
        <v>0.2222222222</v>
      </c>
      <c r="M158" s="252"/>
    </row>
    <row r="159" ht="15.75" customHeight="1">
      <c r="A159" s="248">
        <v>13.0</v>
      </c>
      <c r="B159" s="240" t="s">
        <v>1566</v>
      </c>
      <c r="C159" s="239" t="s">
        <v>109</v>
      </c>
      <c r="D159" s="213">
        <v>2.0</v>
      </c>
      <c r="E159" s="241" t="str">
        <f>'Daftar Harga'!D139</f>
        <v/>
      </c>
      <c r="F159" s="242" t="str">
        <f t="shared" si="38"/>
        <v/>
      </c>
      <c r="G159" s="186">
        <v>94500.0</v>
      </c>
      <c r="H159" s="243">
        <f t="shared" si="39"/>
        <v>189000</v>
      </c>
      <c r="I159" s="188">
        <v>105000.0</v>
      </c>
      <c r="J159" s="244">
        <f t="shared" si="40"/>
        <v>210000</v>
      </c>
      <c r="K159" s="245">
        <f t="shared" si="41"/>
        <v>21000</v>
      </c>
      <c r="L159" s="246">
        <f t="shared" si="42"/>
        <v>0.1111111111</v>
      </c>
      <c r="M159" s="247"/>
    </row>
    <row r="160" ht="15.75" customHeight="1">
      <c r="A160" s="239">
        <v>14.0</v>
      </c>
      <c r="B160" s="249" t="s">
        <v>1569</v>
      </c>
      <c r="C160" s="248" t="s">
        <v>109</v>
      </c>
      <c r="D160" s="216">
        <v>1.5</v>
      </c>
      <c r="E160" s="241" t="str">
        <f>'Daftar Harga'!D142</f>
        <v/>
      </c>
      <c r="F160" s="242" t="str">
        <f t="shared" si="38"/>
        <v/>
      </c>
      <c r="G160" s="186">
        <v>13000.0</v>
      </c>
      <c r="H160" s="243">
        <f t="shared" si="39"/>
        <v>19500</v>
      </c>
      <c r="I160" s="188">
        <v>16000.0</v>
      </c>
      <c r="J160" s="244">
        <f t="shared" si="40"/>
        <v>24000</v>
      </c>
      <c r="K160" s="250">
        <f t="shared" si="41"/>
        <v>4500</v>
      </c>
      <c r="L160" s="251">
        <f t="shared" si="42"/>
        <v>0.2307692308</v>
      </c>
      <c r="M160" s="252"/>
    </row>
    <row r="161" ht="15.75" customHeight="1">
      <c r="A161" s="248">
        <v>15.0</v>
      </c>
      <c r="B161" s="240" t="s">
        <v>1574</v>
      </c>
      <c r="C161" s="239" t="s">
        <v>109</v>
      </c>
      <c r="D161" s="213">
        <v>2.0</v>
      </c>
      <c r="E161" s="241" t="str">
        <f>'Daftar Harga'!D148</f>
        <v/>
      </c>
      <c r="F161" s="242" t="str">
        <f t="shared" si="38"/>
        <v/>
      </c>
      <c r="G161" s="186">
        <v>11000.0</v>
      </c>
      <c r="H161" s="243">
        <f t="shared" si="39"/>
        <v>22000</v>
      </c>
      <c r="I161" s="188">
        <v>15000.0</v>
      </c>
      <c r="J161" s="244">
        <f t="shared" si="40"/>
        <v>30000</v>
      </c>
      <c r="K161" s="245">
        <f t="shared" si="41"/>
        <v>8000</v>
      </c>
      <c r="L161" s="246">
        <f t="shared" si="42"/>
        <v>0.3636363636</v>
      </c>
      <c r="M161" s="247"/>
    </row>
    <row r="162" ht="15.75" customHeight="1">
      <c r="A162" s="248">
        <v>16.0</v>
      </c>
      <c r="B162" s="240" t="s">
        <v>1152</v>
      </c>
      <c r="C162" s="239" t="s">
        <v>69</v>
      </c>
      <c r="D162" s="213">
        <v>1980.0</v>
      </c>
      <c r="E162" s="241" t="str">
        <f>'Daftar Harga'!D159</f>
        <v/>
      </c>
      <c r="F162" s="242" t="str">
        <f t="shared" si="38"/>
        <v/>
      </c>
      <c r="G162" s="186">
        <v>1650.0</v>
      </c>
      <c r="H162" s="243">
        <f t="shared" si="39"/>
        <v>3267000</v>
      </c>
      <c r="I162" s="188">
        <v>2000.0</v>
      </c>
      <c r="J162" s="244">
        <f t="shared" si="40"/>
        <v>3960000</v>
      </c>
      <c r="K162" s="245">
        <f t="shared" si="41"/>
        <v>693000</v>
      </c>
      <c r="L162" s="246">
        <f t="shared" si="42"/>
        <v>0.2121212121</v>
      </c>
      <c r="M162" s="247"/>
    </row>
    <row r="163" ht="15.75" customHeight="1">
      <c r="A163" s="239">
        <v>17.0</v>
      </c>
      <c r="B163" s="249" t="s">
        <v>1595</v>
      </c>
      <c r="C163" s="248" t="s">
        <v>109</v>
      </c>
      <c r="D163" s="216">
        <v>1.0</v>
      </c>
      <c r="E163" s="241" t="str">
        <f>'Daftar Harga'!D170</f>
        <v/>
      </c>
      <c r="F163" s="242" t="str">
        <f t="shared" si="38"/>
        <v/>
      </c>
      <c r="G163" s="186">
        <v>12000.0</v>
      </c>
      <c r="H163" s="243">
        <f t="shared" si="39"/>
        <v>12000</v>
      </c>
      <c r="I163" s="188">
        <v>15000.0</v>
      </c>
      <c r="J163" s="244">
        <f t="shared" si="40"/>
        <v>15000</v>
      </c>
      <c r="K163" s="250">
        <f t="shared" si="41"/>
        <v>3000</v>
      </c>
      <c r="L163" s="251">
        <f t="shared" si="42"/>
        <v>0.25</v>
      </c>
      <c r="M163" s="252"/>
    </row>
    <row r="164" ht="15.75" customHeight="1">
      <c r="A164" s="248">
        <v>18.0</v>
      </c>
      <c r="B164" s="249" t="s">
        <v>2122</v>
      </c>
      <c r="C164" s="248" t="s">
        <v>109</v>
      </c>
      <c r="D164" s="216">
        <v>12.0</v>
      </c>
      <c r="E164" s="241" t="str">
        <f>'Daftar Harga'!D181</f>
        <v/>
      </c>
      <c r="F164" s="242" t="str">
        <f t="shared" si="38"/>
        <v/>
      </c>
      <c r="G164" s="186">
        <v>25000.0</v>
      </c>
      <c r="H164" s="243">
        <f t="shared" si="39"/>
        <v>300000</v>
      </c>
      <c r="I164" s="188">
        <v>28000.0</v>
      </c>
      <c r="J164" s="244">
        <f t="shared" si="40"/>
        <v>336000</v>
      </c>
      <c r="K164" s="250">
        <f t="shared" si="41"/>
        <v>36000</v>
      </c>
      <c r="L164" s="251">
        <f t="shared" si="42"/>
        <v>0.12</v>
      </c>
      <c r="M164" s="252"/>
    </row>
    <row r="165" ht="15.75" customHeight="1">
      <c r="A165" s="248">
        <v>19.0</v>
      </c>
      <c r="B165" s="240" t="s">
        <v>1601</v>
      </c>
      <c r="C165" s="239" t="s">
        <v>69</v>
      </c>
      <c r="D165" s="213">
        <v>56.0</v>
      </c>
      <c r="E165" s="241" t="str">
        <f>'Daftar Harga'!D183</f>
        <v/>
      </c>
      <c r="F165" s="242" t="str">
        <f t="shared" si="38"/>
        <v/>
      </c>
      <c r="G165" s="199">
        <v>12000.0</v>
      </c>
      <c r="H165" s="243">
        <f t="shared" si="39"/>
        <v>672000</v>
      </c>
      <c r="I165" s="188">
        <v>14000.0</v>
      </c>
      <c r="J165" s="244">
        <f t="shared" si="40"/>
        <v>784000</v>
      </c>
      <c r="K165" s="245">
        <f t="shared" si="41"/>
        <v>112000</v>
      </c>
      <c r="L165" s="246">
        <f t="shared" si="42"/>
        <v>0.1666666667</v>
      </c>
      <c r="M165" s="247"/>
    </row>
    <row r="166" ht="15.75" customHeight="1">
      <c r="A166" s="239">
        <v>20.0</v>
      </c>
      <c r="B166" s="249" t="s">
        <v>1605</v>
      </c>
      <c r="C166" s="248" t="s">
        <v>109</v>
      </c>
      <c r="D166" s="216">
        <v>9.0</v>
      </c>
      <c r="E166" s="241" t="str">
        <f>'Daftar Harga'!D187</f>
        <v/>
      </c>
      <c r="F166" s="242" t="str">
        <f t="shared" si="38"/>
        <v/>
      </c>
      <c r="G166" s="186">
        <v>11250.0</v>
      </c>
      <c r="H166" s="243">
        <f t="shared" si="39"/>
        <v>101250</v>
      </c>
      <c r="I166" s="188">
        <v>12000.0</v>
      </c>
      <c r="J166" s="244">
        <f t="shared" si="40"/>
        <v>108000</v>
      </c>
      <c r="K166" s="250">
        <f t="shared" si="41"/>
        <v>6750</v>
      </c>
      <c r="L166" s="251">
        <f t="shared" si="42"/>
        <v>0.06666666667</v>
      </c>
      <c r="M166" s="252"/>
    </row>
    <row r="167" ht="15.75" customHeight="1">
      <c r="A167" s="248">
        <v>21.0</v>
      </c>
      <c r="B167" s="240" t="s">
        <v>1607</v>
      </c>
      <c r="C167" s="239" t="s">
        <v>109</v>
      </c>
      <c r="D167" s="213">
        <v>30.0</v>
      </c>
      <c r="E167" s="241" t="str">
        <f>'Daftar Harga'!D189</f>
        <v/>
      </c>
      <c r="F167" s="242" t="str">
        <f t="shared" si="38"/>
        <v/>
      </c>
      <c r="G167" s="186">
        <v>8000.0</v>
      </c>
      <c r="H167" s="243">
        <f t="shared" si="39"/>
        <v>240000</v>
      </c>
      <c r="I167" s="188">
        <v>12000.0</v>
      </c>
      <c r="J167" s="244">
        <f t="shared" si="40"/>
        <v>360000</v>
      </c>
      <c r="K167" s="245">
        <f t="shared" si="41"/>
        <v>120000</v>
      </c>
      <c r="L167" s="246">
        <f t="shared" si="42"/>
        <v>0.5</v>
      </c>
      <c r="M167" s="247"/>
    </row>
    <row r="168" ht="15.75" customHeight="1">
      <c r="A168" s="248">
        <v>22.0</v>
      </c>
      <c r="B168" s="249" t="s">
        <v>1608</v>
      </c>
      <c r="C168" s="248" t="s">
        <v>109</v>
      </c>
      <c r="D168" s="216">
        <v>31.0</v>
      </c>
      <c r="E168" s="241" t="str">
        <f>'Daftar Harga'!D190</f>
        <v/>
      </c>
      <c r="F168" s="242" t="str">
        <f t="shared" si="38"/>
        <v/>
      </c>
      <c r="G168" s="186">
        <v>12000.0</v>
      </c>
      <c r="H168" s="263">
        <f t="shared" si="39"/>
        <v>372000</v>
      </c>
      <c r="I168" s="188">
        <v>16000.0</v>
      </c>
      <c r="J168" s="264">
        <f t="shared" si="40"/>
        <v>496000</v>
      </c>
      <c r="K168" s="250">
        <f t="shared" si="41"/>
        <v>124000</v>
      </c>
      <c r="L168" s="251">
        <f t="shared" si="42"/>
        <v>0.3333333333</v>
      </c>
      <c r="M168" s="252"/>
    </row>
    <row r="169" ht="15.75" customHeight="1">
      <c r="A169" s="256" t="s">
        <v>1666</v>
      </c>
      <c r="B169" s="206"/>
      <c r="C169" s="206"/>
      <c r="D169" s="174"/>
      <c r="E169" s="257"/>
      <c r="F169" s="258">
        <f>SUMIF(F147:F168,"&lt;&gt;",F147:F168)</f>
        <v>1978500</v>
      </c>
      <c r="G169" s="259"/>
      <c r="H169" s="260">
        <f>SUMIF(H147:H168,"&lt;&gt;",H147:H168)</f>
        <v>15109250</v>
      </c>
      <c r="I169" s="265"/>
      <c r="J169" s="260">
        <f>SUMIF(J147:J168,"&lt;&gt;",J147:J168)</f>
        <v>17778000</v>
      </c>
      <c r="K169" s="261">
        <f t="shared" si="41"/>
        <v>2668750</v>
      </c>
      <c r="L169" s="262">
        <f t="shared" si="42"/>
        <v>0.17663021</v>
      </c>
      <c r="M169" s="257"/>
    </row>
    <row r="170" ht="15.75" customHeight="1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</row>
    <row r="171" ht="15.75" customHeight="1">
      <c r="A171" s="269"/>
      <c r="C171" s="228" t="s">
        <v>1667</v>
      </c>
      <c r="D171" s="155"/>
      <c r="E171" s="155"/>
      <c r="F171" s="155"/>
      <c r="G171" s="155"/>
      <c r="H171" s="155"/>
      <c r="I171" s="155"/>
      <c r="J171" s="155"/>
      <c r="K171" s="155"/>
      <c r="L171" s="155"/>
      <c r="M171" s="269"/>
    </row>
    <row r="172" ht="15.75" customHeight="1">
      <c r="A172" s="229" t="s">
        <v>1509</v>
      </c>
      <c r="B172" s="229" t="s">
        <v>1510</v>
      </c>
      <c r="C172" s="229" t="s">
        <v>1511</v>
      </c>
      <c r="D172" s="229" t="s">
        <v>1614</v>
      </c>
      <c r="E172" s="230" t="s">
        <v>1615</v>
      </c>
      <c r="F172" s="174"/>
      <c r="G172" s="231" t="s">
        <v>1616</v>
      </c>
      <c r="H172" s="174"/>
      <c r="I172" s="232" t="s">
        <v>1617</v>
      </c>
      <c r="J172" s="174"/>
      <c r="K172" s="233" t="s">
        <v>1618</v>
      </c>
      <c r="L172" s="174"/>
      <c r="M172" s="229" t="s">
        <v>1619</v>
      </c>
    </row>
    <row r="173" ht="15.75" customHeight="1">
      <c r="A173" s="234" t="s">
        <v>1509</v>
      </c>
      <c r="B173" s="234" t="s">
        <v>1510</v>
      </c>
      <c r="C173" s="234" t="s">
        <v>1511</v>
      </c>
      <c r="D173" s="234" t="s">
        <v>1614</v>
      </c>
      <c r="E173" s="235" t="s">
        <v>1620</v>
      </c>
      <c r="F173" s="235" t="s">
        <v>1621</v>
      </c>
      <c r="G173" s="236" t="s">
        <v>1622</v>
      </c>
      <c r="H173" s="236" t="s">
        <v>1623</v>
      </c>
      <c r="I173" s="237" t="s">
        <v>1624</v>
      </c>
      <c r="J173" s="237" t="s">
        <v>1625</v>
      </c>
      <c r="K173" s="238" t="s">
        <v>1626</v>
      </c>
      <c r="L173" s="238" t="s">
        <v>1627</v>
      </c>
      <c r="M173" s="234" t="s">
        <v>1619</v>
      </c>
    </row>
    <row r="174" ht="15.75" customHeight="1">
      <c r="A174" s="248">
        <v>1.0</v>
      </c>
      <c r="B174" s="249" t="s">
        <v>2123</v>
      </c>
      <c r="C174" s="248" t="s">
        <v>69</v>
      </c>
      <c r="D174" s="270">
        <v>1332.0</v>
      </c>
      <c r="E174" s="267"/>
      <c r="F174" s="268" t="str">
        <f t="shared" ref="F174:F176" si="43">IF(E174&lt;&gt;"",D174*E174,"")</f>
        <v/>
      </c>
      <c r="G174" s="186">
        <v>3250.0</v>
      </c>
      <c r="H174" s="243">
        <f t="shared" ref="H174:H176" si="44">IF(G174&lt;&gt;"",D174*G174,"")</f>
        <v>4329000</v>
      </c>
      <c r="I174" s="188">
        <v>3600.0</v>
      </c>
      <c r="J174" s="244">
        <f t="shared" ref="J174:J176" si="45">IF(I174&lt;&gt;"",D174*I174,"")</f>
        <v>4795200</v>
      </c>
      <c r="K174" s="245">
        <f t="shared" ref="K174:K177" si="46">IF(J174&lt;&gt;"",IF(H174&lt;&gt;"",J174-H174,IF(F174&lt;&gt;"",J174-F174,"")),"")</f>
        <v>466200</v>
      </c>
      <c r="L174" s="246">
        <f t="shared" ref="L174:L177" si="47">IF(K174&lt;&gt;"",IF(H174&lt;&gt;"",IF(H174&lt;&gt;0,K174/H174,""),IF(F174&lt;&gt;"",IF(F174&lt;&gt;0,K174/F174,""),"")),"")</f>
        <v>0.1076923077</v>
      </c>
      <c r="M174" s="252"/>
    </row>
    <row r="175" ht="15.75" customHeight="1">
      <c r="A175" s="239">
        <v>2.0</v>
      </c>
      <c r="B175" s="249" t="s">
        <v>1517</v>
      </c>
      <c r="C175" s="239" t="s">
        <v>109</v>
      </c>
      <c r="D175" s="271">
        <v>153.0</v>
      </c>
      <c r="E175" s="267"/>
      <c r="F175" s="268" t="str">
        <f t="shared" si="43"/>
        <v/>
      </c>
      <c r="G175" s="186">
        <v>37000.0</v>
      </c>
      <c r="H175" s="263">
        <f t="shared" si="44"/>
        <v>5661000</v>
      </c>
      <c r="I175" s="188">
        <v>38500.0</v>
      </c>
      <c r="J175" s="244">
        <f t="shared" si="45"/>
        <v>5890500</v>
      </c>
      <c r="K175" s="245">
        <f t="shared" si="46"/>
        <v>229500</v>
      </c>
      <c r="L175" s="246">
        <f t="shared" si="47"/>
        <v>0.04054054054</v>
      </c>
      <c r="M175" s="247"/>
    </row>
    <row r="176" ht="15.75" customHeight="1">
      <c r="A176" s="338">
        <v>3.0</v>
      </c>
      <c r="B176" s="337" t="s">
        <v>2124</v>
      </c>
      <c r="C176" s="338" t="s">
        <v>109</v>
      </c>
      <c r="D176" s="417">
        <v>11.0</v>
      </c>
      <c r="E176" s="267"/>
      <c r="F176" s="268" t="str">
        <f t="shared" si="43"/>
        <v/>
      </c>
      <c r="G176" s="418">
        <v>65000.0</v>
      </c>
      <c r="H176" s="263">
        <f t="shared" si="44"/>
        <v>715000</v>
      </c>
      <c r="I176" s="419">
        <v>69000.0</v>
      </c>
      <c r="J176" s="264">
        <f t="shared" si="45"/>
        <v>759000</v>
      </c>
      <c r="K176" s="245">
        <f t="shared" si="46"/>
        <v>44000</v>
      </c>
      <c r="L176" s="246">
        <f t="shared" si="47"/>
        <v>0.06153846154</v>
      </c>
      <c r="M176" s="247"/>
    </row>
    <row r="177" ht="15.75" customHeight="1">
      <c r="A177" s="272" t="s">
        <v>1670</v>
      </c>
      <c r="B177" s="206"/>
      <c r="C177" s="206"/>
      <c r="D177" s="174"/>
      <c r="E177" s="257"/>
      <c r="F177" s="258">
        <f>SUMIF(F174:F176,"&lt;&gt;",F174:F176)</f>
        <v>0</v>
      </c>
      <c r="G177" s="317"/>
      <c r="H177" s="260">
        <f>SUMIF(H174:H176,"&lt;&gt;",H174:H176)</f>
        <v>10705000</v>
      </c>
      <c r="I177" s="322"/>
      <c r="J177" s="260">
        <f>SUMIF(J174:J176,"&lt;&gt;",J174:J176)</f>
        <v>11444700</v>
      </c>
      <c r="K177" s="261">
        <f t="shared" si="46"/>
        <v>739700</v>
      </c>
      <c r="L177" s="262">
        <f t="shared" si="47"/>
        <v>0.06909855208</v>
      </c>
      <c r="M177" s="257"/>
    </row>
    <row r="178" ht="15.75" customHeight="1"/>
    <row r="179" ht="15.75" customHeight="1">
      <c r="A179" s="228" t="s">
        <v>2029</v>
      </c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6"/>
    </row>
    <row r="180" ht="15.75" customHeight="1">
      <c r="A180" s="229" t="s">
        <v>1509</v>
      </c>
      <c r="B180" s="229" t="s">
        <v>1510</v>
      </c>
      <c r="C180" s="229" t="s">
        <v>1511</v>
      </c>
      <c r="D180" s="229" t="s">
        <v>1614</v>
      </c>
      <c r="E180" s="230" t="s">
        <v>1615</v>
      </c>
      <c r="F180" s="174"/>
      <c r="G180" s="231" t="s">
        <v>1616</v>
      </c>
      <c r="H180" s="174"/>
      <c r="I180" s="232" t="s">
        <v>1617</v>
      </c>
      <c r="J180" s="174"/>
      <c r="K180" s="233" t="s">
        <v>1618</v>
      </c>
      <c r="L180" s="174"/>
      <c r="M180" s="229" t="s">
        <v>1619</v>
      </c>
    </row>
    <row r="181" ht="15.75" customHeight="1">
      <c r="A181" s="234" t="s">
        <v>1509</v>
      </c>
      <c r="B181" s="234" t="s">
        <v>1510</v>
      </c>
      <c r="C181" s="234" t="s">
        <v>1511</v>
      </c>
      <c r="D181" s="234" t="s">
        <v>1614</v>
      </c>
      <c r="E181" s="235" t="s">
        <v>1620</v>
      </c>
      <c r="F181" s="235" t="s">
        <v>1621</v>
      </c>
      <c r="G181" s="236" t="s">
        <v>1622</v>
      </c>
      <c r="H181" s="236" t="s">
        <v>1623</v>
      </c>
      <c r="I181" s="237" t="s">
        <v>1624</v>
      </c>
      <c r="J181" s="237" t="s">
        <v>1625</v>
      </c>
      <c r="K181" s="238" t="s">
        <v>1626</v>
      </c>
      <c r="L181" s="238" t="s">
        <v>1627</v>
      </c>
      <c r="M181" s="234" t="s">
        <v>1619</v>
      </c>
    </row>
    <row r="182" ht="15.75" customHeight="1">
      <c r="A182" s="239">
        <v>1.0</v>
      </c>
      <c r="B182" s="240" t="s">
        <v>1116</v>
      </c>
      <c r="C182" s="239" t="s">
        <v>109</v>
      </c>
      <c r="D182" s="213">
        <v>170.0</v>
      </c>
      <c r="E182" s="241" t="str">
        <f>'Daftar Harga'!D184</f>
        <v/>
      </c>
      <c r="F182" s="242" t="str">
        <f t="shared" ref="F182:F195" si="48">IF(E182&lt;&gt;"",D182*E182,"")</f>
        <v/>
      </c>
      <c r="G182" s="186">
        <v>31000.0</v>
      </c>
      <c r="H182" s="243">
        <f t="shared" ref="H182:H195" si="49">IF(G182&lt;&gt;"",D182*G182,"")</f>
        <v>5270000</v>
      </c>
      <c r="I182" s="188">
        <v>38000.0</v>
      </c>
      <c r="J182" s="244">
        <f t="shared" ref="J182:J195" si="50">IF(I182&lt;&gt;"",D182*I182,"")</f>
        <v>6460000</v>
      </c>
      <c r="K182" s="245">
        <f t="shared" ref="K182:K196" si="51">IF(J182&lt;&gt;"",IF(H182&lt;&gt;"",J182-H182,IF(F182&lt;&gt;"",J182-F182,"")),"")</f>
        <v>1190000</v>
      </c>
      <c r="L182" s="246">
        <f t="shared" ref="L182:L196" si="52">IF(K182&lt;&gt;"",IF(H182&lt;&gt;"",IF(H182&lt;&gt;0,K182/H182,""),IF(F182&lt;&gt;"",IF(F182&lt;&gt;0,K182/F182,""),"")),"")</f>
        <v>0.2258064516</v>
      </c>
      <c r="M182" s="247"/>
    </row>
    <row r="183" ht="15.75" customHeight="1">
      <c r="A183" s="248">
        <v>2.0</v>
      </c>
      <c r="B183" s="249" t="s">
        <v>1813</v>
      </c>
      <c r="C183" s="248" t="s">
        <v>109</v>
      </c>
      <c r="D183" s="216">
        <v>2.0</v>
      </c>
      <c r="E183" s="241" t="str">
        <f>'Daftar Harga'!D189</f>
        <v/>
      </c>
      <c r="F183" s="242" t="str">
        <f t="shared" si="48"/>
        <v/>
      </c>
      <c r="G183" s="186">
        <v>70000.0</v>
      </c>
      <c r="H183" s="243">
        <f t="shared" si="49"/>
        <v>140000</v>
      </c>
      <c r="I183" s="188">
        <v>90000.0</v>
      </c>
      <c r="J183" s="244">
        <f t="shared" si="50"/>
        <v>180000</v>
      </c>
      <c r="K183" s="250">
        <f t="shared" si="51"/>
        <v>40000</v>
      </c>
      <c r="L183" s="251">
        <f t="shared" si="52"/>
        <v>0.2857142857</v>
      </c>
      <c r="M183" s="252"/>
    </row>
    <row r="184" ht="15.75" customHeight="1">
      <c r="A184" s="239">
        <v>3.0</v>
      </c>
      <c r="B184" s="240" t="s">
        <v>2125</v>
      </c>
      <c r="C184" s="239" t="s">
        <v>109</v>
      </c>
      <c r="D184" s="213">
        <v>37.0</v>
      </c>
      <c r="E184" s="241" t="str">
        <f>'Daftar Harga'!D193</f>
        <v/>
      </c>
      <c r="F184" s="242" t="str">
        <f t="shared" si="48"/>
        <v/>
      </c>
      <c r="G184" s="186">
        <v>15000.0</v>
      </c>
      <c r="H184" s="243">
        <f t="shared" si="49"/>
        <v>555000</v>
      </c>
      <c r="I184" s="188">
        <v>15700.0</v>
      </c>
      <c r="J184" s="244">
        <f t="shared" si="50"/>
        <v>580900</v>
      </c>
      <c r="K184" s="245">
        <f t="shared" si="51"/>
        <v>25900</v>
      </c>
      <c r="L184" s="246">
        <f t="shared" si="52"/>
        <v>0.04666666667</v>
      </c>
      <c r="M184" s="247"/>
    </row>
    <row r="185" ht="15.75" customHeight="1">
      <c r="A185" s="248">
        <v>4.0</v>
      </c>
      <c r="B185" s="249" t="s">
        <v>2121</v>
      </c>
      <c r="C185" s="248" t="s">
        <v>109</v>
      </c>
      <c r="D185" s="216">
        <v>6.0</v>
      </c>
      <c r="E185" s="241" t="str">
        <f>'Daftar Harga'!D200</f>
        <v/>
      </c>
      <c r="F185" s="242" t="str">
        <f t="shared" si="48"/>
        <v/>
      </c>
      <c r="G185" s="186">
        <v>75000.0</v>
      </c>
      <c r="H185" s="243">
        <f t="shared" si="49"/>
        <v>450000</v>
      </c>
      <c r="I185" s="188">
        <v>85000.0</v>
      </c>
      <c r="J185" s="244">
        <f t="shared" si="50"/>
        <v>510000</v>
      </c>
      <c r="K185" s="250">
        <f t="shared" si="51"/>
        <v>60000</v>
      </c>
      <c r="L185" s="251">
        <f t="shared" si="52"/>
        <v>0.1333333333</v>
      </c>
      <c r="M185" s="252"/>
    </row>
    <row r="186" ht="15.75" customHeight="1">
      <c r="A186" s="239">
        <v>5.0</v>
      </c>
      <c r="B186" s="240" t="s">
        <v>1655</v>
      </c>
      <c r="C186" s="239" t="s">
        <v>109</v>
      </c>
      <c r="D186" s="213">
        <v>1.0</v>
      </c>
      <c r="E186" s="241" t="str">
        <f>'Daftar Harga'!D207</f>
        <v/>
      </c>
      <c r="F186" s="242" t="str">
        <f t="shared" si="48"/>
        <v/>
      </c>
      <c r="G186" s="186">
        <v>18500.0</v>
      </c>
      <c r="H186" s="243">
        <f t="shared" si="49"/>
        <v>18500</v>
      </c>
      <c r="I186" s="188">
        <v>20000.0</v>
      </c>
      <c r="J186" s="244">
        <f t="shared" si="50"/>
        <v>20000</v>
      </c>
      <c r="K186" s="245">
        <f t="shared" si="51"/>
        <v>1500</v>
      </c>
      <c r="L186" s="246">
        <f t="shared" si="52"/>
        <v>0.08108108108</v>
      </c>
      <c r="M186" s="247"/>
    </row>
    <row r="187" ht="15.75" customHeight="1">
      <c r="A187" s="248">
        <v>6.0</v>
      </c>
      <c r="B187" s="249" t="s">
        <v>1230</v>
      </c>
      <c r="C187" s="248" t="s">
        <v>109</v>
      </c>
      <c r="D187" s="216">
        <v>2.0</v>
      </c>
      <c r="E187" s="241" t="str">
        <f>'Daftar Harga'!D227</f>
        <v/>
      </c>
      <c r="F187" s="242" t="str">
        <f t="shared" si="48"/>
        <v/>
      </c>
      <c r="G187" s="186">
        <v>18000.0</v>
      </c>
      <c r="H187" s="243">
        <f t="shared" si="49"/>
        <v>36000</v>
      </c>
      <c r="I187" s="188">
        <v>20000.0</v>
      </c>
      <c r="J187" s="244">
        <f t="shared" si="50"/>
        <v>40000</v>
      </c>
      <c r="K187" s="250">
        <f t="shared" si="51"/>
        <v>4000</v>
      </c>
      <c r="L187" s="251">
        <f t="shared" si="52"/>
        <v>0.1111111111</v>
      </c>
      <c r="M187" s="252"/>
    </row>
    <row r="188" ht="15.75" customHeight="1">
      <c r="A188" s="239">
        <v>7.0</v>
      </c>
      <c r="B188" s="240" t="s">
        <v>1566</v>
      </c>
      <c r="C188" s="239" t="s">
        <v>109</v>
      </c>
      <c r="D188" s="213">
        <v>2.0</v>
      </c>
      <c r="E188" s="241" t="str">
        <f>'Daftar Harga'!D230</f>
        <v/>
      </c>
      <c r="F188" s="242" t="str">
        <f t="shared" si="48"/>
        <v/>
      </c>
      <c r="G188" s="186">
        <v>110000.0</v>
      </c>
      <c r="H188" s="243">
        <f t="shared" si="49"/>
        <v>220000</v>
      </c>
      <c r="I188" s="188">
        <v>105000.0</v>
      </c>
      <c r="J188" s="244">
        <f t="shared" si="50"/>
        <v>210000</v>
      </c>
      <c r="K188" s="245">
        <f t="shared" si="51"/>
        <v>-10000</v>
      </c>
      <c r="L188" s="246">
        <f t="shared" si="52"/>
        <v>-0.04545454545</v>
      </c>
      <c r="M188" s="247"/>
    </row>
    <row r="189" ht="15.75" customHeight="1">
      <c r="A189" s="248">
        <v>8.0</v>
      </c>
      <c r="B189" s="249" t="s">
        <v>1578</v>
      </c>
      <c r="C189" s="248" t="s">
        <v>1579</v>
      </c>
      <c r="D189" s="216">
        <v>38.0</v>
      </c>
      <c r="E189" s="241" t="str">
        <f>'Daftar Harga'!D242</f>
        <v/>
      </c>
      <c r="F189" s="242" t="str">
        <f t="shared" si="48"/>
        <v/>
      </c>
      <c r="G189" s="186">
        <v>21500.0</v>
      </c>
      <c r="H189" s="243">
        <f t="shared" si="49"/>
        <v>817000</v>
      </c>
      <c r="I189" s="188">
        <v>23000.0</v>
      </c>
      <c r="J189" s="244">
        <f t="shared" si="50"/>
        <v>874000</v>
      </c>
      <c r="K189" s="250">
        <f t="shared" si="51"/>
        <v>57000</v>
      </c>
      <c r="L189" s="251">
        <f t="shared" si="52"/>
        <v>0.06976744186</v>
      </c>
      <c r="M189" s="252"/>
    </row>
    <row r="190" ht="15.75" customHeight="1">
      <c r="A190" s="239">
        <v>9.0</v>
      </c>
      <c r="B190" s="240" t="s">
        <v>2126</v>
      </c>
      <c r="C190" s="239" t="s">
        <v>109</v>
      </c>
      <c r="D190" s="213">
        <v>1.0</v>
      </c>
      <c r="E190" s="241" t="str">
        <f>'Daftar Harga'!D247</f>
        <v/>
      </c>
      <c r="F190" s="242" t="str">
        <f t="shared" si="48"/>
        <v/>
      </c>
      <c r="G190" s="186">
        <v>100000.0</v>
      </c>
      <c r="H190" s="243">
        <f t="shared" si="49"/>
        <v>100000</v>
      </c>
      <c r="I190" s="188">
        <v>120000.0</v>
      </c>
      <c r="J190" s="244">
        <f t="shared" si="50"/>
        <v>120000</v>
      </c>
      <c r="K190" s="245">
        <f t="shared" si="51"/>
        <v>20000</v>
      </c>
      <c r="L190" s="246">
        <f t="shared" si="52"/>
        <v>0.2</v>
      </c>
      <c r="M190" s="247"/>
    </row>
    <row r="191" ht="15.75" customHeight="1">
      <c r="A191" s="248">
        <v>10.0</v>
      </c>
      <c r="B191" s="249" t="s">
        <v>1152</v>
      </c>
      <c r="C191" s="248" t="s">
        <v>69</v>
      </c>
      <c r="D191" s="216">
        <v>1694.0</v>
      </c>
      <c r="E191" s="241" t="str">
        <f>'Daftar Harga'!D250</f>
        <v/>
      </c>
      <c r="F191" s="242" t="str">
        <f t="shared" si="48"/>
        <v/>
      </c>
      <c r="G191" s="186">
        <v>1650.0</v>
      </c>
      <c r="H191" s="243">
        <f t="shared" si="49"/>
        <v>2795100</v>
      </c>
      <c r="I191" s="188">
        <v>2000.0</v>
      </c>
      <c r="J191" s="244">
        <f t="shared" si="50"/>
        <v>3388000</v>
      </c>
      <c r="K191" s="250">
        <f t="shared" si="51"/>
        <v>592900</v>
      </c>
      <c r="L191" s="251">
        <f t="shared" si="52"/>
        <v>0.2121212121</v>
      </c>
      <c r="M191" s="252"/>
    </row>
    <row r="192" ht="15.75" customHeight="1">
      <c r="A192" s="239">
        <v>11.0</v>
      </c>
      <c r="B192" s="240" t="s">
        <v>2127</v>
      </c>
      <c r="C192" s="239" t="s">
        <v>69</v>
      </c>
      <c r="D192" s="213">
        <v>45.0</v>
      </c>
      <c r="E192" s="241" t="str">
        <f>'Daftar Harga'!D268</f>
        <v/>
      </c>
      <c r="F192" s="242" t="str">
        <f t="shared" si="48"/>
        <v/>
      </c>
      <c r="G192" s="186">
        <v>12000.0</v>
      </c>
      <c r="H192" s="243">
        <f t="shared" si="49"/>
        <v>540000</v>
      </c>
      <c r="I192" s="188">
        <v>14000.0</v>
      </c>
      <c r="J192" s="244">
        <f t="shared" si="50"/>
        <v>630000</v>
      </c>
      <c r="K192" s="245">
        <f t="shared" si="51"/>
        <v>90000</v>
      </c>
      <c r="L192" s="246">
        <f t="shared" si="52"/>
        <v>0.1666666667</v>
      </c>
      <c r="M192" s="247"/>
    </row>
    <row r="193" ht="15.75" customHeight="1">
      <c r="A193" s="248">
        <v>12.0</v>
      </c>
      <c r="B193" s="249" t="s">
        <v>1605</v>
      </c>
      <c r="C193" s="248" t="s">
        <v>109</v>
      </c>
      <c r="D193" s="216">
        <v>39.0</v>
      </c>
      <c r="E193" s="241" t="str">
        <f>'Daftar Harga'!D278</f>
        <v/>
      </c>
      <c r="F193" s="242" t="str">
        <f t="shared" si="48"/>
        <v/>
      </c>
      <c r="G193" s="186">
        <v>11250.0</v>
      </c>
      <c r="H193" s="243">
        <f t="shared" si="49"/>
        <v>438750</v>
      </c>
      <c r="I193" s="188">
        <v>12000.0</v>
      </c>
      <c r="J193" s="244">
        <f t="shared" si="50"/>
        <v>468000</v>
      </c>
      <c r="K193" s="250">
        <f t="shared" si="51"/>
        <v>29250</v>
      </c>
      <c r="L193" s="251">
        <f t="shared" si="52"/>
        <v>0.06666666667</v>
      </c>
      <c r="M193" s="252"/>
    </row>
    <row r="194" ht="15.75" customHeight="1">
      <c r="A194" s="239">
        <v>13.0</v>
      </c>
      <c r="B194" s="240" t="s">
        <v>1607</v>
      </c>
      <c r="C194" s="239" t="s">
        <v>109</v>
      </c>
      <c r="D194" s="213">
        <v>20.3</v>
      </c>
      <c r="E194" s="241" t="str">
        <f>'Daftar Harga'!D279</f>
        <v/>
      </c>
      <c r="F194" s="242" t="str">
        <f t="shared" si="48"/>
        <v/>
      </c>
      <c r="G194" s="186">
        <v>8000.0</v>
      </c>
      <c r="H194" s="243">
        <f t="shared" si="49"/>
        <v>162400</v>
      </c>
      <c r="I194" s="188">
        <v>12000.0</v>
      </c>
      <c r="J194" s="244">
        <f t="shared" si="50"/>
        <v>243600</v>
      </c>
      <c r="K194" s="245">
        <f t="shared" si="51"/>
        <v>81200</v>
      </c>
      <c r="L194" s="246">
        <f t="shared" si="52"/>
        <v>0.5</v>
      </c>
      <c r="M194" s="247"/>
    </row>
    <row r="195" ht="15.75" customHeight="1">
      <c r="A195" s="248">
        <v>14.0</v>
      </c>
      <c r="B195" s="249" t="s">
        <v>1608</v>
      </c>
      <c r="C195" s="248" t="s">
        <v>109</v>
      </c>
      <c r="D195" s="216">
        <v>25.0</v>
      </c>
      <c r="E195" s="241" t="str">
        <f>'Daftar Harga'!D280</f>
        <v/>
      </c>
      <c r="F195" s="242" t="str">
        <f t="shared" si="48"/>
        <v/>
      </c>
      <c r="G195" s="186">
        <v>12000.0</v>
      </c>
      <c r="H195" s="243">
        <f t="shared" si="49"/>
        <v>300000</v>
      </c>
      <c r="I195" s="188">
        <v>18000.0</v>
      </c>
      <c r="J195" s="264">
        <f t="shared" si="50"/>
        <v>450000</v>
      </c>
      <c r="K195" s="250">
        <f t="shared" si="51"/>
        <v>150000</v>
      </c>
      <c r="L195" s="251">
        <f t="shared" si="52"/>
        <v>0.5</v>
      </c>
      <c r="M195" s="252"/>
    </row>
    <row r="196" ht="15.75" customHeight="1">
      <c r="A196" s="256" t="s">
        <v>1672</v>
      </c>
      <c r="B196" s="206"/>
      <c r="C196" s="206"/>
      <c r="D196" s="174"/>
      <c r="E196" s="257"/>
      <c r="F196" s="258">
        <f>SUMIF(F182:F195,"&lt;&gt;",F182:F195)</f>
        <v>0</v>
      </c>
      <c r="G196" s="257"/>
      <c r="H196" s="258">
        <f>SUMIF(H182:H195,"&lt;&gt;",H182:H195)</f>
        <v>11842750</v>
      </c>
      <c r="I196" s="259"/>
      <c r="J196" s="260">
        <f>SUMIF(J182:J195,"&lt;&gt;",J182:J195)</f>
        <v>14174500</v>
      </c>
      <c r="K196" s="261">
        <f t="shared" si="51"/>
        <v>2331750</v>
      </c>
      <c r="L196" s="262">
        <f t="shared" si="52"/>
        <v>0.1968926136</v>
      </c>
      <c r="M196" s="257"/>
    </row>
    <row r="197" ht="15.75" customHeight="1"/>
    <row r="198" ht="15.75" customHeight="1">
      <c r="A198" s="273" t="s">
        <v>1673</v>
      </c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6"/>
    </row>
    <row r="199" ht="15.75" customHeight="1">
      <c r="A199" s="229" t="s">
        <v>1509</v>
      </c>
      <c r="B199" s="229" t="s">
        <v>1510</v>
      </c>
      <c r="C199" s="229" t="s">
        <v>1511</v>
      </c>
      <c r="D199" s="229" t="s">
        <v>1614</v>
      </c>
      <c r="E199" s="230" t="s">
        <v>1615</v>
      </c>
      <c r="F199" s="174"/>
      <c r="G199" s="231" t="s">
        <v>1616</v>
      </c>
      <c r="H199" s="174"/>
      <c r="I199" s="232" t="s">
        <v>1617</v>
      </c>
      <c r="J199" s="174"/>
      <c r="K199" s="233" t="s">
        <v>1618</v>
      </c>
      <c r="L199" s="174"/>
      <c r="M199" s="229" t="s">
        <v>1619</v>
      </c>
    </row>
    <row r="200" ht="15.75" customHeight="1">
      <c r="A200" s="234" t="s">
        <v>1509</v>
      </c>
      <c r="B200" s="234" t="s">
        <v>1510</v>
      </c>
      <c r="C200" s="234" t="s">
        <v>1511</v>
      </c>
      <c r="D200" s="234" t="s">
        <v>1614</v>
      </c>
      <c r="E200" s="235" t="s">
        <v>1620</v>
      </c>
      <c r="F200" s="235" t="s">
        <v>1621</v>
      </c>
      <c r="G200" s="236" t="s">
        <v>1622</v>
      </c>
      <c r="H200" s="236" t="s">
        <v>1623</v>
      </c>
      <c r="I200" s="237" t="s">
        <v>1624</v>
      </c>
      <c r="J200" s="237" t="s">
        <v>1625</v>
      </c>
      <c r="K200" s="238" t="s">
        <v>1626</v>
      </c>
      <c r="L200" s="238" t="s">
        <v>1627</v>
      </c>
      <c r="M200" s="234" t="s">
        <v>1619</v>
      </c>
    </row>
    <row r="201" ht="15.75" customHeight="1">
      <c r="A201" s="239">
        <v>1.0</v>
      </c>
      <c r="B201" s="275" t="s">
        <v>1527</v>
      </c>
      <c r="C201" s="239" t="s">
        <v>109</v>
      </c>
      <c r="D201" s="254">
        <v>113.0</v>
      </c>
      <c r="E201" s="241" t="str">
        <f>'Daftar Harga'!D203</f>
        <v/>
      </c>
      <c r="F201" s="242" t="str">
        <f t="shared" ref="F201:F217" si="53">IF(E201&lt;&gt;"",D201*E201,"")</f>
        <v/>
      </c>
      <c r="G201" s="199">
        <v>14500.0</v>
      </c>
      <c r="H201" s="243">
        <f t="shared" ref="H201:H217" si="54">IF(G201&lt;&gt;"",D201*G201,"")</f>
        <v>1638500</v>
      </c>
      <c r="I201" s="200">
        <v>15700.0</v>
      </c>
      <c r="J201" s="244">
        <f t="shared" ref="J201:J217" si="55">IF(I201&lt;&gt;"",D201*I201,"")</f>
        <v>1774100</v>
      </c>
      <c r="K201" s="245">
        <f t="shared" ref="K201:K218" si="56">IF(J201&lt;&gt;"",IF(H201&lt;&gt;"",J201-H201,IF(F201&lt;&gt;"",J201-F201,"")),"")</f>
        <v>135600</v>
      </c>
      <c r="L201" s="246">
        <f t="shared" ref="L201:L218" si="57">IF(K201&lt;&gt;"",IF(H201&lt;&gt;"",IF(H201&lt;&gt;0,K201/H201,""),IF(F201&lt;&gt;"",IF(F201&lt;&gt;0,K201/F201,""),"")),"")</f>
        <v>0.08275862069</v>
      </c>
      <c r="M201" s="247"/>
    </row>
    <row r="202" ht="15.75" customHeight="1">
      <c r="A202" s="248">
        <v>2.0</v>
      </c>
      <c r="B202" s="276" t="s">
        <v>1543</v>
      </c>
      <c r="C202" s="248" t="s">
        <v>109</v>
      </c>
      <c r="D202" s="277">
        <v>1.5</v>
      </c>
      <c r="E202" s="241" t="str">
        <f>'Daftar Harga'!D208</f>
        <v/>
      </c>
      <c r="F202" s="242" t="str">
        <f t="shared" si="53"/>
        <v/>
      </c>
      <c r="G202" s="199">
        <v>8000.0</v>
      </c>
      <c r="H202" s="243">
        <f t="shared" si="54"/>
        <v>12000</v>
      </c>
      <c r="I202" s="200">
        <v>10000.0</v>
      </c>
      <c r="J202" s="244">
        <f t="shared" si="55"/>
        <v>15000</v>
      </c>
      <c r="K202" s="250">
        <f t="shared" si="56"/>
        <v>3000</v>
      </c>
      <c r="L202" s="251">
        <f t="shared" si="57"/>
        <v>0.25</v>
      </c>
      <c r="M202" s="252"/>
    </row>
    <row r="203" ht="15.75" customHeight="1">
      <c r="A203" s="239">
        <v>3.0</v>
      </c>
      <c r="B203" s="275" t="s">
        <v>1566</v>
      </c>
      <c r="C203" s="239" t="s">
        <v>109</v>
      </c>
      <c r="D203" s="254">
        <v>2.0</v>
      </c>
      <c r="E203" s="241" t="str">
        <f>'Daftar Harga'!D212</f>
        <v/>
      </c>
      <c r="F203" s="242" t="str">
        <f t="shared" si="53"/>
        <v/>
      </c>
      <c r="G203" s="199">
        <v>95000.0</v>
      </c>
      <c r="H203" s="243">
        <f t="shared" si="54"/>
        <v>190000</v>
      </c>
      <c r="I203" s="200">
        <v>105000.0</v>
      </c>
      <c r="J203" s="244">
        <f t="shared" si="55"/>
        <v>210000</v>
      </c>
      <c r="K203" s="245">
        <f t="shared" si="56"/>
        <v>20000</v>
      </c>
      <c r="L203" s="246">
        <f t="shared" si="57"/>
        <v>0.1052631579</v>
      </c>
      <c r="M203" s="247"/>
    </row>
    <row r="204" ht="15.75" customHeight="1">
      <c r="A204" s="248">
        <v>4.0</v>
      </c>
      <c r="B204" s="276" t="s">
        <v>1655</v>
      </c>
      <c r="C204" s="248" t="s">
        <v>109</v>
      </c>
      <c r="D204" s="277">
        <v>1.0</v>
      </c>
      <c r="E204" s="241" t="str">
        <f>'Daftar Harga'!D219</f>
        <v/>
      </c>
      <c r="F204" s="242" t="str">
        <f t="shared" si="53"/>
        <v/>
      </c>
      <c r="G204" s="199">
        <v>19000.0</v>
      </c>
      <c r="H204" s="243">
        <f t="shared" si="54"/>
        <v>19000</v>
      </c>
      <c r="I204" s="200">
        <v>20000.0</v>
      </c>
      <c r="J204" s="244">
        <f t="shared" si="55"/>
        <v>20000</v>
      </c>
      <c r="K204" s="250">
        <f t="shared" si="56"/>
        <v>1000</v>
      </c>
      <c r="L204" s="251">
        <f t="shared" si="57"/>
        <v>0.05263157895</v>
      </c>
      <c r="M204" s="252"/>
    </row>
    <row r="205" ht="15.75" customHeight="1">
      <c r="A205" s="239">
        <v>5.0</v>
      </c>
      <c r="B205" s="275" t="s">
        <v>1680</v>
      </c>
      <c r="C205" s="239" t="s">
        <v>109</v>
      </c>
      <c r="D205" s="254">
        <v>2.0</v>
      </c>
      <c r="E205" s="241" t="str">
        <f>'Daftar Harga'!D226</f>
        <v/>
      </c>
      <c r="F205" s="242" t="str">
        <f t="shared" si="53"/>
        <v/>
      </c>
      <c r="G205" s="199">
        <v>17000.0</v>
      </c>
      <c r="H205" s="243">
        <f t="shared" si="54"/>
        <v>34000</v>
      </c>
      <c r="I205" s="200">
        <v>22000.0</v>
      </c>
      <c r="J205" s="244">
        <f t="shared" si="55"/>
        <v>44000</v>
      </c>
      <c r="K205" s="245">
        <f t="shared" si="56"/>
        <v>10000</v>
      </c>
      <c r="L205" s="246">
        <f t="shared" si="57"/>
        <v>0.2941176471</v>
      </c>
      <c r="M205" s="247"/>
    </row>
    <row r="206" ht="15.75" customHeight="1">
      <c r="A206" s="248">
        <v>6.0</v>
      </c>
      <c r="B206" s="276" t="s">
        <v>1578</v>
      </c>
      <c r="C206" s="280" t="s">
        <v>1689</v>
      </c>
      <c r="D206" s="277">
        <v>48.0</v>
      </c>
      <c r="E206" s="241" t="str">
        <f>'Daftar Harga'!D246</f>
        <v/>
      </c>
      <c r="F206" s="242" t="str">
        <f t="shared" si="53"/>
        <v/>
      </c>
      <c r="G206" s="199">
        <v>21250.0</v>
      </c>
      <c r="H206" s="243">
        <f t="shared" si="54"/>
        <v>1020000</v>
      </c>
      <c r="I206" s="200">
        <v>24000.0</v>
      </c>
      <c r="J206" s="244">
        <f t="shared" si="55"/>
        <v>1152000</v>
      </c>
      <c r="K206" s="250">
        <f t="shared" si="56"/>
        <v>132000</v>
      </c>
      <c r="L206" s="251">
        <f t="shared" si="57"/>
        <v>0.1294117647</v>
      </c>
      <c r="M206" s="252"/>
    </row>
    <row r="207" ht="15.75" customHeight="1">
      <c r="A207" s="239">
        <v>7.0</v>
      </c>
      <c r="B207" s="275" t="s">
        <v>1400</v>
      </c>
      <c r="C207" s="239" t="s">
        <v>109</v>
      </c>
      <c r="D207" s="254">
        <v>105.0</v>
      </c>
      <c r="E207" s="241" t="str">
        <f>'Daftar Harga'!D249</f>
        <v/>
      </c>
      <c r="F207" s="242" t="str">
        <f t="shared" si="53"/>
        <v/>
      </c>
      <c r="G207" s="199">
        <v>25000.0</v>
      </c>
      <c r="H207" s="243">
        <f t="shared" si="54"/>
        <v>2625000</v>
      </c>
      <c r="I207" s="200">
        <v>28000.0</v>
      </c>
      <c r="J207" s="244">
        <f t="shared" si="55"/>
        <v>2940000</v>
      </c>
      <c r="K207" s="245">
        <f t="shared" si="56"/>
        <v>315000</v>
      </c>
      <c r="L207" s="246">
        <f t="shared" si="57"/>
        <v>0.12</v>
      </c>
      <c r="M207" s="247"/>
    </row>
    <row r="208" ht="15.75" customHeight="1">
      <c r="A208" s="248">
        <v>8.0</v>
      </c>
      <c r="B208" s="276" t="s">
        <v>2127</v>
      </c>
      <c r="C208" s="278" t="s">
        <v>67</v>
      </c>
      <c r="D208" s="277">
        <v>97.0</v>
      </c>
      <c r="E208" s="241" t="str">
        <f>'Daftar Harga'!D261</f>
        <v/>
      </c>
      <c r="F208" s="242" t="str">
        <f t="shared" si="53"/>
        <v/>
      </c>
      <c r="G208" s="199">
        <v>12000.0</v>
      </c>
      <c r="H208" s="243">
        <f t="shared" si="54"/>
        <v>1164000</v>
      </c>
      <c r="I208" s="200">
        <v>14000.0</v>
      </c>
      <c r="J208" s="244">
        <f t="shared" si="55"/>
        <v>1358000</v>
      </c>
      <c r="K208" s="250">
        <f t="shared" si="56"/>
        <v>194000</v>
      </c>
      <c r="L208" s="251">
        <f t="shared" si="57"/>
        <v>0.1666666667</v>
      </c>
      <c r="M208" s="252"/>
    </row>
    <row r="209" ht="15.75" customHeight="1">
      <c r="A209" s="239">
        <v>9.0</v>
      </c>
      <c r="B209" s="275" t="s">
        <v>1712</v>
      </c>
      <c r="C209" s="239" t="s">
        <v>109</v>
      </c>
      <c r="D209" s="254">
        <v>39.8</v>
      </c>
      <c r="E209" s="241" t="str">
        <f>'Daftar Harga'!D266</f>
        <v/>
      </c>
      <c r="F209" s="242" t="str">
        <f t="shared" si="53"/>
        <v/>
      </c>
      <c r="G209" s="199">
        <v>9000.0</v>
      </c>
      <c r="H209" s="243">
        <f t="shared" si="54"/>
        <v>358200</v>
      </c>
      <c r="I209" s="200">
        <v>12000.0</v>
      </c>
      <c r="J209" s="244">
        <f t="shared" si="55"/>
        <v>477600</v>
      </c>
      <c r="K209" s="245">
        <f t="shared" si="56"/>
        <v>119400</v>
      </c>
      <c r="L209" s="246">
        <f t="shared" si="57"/>
        <v>0.3333333333</v>
      </c>
      <c r="M209" s="247"/>
    </row>
    <row r="210" ht="15.75" customHeight="1">
      <c r="A210" s="248">
        <v>10.0</v>
      </c>
      <c r="B210" s="276" t="s">
        <v>1609</v>
      </c>
      <c r="C210" s="239" t="s">
        <v>109</v>
      </c>
      <c r="D210" s="277">
        <v>35.0</v>
      </c>
      <c r="E210" s="241" t="str">
        <f>'Daftar Harga'!D269</f>
        <v/>
      </c>
      <c r="F210" s="242" t="str">
        <f t="shared" si="53"/>
        <v/>
      </c>
      <c r="G210" s="199">
        <v>14000.0</v>
      </c>
      <c r="H210" s="243">
        <f t="shared" si="54"/>
        <v>490000</v>
      </c>
      <c r="I210" s="200">
        <v>18000.0</v>
      </c>
      <c r="J210" s="244">
        <f t="shared" si="55"/>
        <v>630000</v>
      </c>
      <c r="K210" s="250">
        <f t="shared" si="56"/>
        <v>140000</v>
      </c>
      <c r="L210" s="251">
        <f t="shared" si="57"/>
        <v>0.2857142857</v>
      </c>
      <c r="M210" s="252"/>
    </row>
    <row r="211" ht="15.75" customHeight="1">
      <c r="A211" s="239">
        <v>11.0</v>
      </c>
      <c r="B211" s="275" t="s">
        <v>2128</v>
      </c>
      <c r="C211" s="239" t="s">
        <v>109</v>
      </c>
      <c r="D211" s="254">
        <v>92.0</v>
      </c>
      <c r="E211" s="241" t="str">
        <f>'Daftar Harga'!D287</f>
        <v/>
      </c>
      <c r="F211" s="242" t="str">
        <f t="shared" si="53"/>
        <v/>
      </c>
      <c r="G211" s="199">
        <v>34500.0</v>
      </c>
      <c r="H211" s="243">
        <f t="shared" si="54"/>
        <v>3174000</v>
      </c>
      <c r="I211" s="200">
        <v>37000.0</v>
      </c>
      <c r="J211" s="244">
        <f t="shared" si="55"/>
        <v>3404000</v>
      </c>
      <c r="K211" s="245">
        <f t="shared" si="56"/>
        <v>230000</v>
      </c>
      <c r="L211" s="246">
        <f t="shared" si="57"/>
        <v>0.07246376812</v>
      </c>
      <c r="M211" s="247"/>
    </row>
    <row r="212" ht="15.75" customHeight="1">
      <c r="A212" s="248">
        <v>12.0</v>
      </c>
      <c r="B212" s="276" t="s">
        <v>1935</v>
      </c>
      <c r="C212" s="239" t="s">
        <v>109</v>
      </c>
      <c r="D212" s="254">
        <v>3.5</v>
      </c>
      <c r="E212" s="241" t="str">
        <f>'Daftar Harga'!D288</f>
        <v/>
      </c>
      <c r="F212" s="242" t="str">
        <f t="shared" si="53"/>
        <v/>
      </c>
      <c r="G212" s="199">
        <v>32000.0</v>
      </c>
      <c r="H212" s="243">
        <f t="shared" si="54"/>
        <v>112000</v>
      </c>
      <c r="I212" s="200">
        <v>36000.0</v>
      </c>
      <c r="J212" s="244">
        <f t="shared" si="55"/>
        <v>126000</v>
      </c>
      <c r="K212" s="245">
        <f t="shared" si="56"/>
        <v>14000</v>
      </c>
      <c r="L212" s="246">
        <f t="shared" si="57"/>
        <v>0.125</v>
      </c>
      <c r="M212" s="252"/>
    </row>
    <row r="213" ht="15.75" customHeight="1">
      <c r="A213" s="239">
        <v>13.0</v>
      </c>
      <c r="B213" s="276" t="s">
        <v>1934</v>
      </c>
      <c r="C213" s="239" t="s">
        <v>109</v>
      </c>
      <c r="D213" s="254">
        <v>3.0</v>
      </c>
      <c r="E213" s="241" t="str">
        <f>'Daftar Harga'!D289</f>
        <v/>
      </c>
      <c r="F213" s="242" t="str">
        <f t="shared" si="53"/>
        <v/>
      </c>
      <c r="G213" s="199">
        <v>45000.0</v>
      </c>
      <c r="H213" s="243">
        <f t="shared" si="54"/>
        <v>135000</v>
      </c>
      <c r="I213" s="200">
        <v>50000.0</v>
      </c>
      <c r="J213" s="244">
        <f t="shared" si="55"/>
        <v>150000</v>
      </c>
      <c r="K213" s="245">
        <f t="shared" si="56"/>
        <v>15000</v>
      </c>
      <c r="L213" s="246">
        <f t="shared" si="57"/>
        <v>0.1111111111</v>
      </c>
      <c r="M213" s="252"/>
    </row>
    <row r="214" ht="15.75" customHeight="1">
      <c r="A214" s="248">
        <v>14.0</v>
      </c>
      <c r="B214" s="276" t="s">
        <v>1685</v>
      </c>
      <c r="C214" s="239" t="s">
        <v>109</v>
      </c>
      <c r="D214" s="254">
        <v>2.0</v>
      </c>
      <c r="E214" s="241" t="str">
        <f>'Daftar Harga'!D290</f>
        <v/>
      </c>
      <c r="F214" s="242" t="str">
        <f t="shared" si="53"/>
        <v/>
      </c>
      <c r="G214" s="199">
        <v>55000.0</v>
      </c>
      <c r="H214" s="243">
        <f t="shared" si="54"/>
        <v>110000</v>
      </c>
      <c r="I214" s="200">
        <v>70000.0</v>
      </c>
      <c r="J214" s="244">
        <f t="shared" si="55"/>
        <v>140000</v>
      </c>
      <c r="K214" s="245">
        <f t="shared" si="56"/>
        <v>30000</v>
      </c>
      <c r="L214" s="246">
        <f t="shared" si="57"/>
        <v>0.2727272727</v>
      </c>
      <c r="M214" s="252"/>
    </row>
    <row r="215" ht="15.75" customHeight="1">
      <c r="A215" s="239">
        <v>15.0</v>
      </c>
      <c r="B215" s="276" t="s">
        <v>1595</v>
      </c>
      <c r="C215" s="239" t="s">
        <v>109</v>
      </c>
      <c r="D215" s="277">
        <v>1.0</v>
      </c>
      <c r="E215" s="241" t="str">
        <f>'Daftar Harga'!D297</f>
        <v/>
      </c>
      <c r="F215" s="242" t="str">
        <f t="shared" si="53"/>
        <v/>
      </c>
      <c r="G215" s="199">
        <v>10000.0</v>
      </c>
      <c r="H215" s="243">
        <f t="shared" si="54"/>
        <v>10000</v>
      </c>
      <c r="I215" s="200">
        <v>15000.0</v>
      </c>
      <c r="J215" s="244">
        <f t="shared" si="55"/>
        <v>15000</v>
      </c>
      <c r="K215" s="250">
        <f t="shared" si="56"/>
        <v>5000</v>
      </c>
      <c r="L215" s="251">
        <f t="shared" si="57"/>
        <v>0.5</v>
      </c>
      <c r="M215" s="252"/>
    </row>
    <row r="216" ht="15.75" customHeight="1">
      <c r="A216" s="248">
        <v>16.0</v>
      </c>
      <c r="B216" s="275" t="s">
        <v>2117</v>
      </c>
      <c r="C216" s="239" t="s">
        <v>109</v>
      </c>
      <c r="D216" s="254">
        <v>1.0</v>
      </c>
      <c r="E216" s="241" t="str">
        <f>'Daftar Harga'!D298</f>
        <v/>
      </c>
      <c r="F216" s="242" t="str">
        <f t="shared" si="53"/>
        <v/>
      </c>
      <c r="G216" s="199">
        <v>25000.0</v>
      </c>
      <c r="H216" s="243">
        <f t="shared" si="54"/>
        <v>25000</v>
      </c>
      <c r="I216" s="200">
        <v>25000.0</v>
      </c>
      <c r="J216" s="244">
        <f t="shared" si="55"/>
        <v>25000</v>
      </c>
      <c r="K216" s="245">
        <f t="shared" si="56"/>
        <v>0</v>
      </c>
      <c r="L216" s="246">
        <f t="shared" si="57"/>
        <v>0</v>
      </c>
      <c r="M216" s="247"/>
    </row>
    <row r="217" ht="15.75" customHeight="1">
      <c r="A217" s="239">
        <v>17.0</v>
      </c>
      <c r="B217" s="276" t="s">
        <v>2129</v>
      </c>
      <c r="C217" s="239" t="s">
        <v>109</v>
      </c>
      <c r="D217" s="277">
        <v>3.0</v>
      </c>
      <c r="E217" s="241" t="str">
        <f>'Daftar Harga'!D299</f>
        <v/>
      </c>
      <c r="F217" s="242" t="str">
        <f t="shared" si="53"/>
        <v/>
      </c>
      <c r="G217" s="199">
        <v>26000.0</v>
      </c>
      <c r="H217" s="243">
        <f t="shared" si="54"/>
        <v>78000</v>
      </c>
      <c r="I217" s="200">
        <v>28000.0</v>
      </c>
      <c r="J217" s="264">
        <f t="shared" si="55"/>
        <v>84000</v>
      </c>
      <c r="K217" s="250">
        <f t="shared" si="56"/>
        <v>6000</v>
      </c>
      <c r="L217" s="251">
        <f t="shared" si="57"/>
        <v>0.07692307692</v>
      </c>
      <c r="M217" s="252"/>
    </row>
    <row r="218" ht="15.75" customHeight="1">
      <c r="A218" s="272" t="s">
        <v>1682</v>
      </c>
      <c r="B218" s="206"/>
      <c r="C218" s="206"/>
      <c r="D218" s="174"/>
      <c r="E218" s="257"/>
      <c r="F218" s="258">
        <f>SUMIF(F201:F217,"&lt;&gt;",F201:F217)</f>
        <v>0</v>
      </c>
      <c r="G218" s="257"/>
      <c r="H218" s="258">
        <f>SUMIF(H201:H217,"&lt;&gt;",H201:H217)</f>
        <v>11194700</v>
      </c>
      <c r="I218" s="259"/>
      <c r="J218" s="260">
        <f>SUMIF(J201:J217,"&lt;&gt;",J201:J217)</f>
        <v>12564700</v>
      </c>
      <c r="K218" s="261">
        <f t="shared" si="56"/>
        <v>1370000</v>
      </c>
      <c r="L218" s="262">
        <f t="shared" si="57"/>
        <v>0.1223793402</v>
      </c>
      <c r="M218" s="257"/>
    </row>
    <row r="219" ht="15.75" customHeight="1"/>
    <row r="220" ht="15.75" customHeight="1">
      <c r="A220" s="273" t="s">
        <v>1683</v>
      </c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6"/>
    </row>
    <row r="221" ht="15.75" customHeight="1">
      <c r="A221" s="229" t="s">
        <v>1509</v>
      </c>
      <c r="B221" s="229" t="s">
        <v>1510</v>
      </c>
      <c r="C221" s="229" t="s">
        <v>1511</v>
      </c>
      <c r="D221" s="229" t="s">
        <v>1614</v>
      </c>
      <c r="E221" s="230" t="s">
        <v>1615</v>
      </c>
      <c r="F221" s="174"/>
      <c r="G221" s="231" t="s">
        <v>1616</v>
      </c>
      <c r="H221" s="174"/>
      <c r="I221" s="232" t="s">
        <v>1617</v>
      </c>
      <c r="J221" s="174"/>
      <c r="K221" s="233" t="s">
        <v>1618</v>
      </c>
      <c r="L221" s="174"/>
      <c r="M221" s="229" t="s">
        <v>1619</v>
      </c>
    </row>
    <row r="222" ht="15.75" customHeight="1">
      <c r="A222" s="234" t="s">
        <v>1509</v>
      </c>
      <c r="B222" s="234" t="s">
        <v>1510</v>
      </c>
      <c r="C222" s="234" t="s">
        <v>1511</v>
      </c>
      <c r="D222" s="234" t="s">
        <v>1614</v>
      </c>
      <c r="E222" s="235" t="s">
        <v>1620</v>
      </c>
      <c r="F222" s="235" t="s">
        <v>1621</v>
      </c>
      <c r="G222" s="236" t="s">
        <v>1622</v>
      </c>
      <c r="H222" s="236" t="s">
        <v>1623</v>
      </c>
      <c r="I222" s="237" t="s">
        <v>1624</v>
      </c>
      <c r="J222" s="237" t="s">
        <v>1625</v>
      </c>
      <c r="K222" s="238" t="s">
        <v>1626</v>
      </c>
      <c r="L222" s="238" t="s">
        <v>1627</v>
      </c>
      <c r="M222" s="234" t="s">
        <v>1619</v>
      </c>
    </row>
    <row r="223" ht="15.75" customHeight="1">
      <c r="A223" s="239">
        <v>1.0</v>
      </c>
      <c r="B223" s="275" t="s">
        <v>1527</v>
      </c>
      <c r="C223" s="239" t="s">
        <v>109</v>
      </c>
      <c r="D223" s="254">
        <v>100.0</v>
      </c>
      <c r="E223" s="241" t="str">
        <f>'Daftar Harga'!D225</f>
        <v/>
      </c>
      <c r="F223" s="242" t="str">
        <f t="shared" ref="F223:F238" si="58">IF(E223&lt;&gt;"",D223*E223,"")</f>
        <v/>
      </c>
      <c r="G223" s="199">
        <v>14500.0</v>
      </c>
      <c r="H223" s="243">
        <f t="shared" ref="H223:H238" si="59">IF(G223&lt;&gt;"",D223*G223,"")</f>
        <v>1450000</v>
      </c>
      <c r="I223" s="200">
        <v>15700.0</v>
      </c>
      <c r="J223" s="244">
        <f t="shared" ref="J223:J238" si="60">IF(I223&lt;&gt;"",D223*I223,"")</f>
        <v>1570000</v>
      </c>
      <c r="K223" s="245">
        <f t="shared" ref="K223:K239" si="61">IF(J223&lt;&gt;"",IF(H223&lt;&gt;"",J223-H223,IF(F223&lt;&gt;"",J223-F223,"")),"")</f>
        <v>120000</v>
      </c>
      <c r="L223" s="246">
        <f t="shared" ref="L223:L239" si="62">IF(K223&lt;&gt;"",IF(H223&lt;&gt;"",IF(H223&lt;&gt;0,K223/H223,""),IF(F223&lt;&gt;"",IF(F223&lt;&gt;0,K223/F223,""),"")),"")</f>
        <v>0.08275862069</v>
      </c>
      <c r="M223" s="247"/>
    </row>
    <row r="224" ht="15.75" customHeight="1">
      <c r="A224" s="248">
        <v>2.0</v>
      </c>
      <c r="B224" s="276" t="s">
        <v>1543</v>
      </c>
      <c r="C224" s="239" t="s">
        <v>109</v>
      </c>
      <c r="D224" s="277">
        <v>2.0</v>
      </c>
      <c r="E224" s="241" t="str">
        <f>'Daftar Harga'!D230</f>
        <v/>
      </c>
      <c r="F224" s="242" t="str">
        <f t="shared" si="58"/>
        <v/>
      </c>
      <c r="G224" s="199">
        <v>8000.0</v>
      </c>
      <c r="H224" s="243">
        <f t="shared" si="59"/>
        <v>16000</v>
      </c>
      <c r="I224" s="200">
        <v>10000.0</v>
      </c>
      <c r="J224" s="244">
        <f t="shared" si="60"/>
        <v>20000</v>
      </c>
      <c r="K224" s="250">
        <f t="shared" si="61"/>
        <v>4000</v>
      </c>
      <c r="L224" s="251">
        <f t="shared" si="62"/>
        <v>0.25</v>
      </c>
      <c r="M224" s="252"/>
    </row>
    <row r="225" ht="15.75" customHeight="1">
      <c r="A225" s="239">
        <v>3.0</v>
      </c>
      <c r="B225" s="275" t="s">
        <v>2021</v>
      </c>
      <c r="C225" s="239" t="s">
        <v>109</v>
      </c>
      <c r="D225" s="254">
        <v>1.0</v>
      </c>
      <c r="E225" s="241" t="str">
        <f>'Daftar Harga'!D234</f>
        <v/>
      </c>
      <c r="F225" s="242" t="str">
        <f t="shared" si="58"/>
        <v/>
      </c>
      <c r="G225" s="199">
        <v>18500.0</v>
      </c>
      <c r="H225" s="243">
        <f t="shared" si="59"/>
        <v>18500</v>
      </c>
      <c r="I225" s="200">
        <v>20000.0</v>
      </c>
      <c r="J225" s="244">
        <f t="shared" si="60"/>
        <v>20000</v>
      </c>
      <c r="K225" s="245">
        <f t="shared" si="61"/>
        <v>1500</v>
      </c>
      <c r="L225" s="246">
        <f t="shared" si="62"/>
        <v>0.08108108108</v>
      </c>
      <c r="M225" s="247"/>
    </row>
    <row r="226" ht="15.75" customHeight="1">
      <c r="A226" s="248">
        <v>4.0</v>
      </c>
      <c r="B226" s="276" t="s">
        <v>1677</v>
      </c>
      <c r="C226" s="239" t="s">
        <v>109</v>
      </c>
      <c r="D226" s="277">
        <v>1.0</v>
      </c>
      <c r="E226" s="241" t="str">
        <f>'Daftar Harga'!D241</f>
        <v/>
      </c>
      <c r="F226" s="242" t="str">
        <f t="shared" si="58"/>
        <v/>
      </c>
      <c r="G226" s="199">
        <v>48000.0</v>
      </c>
      <c r="H226" s="243">
        <f t="shared" si="59"/>
        <v>48000</v>
      </c>
      <c r="I226" s="200">
        <v>51000.0</v>
      </c>
      <c r="J226" s="244">
        <f t="shared" si="60"/>
        <v>51000</v>
      </c>
      <c r="K226" s="250">
        <f t="shared" si="61"/>
        <v>3000</v>
      </c>
      <c r="L226" s="251">
        <f t="shared" si="62"/>
        <v>0.0625</v>
      </c>
      <c r="M226" s="252"/>
    </row>
    <row r="227" ht="15.75" customHeight="1">
      <c r="A227" s="239">
        <v>5.0</v>
      </c>
      <c r="B227" s="275" t="s">
        <v>1578</v>
      </c>
      <c r="C227" s="239" t="s">
        <v>109</v>
      </c>
      <c r="D227" s="254">
        <v>36.0</v>
      </c>
      <c r="E227" s="241" t="str">
        <f>'Daftar Harga'!D248</f>
        <v/>
      </c>
      <c r="F227" s="242" t="str">
        <f t="shared" si="58"/>
        <v/>
      </c>
      <c r="G227" s="199">
        <v>21500.0</v>
      </c>
      <c r="H227" s="243">
        <f t="shared" si="59"/>
        <v>774000</v>
      </c>
      <c r="I227" s="200">
        <v>24000.0</v>
      </c>
      <c r="J227" s="244">
        <f t="shared" si="60"/>
        <v>864000</v>
      </c>
      <c r="K227" s="245">
        <f t="shared" si="61"/>
        <v>90000</v>
      </c>
      <c r="L227" s="246">
        <f t="shared" si="62"/>
        <v>0.1162790698</v>
      </c>
      <c r="M227" s="247"/>
    </row>
    <row r="228" ht="15.75" customHeight="1">
      <c r="A228" s="248">
        <v>6.0</v>
      </c>
      <c r="B228" s="276" t="s">
        <v>2130</v>
      </c>
      <c r="C228" s="239" t="s">
        <v>109</v>
      </c>
      <c r="D228" s="277">
        <v>170.0</v>
      </c>
      <c r="E228" s="241" t="str">
        <f>'Daftar Harga'!D268</f>
        <v/>
      </c>
      <c r="F228" s="242" t="str">
        <f t="shared" si="58"/>
        <v/>
      </c>
      <c r="G228" s="199">
        <v>30000.0</v>
      </c>
      <c r="H228" s="243">
        <f t="shared" si="59"/>
        <v>5100000</v>
      </c>
      <c r="I228" s="200">
        <v>35000.0</v>
      </c>
      <c r="J228" s="244">
        <f t="shared" si="60"/>
        <v>5950000</v>
      </c>
      <c r="K228" s="250">
        <f t="shared" si="61"/>
        <v>850000</v>
      </c>
      <c r="L228" s="251">
        <f t="shared" si="62"/>
        <v>0.1666666667</v>
      </c>
      <c r="M228" s="252"/>
    </row>
    <row r="229" ht="15.75" customHeight="1">
      <c r="A229" s="239">
        <v>7.0</v>
      </c>
      <c r="B229" s="275" t="s">
        <v>2131</v>
      </c>
      <c r="C229" s="278" t="s">
        <v>69</v>
      </c>
      <c r="D229" s="254">
        <v>1685.0</v>
      </c>
      <c r="E229" s="241" t="str">
        <f>'Daftar Harga'!D271</f>
        <v/>
      </c>
      <c r="F229" s="242" t="str">
        <f t="shared" si="58"/>
        <v/>
      </c>
      <c r="G229" s="199">
        <v>650.0</v>
      </c>
      <c r="H229" s="243">
        <f t="shared" si="59"/>
        <v>1095250</v>
      </c>
      <c r="I229" s="200">
        <v>700.0</v>
      </c>
      <c r="J229" s="244">
        <f t="shared" si="60"/>
        <v>1179500</v>
      </c>
      <c r="K229" s="245">
        <f t="shared" si="61"/>
        <v>84250</v>
      </c>
      <c r="L229" s="246">
        <f t="shared" si="62"/>
        <v>0.07692307692</v>
      </c>
      <c r="M229" s="247"/>
    </row>
    <row r="230" ht="15.75" customHeight="1">
      <c r="A230" s="248">
        <v>8.0</v>
      </c>
      <c r="B230" s="276" t="s">
        <v>1534</v>
      </c>
      <c r="C230" s="239" t="s">
        <v>109</v>
      </c>
      <c r="D230" s="277">
        <v>33.7</v>
      </c>
      <c r="E230" s="241" t="str">
        <f>'Daftar Harga'!D283</f>
        <v/>
      </c>
      <c r="F230" s="242" t="str">
        <f t="shared" si="58"/>
        <v/>
      </c>
      <c r="G230" s="199">
        <v>13000.0</v>
      </c>
      <c r="H230" s="243">
        <f t="shared" si="59"/>
        <v>438100</v>
      </c>
      <c r="I230" s="200">
        <v>17000.0</v>
      </c>
      <c r="J230" s="244">
        <f t="shared" si="60"/>
        <v>572900</v>
      </c>
      <c r="K230" s="250">
        <f t="shared" si="61"/>
        <v>134800</v>
      </c>
      <c r="L230" s="251">
        <f t="shared" si="62"/>
        <v>0.3076923077</v>
      </c>
      <c r="M230" s="252"/>
    </row>
    <row r="231" ht="15.75" customHeight="1">
      <c r="A231" s="239">
        <v>9.0</v>
      </c>
      <c r="B231" s="275" t="s">
        <v>1223</v>
      </c>
      <c r="C231" s="239" t="s">
        <v>109</v>
      </c>
      <c r="D231" s="254">
        <v>25.0</v>
      </c>
      <c r="E231" s="241" t="str">
        <f>'Daftar Harga'!D288</f>
        <v/>
      </c>
      <c r="F231" s="242" t="str">
        <f t="shared" si="58"/>
        <v/>
      </c>
      <c r="G231" s="199">
        <v>22000.0</v>
      </c>
      <c r="H231" s="243">
        <f t="shared" si="59"/>
        <v>550000</v>
      </c>
      <c r="I231" s="200">
        <v>25000.0</v>
      </c>
      <c r="J231" s="244">
        <f t="shared" si="60"/>
        <v>625000</v>
      </c>
      <c r="K231" s="245">
        <f t="shared" si="61"/>
        <v>75000</v>
      </c>
      <c r="L231" s="246">
        <f t="shared" si="62"/>
        <v>0.1363636364</v>
      </c>
      <c r="M231" s="247"/>
    </row>
    <row r="232" ht="15.75" customHeight="1">
      <c r="A232" s="248">
        <v>10.0</v>
      </c>
      <c r="B232" s="276" t="s">
        <v>1112</v>
      </c>
      <c r="C232" s="239" t="s">
        <v>109</v>
      </c>
      <c r="D232" s="277">
        <v>149.0</v>
      </c>
      <c r="E232" s="241" t="str">
        <f>'Daftar Harga'!D291</f>
        <v/>
      </c>
      <c r="F232" s="242" t="str">
        <f t="shared" si="58"/>
        <v/>
      </c>
      <c r="G232" s="199">
        <v>15500.0</v>
      </c>
      <c r="H232" s="243">
        <f t="shared" si="59"/>
        <v>2309500</v>
      </c>
      <c r="I232" s="200">
        <v>17500.0</v>
      </c>
      <c r="J232" s="244">
        <f t="shared" si="60"/>
        <v>2607500</v>
      </c>
      <c r="K232" s="250">
        <f t="shared" si="61"/>
        <v>298000</v>
      </c>
      <c r="L232" s="251">
        <f t="shared" si="62"/>
        <v>0.1290322581</v>
      </c>
      <c r="M232" s="252"/>
    </row>
    <row r="233" ht="15.75" customHeight="1">
      <c r="A233" s="239">
        <v>11.0</v>
      </c>
      <c r="B233" s="275" t="s">
        <v>1934</v>
      </c>
      <c r="C233" s="239" t="s">
        <v>109</v>
      </c>
      <c r="D233" s="254">
        <v>2.0</v>
      </c>
      <c r="E233" s="241" t="str">
        <f>'Daftar Harga'!D309</f>
        <v/>
      </c>
      <c r="F233" s="242" t="str">
        <f t="shared" si="58"/>
        <v/>
      </c>
      <c r="G233" s="199">
        <v>35000.0</v>
      </c>
      <c r="H233" s="243">
        <f t="shared" si="59"/>
        <v>70000</v>
      </c>
      <c r="I233" s="200">
        <v>36000.0</v>
      </c>
      <c r="J233" s="244">
        <f t="shared" si="60"/>
        <v>72000</v>
      </c>
      <c r="K233" s="245">
        <f t="shared" si="61"/>
        <v>2000</v>
      </c>
      <c r="L233" s="246">
        <f t="shared" si="62"/>
        <v>0.02857142857</v>
      </c>
      <c r="M233" s="247"/>
    </row>
    <row r="234" ht="15.75" customHeight="1">
      <c r="A234" s="248">
        <v>12.0</v>
      </c>
      <c r="B234" s="276" t="s">
        <v>1935</v>
      </c>
      <c r="C234" s="239" t="s">
        <v>109</v>
      </c>
      <c r="D234" s="254">
        <v>2.0</v>
      </c>
      <c r="E234" s="241" t="str">
        <f>'Daftar Harga'!D310</f>
        <v/>
      </c>
      <c r="F234" s="242" t="str">
        <f t="shared" si="58"/>
        <v/>
      </c>
      <c r="G234" s="199">
        <v>45000.0</v>
      </c>
      <c r="H234" s="243">
        <f t="shared" si="59"/>
        <v>90000</v>
      </c>
      <c r="I234" s="200">
        <v>47000.0</v>
      </c>
      <c r="J234" s="244">
        <f t="shared" si="60"/>
        <v>94000</v>
      </c>
      <c r="K234" s="245">
        <f t="shared" si="61"/>
        <v>4000</v>
      </c>
      <c r="L234" s="246">
        <f t="shared" si="62"/>
        <v>0.04444444444</v>
      </c>
      <c r="M234" s="252"/>
    </row>
    <row r="235" ht="15.75" customHeight="1">
      <c r="A235" s="239">
        <v>13.0</v>
      </c>
      <c r="B235" s="276" t="s">
        <v>1563</v>
      </c>
      <c r="C235" s="239" t="s">
        <v>109</v>
      </c>
      <c r="D235" s="254">
        <v>3.5</v>
      </c>
      <c r="E235" s="241" t="str">
        <f>'Daftar Harga'!D311</f>
        <v/>
      </c>
      <c r="F235" s="242" t="str">
        <f t="shared" si="58"/>
        <v/>
      </c>
      <c r="G235" s="199">
        <v>46000.0</v>
      </c>
      <c r="H235" s="243">
        <f t="shared" si="59"/>
        <v>161000</v>
      </c>
      <c r="I235" s="200">
        <v>55000.0</v>
      </c>
      <c r="J235" s="244">
        <f t="shared" si="60"/>
        <v>192500</v>
      </c>
      <c r="K235" s="245">
        <f t="shared" si="61"/>
        <v>31500</v>
      </c>
      <c r="L235" s="246">
        <f t="shared" si="62"/>
        <v>0.1956521739</v>
      </c>
      <c r="M235" s="252"/>
    </row>
    <row r="236" ht="15.75" customHeight="1">
      <c r="A236" s="248">
        <v>14.0</v>
      </c>
      <c r="B236" s="276" t="s">
        <v>1685</v>
      </c>
      <c r="C236" s="239" t="s">
        <v>109</v>
      </c>
      <c r="D236" s="254">
        <v>2.0</v>
      </c>
      <c r="E236" s="241" t="str">
        <f>'Daftar Harga'!D312</f>
        <v/>
      </c>
      <c r="F236" s="242" t="str">
        <f t="shared" si="58"/>
        <v/>
      </c>
      <c r="G236" s="199">
        <v>50000.0</v>
      </c>
      <c r="H236" s="243">
        <f t="shared" si="59"/>
        <v>100000</v>
      </c>
      <c r="I236" s="200">
        <v>70000.0</v>
      </c>
      <c r="J236" s="244">
        <f t="shared" si="60"/>
        <v>140000</v>
      </c>
      <c r="K236" s="245">
        <f t="shared" si="61"/>
        <v>40000</v>
      </c>
      <c r="L236" s="246">
        <f t="shared" si="62"/>
        <v>0.4</v>
      </c>
      <c r="M236" s="252"/>
    </row>
    <row r="237" ht="15.75" customHeight="1">
      <c r="A237" s="239">
        <v>15.0</v>
      </c>
      <c r="B237" s="276" t="s">
        <v>2117</v>
      </c>
      <c r="C237" s="239" t="s">
        <v>109</v>
      </c>
      <c r="D237" s="277">
        <v>0.5</v>
      </c>
      <c r="E237" s="241" t="str">
        <f>'Daftar Harga'!D319</f>
        <v/>
      </c>
      <c r="F237" s="242" t="str">
        <f t="shared" si="58"/>
        <v/>
      </c>
      <c r="G237" s="199">
        <v>35000.0</v>
      </c>
      <c r="H237" s="243">
        <f t="shared" si="59"/>
        <v>17500</v>
      </c>
      <c r="I237" s="200">
        <v>35000.0</v>
      </c>
      <c r="J237" s="244">
        <f t="shared" si="60"/>
        <v>17500</v>
      </c>
      <c r="K237" s="250">
        <f t="shared" si="61"/>
        <v>0</v>
      </c>
      <c r="L237" s="251">
        <f t="shared" si="62"/>
        <v>0</v>
      </c>
      <c r="M237" s="252"/>
    </row>
    <row r="238" ht="15.75" customHeight="1">
      <c r="A238" s="248">
        <v>16.0</v>
      </c>
      <c r="B238" s="275" t="s">
        <v>2132</v>
      </c>
      <c r="C238" s="239" t="s">
        <v>109</v>
      </c>
      <c r="D238" s="254">
        <v>2.0</v>
      </c>
      <c r="E238" s="241" t="str">
        <f>'Daftar Harga'!D320</f>
        <v/>
      </c>
      <c r="F238" s="242" t="str">
        <f t="shared" si="58"/>
        <v/>
      </c>
      <c r="G238" s="199">
        <v>60000.0</v>
      </c>
      <c r="H238" s="243">
        <f t="shared" si="59"/>
        <v>120000</v>
      </c>
      <c r="I238" s="200">
        <v>70000.0</v>
      </c>
      <c r="J238" s="244">
        <f t="shared" si="60"/>
        <v>140000</v>
      </c>
      <c r="K238" s="245">
        <f t="shared" si="61"/>
        <v>20000</v>
      </c>
      <c r="L238" s="246">
        <f t="shared" si="62"/>
        <v>0.1666666667</v>
      </c>
      <c r="M238" s="247"/>
    </row>
    <row r="239" ht="15.75" customHeight="1">
      <c r="A239" s="272" t="s">
        <v>1694</v>
      </c>
      <c r="B239" s="206"/>
      <c r="C239" s="206"/>
      <c r="D239" s="174"/>
      <c r="E239" s="257"/>
      <c r="F239" s="258">
        <f>SUMIF(F223:F238,"&lt;&gt;",F223:F238)</f>
        <v>0</v>
      </c>
      <c r="G239" s="257"/>
      <c r="H239" s="258">
        <f>SUMIF(H223:H238,"&lt;&gt;",H223:H238)</f>
        <v>12357850</v>
      </c>
      <c r="I239" s="259"/>
      <c r="J239" s="260">
        <f>SUMIF(J223:J238,"&lt;&gt;",J223:J238)</f>
        <v>14115900</v>
      </c>
      <c r="K239" s="261">
        <f t="shared" si="61"/>
        <v>1758050</v>
      </c>
      <c r="L239" s="262">
        <f t="shared" si="62"/>
        <v>0.1422618012</v>
      </c>
      <c r="M239" s="257"/>
    </row>
    <row r="240" ht="15.75" customHeight="1"/>
    <row r="241" ht="15.75" customHeight="1">
      <c r="A241" s="273" t="s">
        <v>1695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6"/>
    </row>
    <row r="242" ht="15.75" customHeight="1">
      <c r="A242" s="229" t="s">
        <v>1509</v>
      </c>
      <c r="B242" s="229" t="s">
        <v>1510</v>
      </c>
      <c r="C242" s="229" t="s">
        <v>1511</v>
      </c>
      <c r="D242" s="229" t="s">
        <v>1614</v>
      </c>
      <c r="E242" s="230" t="s">
        <v>1615</v>
      </c>
      <c r="F242" s="174"/>
      <c r="G242" s="231" t="s">
        <v>1616</v>
      </c>
      <c r="H242" s="174"/>
      <c r="I242" s="232" t="s">
        <v>1617</v>
      </c>
      <c r="J242" s="174"/>
      <c r="K242" s="233" t="s">
        <v>1618</v>
      </c>
      <c r="L242" s="174"/>
      <c r="M242" s="229" t="s">
        <v>1619</v>
      </c>
    </row>
    <row r="243" ht="15.75" customHeight="1">
      <c r="A243" s="234" t="s">
        <v>1509</v>
      </c>
      <c r="B243" s="234" t="s">
        <v>1510</v>
      </c>
      <c r="C243" s="234" t="s">
        <v>1511</v>
      </c>
      <c r="D243" s="234" t="s">
        <v>1614</v>
      </c>
      <c r="E243" s="235" t="s">
        <v>1620</v>
      </c>
      <c r="F243" s="235" t="s">
        <v>1621</v>
      </c>
      <c r="G243" s="236" t="s">
        <v>1622</v>
      </c>
      <c r="H243" s="236" t="s">
        <v>1623</v>
      </c>
      <c r="I243" s="237" t="s">
        <v>1624</v>
      </c>
      <c r="J243" s="237" t="s">
        <v>1625</v>
      </c>
      <c r="K243" s="238" t="s">
        <v>1626</v>
      </c>
      <c r="L243" s="238" t="s">
        <v>1627</v>
      </c>
      <c r="M243" s="234" t="s">
        <v>1619</v>
      </c>
    </row>
    <row r="244" ht="15.75" customHeight="1">
      <c r="A244" s="239">
        <v>1.0</v>
      </c>
      <c r="B244" s="275" t="s">
        <v>1527</v>
      </c>
      <c r="C244" s="239" t="s">
        <v>109</v>
      </c>
      <c r="D244" s="254">
        <v>100.0</v>
      </c>
      <c r="E244" s="241" t="str">
        <f>'Daftar Harga'!D246</f>
        <v/>
      </c>
      <c r="F244" s="242" t="str">
        <f t="shared" ref="F244:F258" si="63">IF(E244&lt;&gt;"",D244*E244,"")</f>
        <v/>
      </c>
      <c r="G244" s="199">
        <v>14500.0</v>
      </c>
      <c r="H244" s="243">
        <f t="shared" ref="H244:H263" si="64">IF(G244&lt;&gt;"",D244*G244,"")</f>
        <v>1450000</v>
      </c>
      <c r="I244" s="200">
        <v>15700.0</v>
      </c>
      <c r="J244" s="244">
        <f t="shared" ref="J244:J263" si="65">IF(I244&lt;&gt;"",D244*I244,"")</f>
        <v>1570000</v>
      </c>
      <c r="K244" s="245">
        <f t="shared" ref="K244:K264" si="66">IF(J244&lt;&gt;"",IF(H244&lt;&gt;"",J244-H244,IF(F244&lt;&gt;"",J244-F244,"")),"")</f>
        <v>120000</v>
      </c>
      <c r="L244" s="246">
        <f t="shared" ref="L244:L264" si="67">IF(K244&lt;&gt;"",IF(H244&lt;&gt;"",IF(H244&lt;&gt;0,K244/H244,""),IF(F244&lt;&gt;"",IF(F244&lt;&gt;0,K244/F244,""),"")),"")</f>
        <v>0.08275862069</v>
      </c>
      <c r="M244" s="247"/>
    </row>
    <row r="245" ht="15.75" customHeight="1">
      <c r="A245" s="248">
        <v>2.0</v>
      </c>
      <c r="B245" s="276" t="s">
        <v>1543</v>
      </c>
      <c r="C245" s="239" t="s">
        <v>109</v>
      </c>
      <c r="D245" s="277">
        <v>3.0</v>
      </c>
      <c r="E245" s="241" t="str">
        <f>'Daftar Harga'!D251</f>
        <v/>
      </c>
      <c r="F245" s="242" t="str">
        <f t="shared" si="63"/>
        <v/>
      </c>
      <c r="G245" s="199">
        <v>8000.0</v>
      </c>
      <c r="H245" s="243">
        <f t="shared" si="64"/>
        <v>24000</v>
      </c>
      <c r="I245" s="200">
        <v>10000.0</v>
      </c>
      <c r="J245" s="244">
        <f t="shared" si="65"/>
        <v>30000</v>
      </c>
      <c r="K245" s="250">
        <f t="shared" si="66"/>
        <v>6000</v>
      </c>
      <c r="L245" s="251">
        <f t="shared" si="67"/>
        <v>0.25</v>
      </c>
      <c r="M245" s="252"/>
    </row>
    <row r="246" ht="15.75" customHeight="1">
      <c r="A246" s="239">
        <v>3.0</v>
      </c>
      <c r="B246" s="275" t="s">
        <v>1566</v>
      </c>
      <c r="C246" s="239" t="s">
        <v>109</v>
      </c>
      <c r="D246" s="254">
        <v>3.0</v>
      </c>
      <c r="E246" s="241" t="str">
        <f>'Daftar Harga'!D255</f>
        <v/>
      </c>
      <c r="F246" s="242" t="str">
        <f t="shared" si="63"/>
        <v/>
      </c>
      <c r="G246" s="199">
        <v>95000.0</v>
      </c>
      <c r="H246" s="243">
        <f t="shared" si="64"/>
        <v>285000</v>
      </c>
      <c r="I246" s="200">
        <v>105000.0</v>
      </c>
      <c r="J246" s="244">
        <f t="shared" si="65"/>
        <v>315000</v>
      </c>
      <c r="K246" s="245">
        <f t="shared" si="66"/>
        <v>30000</v>
      </c>
      <c r="L246" s="246">
        <f t="shared" si="67"/>
        <v>0.1052631579</v>
      </c>
      <c r="M246" s="247"/>
    </row>
    <row r="247" ht="15.75" customHeight="1">
      <c r="A247" s="248">
        <v>4.0</v>
      </c>
      <c r="B247" s="276" t="s">
        <v>1578</v>
      </c>
      <c r="C247" s="278" t="s">
        <v>1689</v>
      </c>
      <c r="D247" s="277">
        <v>50.0</v>
      </c>
      <c r="E247" s="241" t="str">
        <f>'Daftar Harga'!D262</f>
        <v/>
      </c>
      <c r="F247" s="242" t="str">
        <f t="shared" si="63"/>
        <v/>
      </c>
      <c r="G247" s="199">
        <v>21500.0</v>
      </c>
      <c r="H247" s="243">
        <f t="shared" si="64"/>
        <v>1075000</v>
      </c>
      <c r="I247" s="200">
        <v>23000.0</v>
      </c>
      <c r="J247" s="244">
        <f t="shared" si="65"/>
        <v>1150000</v>
      </c>
      <c r="K247" s="250">
        <f t="shared" si="66"/>
        <v>75000</v>
      </c>
      <c r="L247" s="251">
        <f t="shared" si="67"/>
        <v>0.06976744186</v>
      </c>
      <c r="M247" s="252"/>
    </row>
    <row r="248" ht="15.75" customHeight="1">
      <c r="A248" s="239">
        <v>5.0</v>
      </c>
      <c r="B248" s="275" t="s">
        <v>2021</v>
      </c>
      <c r="C248" s="239" t="s">
        <v>109</v>
      </c>
      <c r="D248" s="254">
        <v>0.5</v>
      </c>
      <c r="E248" s="241" t="str">
        <f>'Daftar Harga'!D269</f>
        <v/>
      </c>
      <c r="F248" s="242" t="str">
        <f t="shared" si="63"/>
        <v/>
      </c>
      <c r="G248" s="199">
        <v>18500.0</v>
      </c>
      <c r="H248" s="243">
        <f t="shared" si="64"/>
        <v>9250</v>
      </c>
      <c r="I248" s="200">
        <v>20000.0</v>
      </c>
      <c r="J248" s="244">
        <f t="shared" si="65"/>
        <v>10000</v>
      </c>
      <c r="K248" s="245">
        <f t="shared" si="66"/>
        <v>750</v>
      </c>
      <c r="L248" s="246">
        <f t="shared" si="67"/>
        <v>0.08108108108</v>
      </c>
      <c r="M248" s="247"/>
    </row>
    <row r="249" ht="15.75" customHeight="1">
      <c r="A249" s="248">
        <v>6.0</v>
      </c>
      <c r="B249" s="276" t="s">
        <v>2133</v>
      </c>
      <c r="C249" s="278" t="s">
        <v>69</v>
      </c>
      <c r="D249" s="277">
        <v>1700.0</v>
      </c>
      <c r="E249" s="241" t="str">
        <f>'Daftar Harga'!D289</f>
        <v/>
      </c>
      <c r="F249" s="242" t="str">
        <f t="shared" si="63"/>
        <v/>
      </c>
      <c r="G249" s="199">
        <v>3500.0</v>
      </c>
      <c r="H249" s="243">
        <f t="shared" si="64"/>
        <v>5950000</v>
      </c>
      <c r="I249" s="200">
        <v>3650.0</v>
      </c>
      <c r="J249" s="244">
        <f t="shared" si="65"/>
        <v>6205000</v>
      </c>
      <c r="K249" s="250">
        <f t="shared" si="66"/>
        <v>255000</v>
      </c>
      <c r="L249" s="251">
        <f t="shared" si="67"/>
        <v>0.04285714286</v>
      </c>
      <c r="M249" s="252"/>
    </row>
    <row r="250" ht="15.75" customHeight="1">
      <c r="A250" s="239">
        <v>7.0</v>
      </c>
      <c r="B250" s="275" t="s">
        <v>2134</v>
      </c>
      <c r="C250" s="278" t="s">
        <v>67</v>
      </c>
      <c r="D250" s="254">
        <v>49.0</v>
      </c>
      <c r="E250" s="241" t="str">
        <f>'Daftar Harga'!D292</f>
        <v/>
      </c>
      <c r="F250" s="242" t="str">
        <f t="shared" si="63"/>
        <v/>
      </c>
      <c r="G250" s="199">
        <v>12000.0</v>
      </c>
      <c r="H250" s="243">
        <f t="shared" si="64"/>
        <v>588000</v>
      </c>
      <c r="I250" s="200">
        <v>14000.0</v>
      </c>
      <c r="J250" s="244">
        <f t="shared" si="65"/>
        <v>686000</v>
      </c>
      <c r="K250" s="245">
        <f t="shared" si="66"/>
        <v>98000</v>
      </c>
      <c r="L250" s="246">
        <f t="shared" si="67"/>
        <v>0.1666666667</v>
      </c>
      <c r="M250" s="247"/>
    </row>
    <row r="251" ht="15.75" customHeight="1">
      <c r="A251" s="248">
        <v>8.0</v>
      </c>
      <c r="B251" s="276" t="s">
        <v>1607</v>
      </c>
      <c r="C251" s="239" t="s">
        <v>109</v>
      </c>
      <c r="D251" s="277">
        <v>25.0</v>
      </c>
      <c r="E251" s="241" t="str">
        <f>'Daftar Harga'!D304</f>
        <v/>
      </c>
      <c r="F251" s="242" t="str">
        <f t="shared" si="63"/>
        <v/>
      </c>
      <c r="G251" s="199">
        <v>7000.0</v>
      </c>
      <c r="H251" s="243">
        <f t="shared" si="64"/>
        <v>175000</v>
      </c>
      <c r="I251" s="200">
        <v>12000.0</v>
      </c>
      <c r="J251" s="244">
        <f t="shared" si="65"/>
        <v>300000</v>
      </c>
      <c r="K251" s="250">
        <f t="shared" si="66"/>
        <v>125000</v>
      </c>
      <c r="L251" s="251">
        <f t="shared" si="67"/>
        <v>0.7142857143</v>
      </c>
      <c r="M251" s="252"/>
    </row>
    <row r="252" ht="15.75" customHeight="1">
      <c r="A252" s="239">
        <v>9.0</v>
      </c>
      <c r="B252" s="275" t="s">
        <v>1608</v>
      </c>
      <c r="C252" s="239" t="s">
        <v>109</v>
      </c>
      <c r="D252" s="254">
        <v>24.0</v>
      </c>
      <c r="E252" s="241" t="str">
        <f>'Daftar Harga'!D309</f>
        <v/>
      </c>
      <c r="F252" s="242" t="str">
        <f t="shared" si="63"/>
        <v/>
      </c>
      <c r="G252" s="199">
        <v>14000.0</v>
      </c>
      <c r="H252" s="243">
        <f t="shared" si="64"/>
        <v>336000</v>
      </c>
      <c r="I252" s="200">
        <v>18000.0</v>
      </c>
      <c r="J252" s="244">
        <f t="shared" si="65"/>
        <v>432000</v>
      </c>
      <c r="K252" s="245">
        <f t="shared" si="66"/>
        <v>96000</v>
      </c>
      <c r="L252" s="246">
        <f t="shared" si="67"/>
        <v>0.2857142857</v>
      </c>
      <c r="M252" s="247"/>
    </row>
    <row r="253" ht="15.75" customHeight="1">
      <c r="A253" s="248">
        <v>10.0</v>
      </c>
      <c r="B253" s="276" t="s">
        <v>1516</v>
      </c>
      <c r="C253" s="239" t="s">
        <v>109</v>
      </c>
      <c r="D253" s="277">
        <v>37.7</v>
      </c>
      <c r="E253" s="241" t="str">
        <f>'Daftar Harga'!D312</f>
        <v/>
      </c>
      <c r="F253" s="242" t="str">
        <f t="shared" si="63"/>
        <v/>
      </c>
      <c r="G253" s="199">
        <v>70000.0</v>
      </c>
      <c r="H253" s="243">
        <f t="shared" si="64"/>
        <v>2639000</v>
      </c>
      <c r="I253" s="200">
        <v>73500.0</v>
      </c>
      <c r="J253" s="244">
        <f t="shared" si="65"/>
        <v>2770950</v>
      </c>
      <c r="K253" s="250">
        <f t="shared" si="66"/>
        <v>131950</v>
      </c>
      <c r="L253" s="251">
        <f t="shared" si="67"/>
        <v>0.05</v>
      </c>
      <c r="M253" s="252"/>
    </row>
    <row r="254" ht="15.75" customHeight="1">
      <c r="A254" s="239">
        <v>11.0</v>
      </c>
      <c r="B254" s="275" t="s">
        <v>1941</v>
      </c>
      <c r="C254" s="239" t="s">
        <v>109</v>
      </c>
      <c r="D254" s="254">
        <v>4.0</v>
      </c>
      <c r="E254" s="241" t="str">
        <f>'Daftar Harga'!D330</f>
        <v/>
      </c>
      <c r="F254" s="242" t="str">
        <f t="shared" si="63"/>
        <v/>
      </c>
      <c r="G254" s="199">
        <v>19000.0</v>
      </c>
      <c r="H254" s="243">
        <f t="shared" si="64"/>
        <v>76000</v>
      </c>
      <c r="I254" s="200">
        <v>25000.0</v>
      </c>
      <c r="J254" s="244">
        <f t="shared" si="65"/>
        <v>100000</v>
      </c>
      <c r="K254" s="245">
        <f t="shared" si="66"/>
        <v>24000</v>
      </c>
      <c r="L254" s="246">
        <f t="shared" si="67"/>
        <v>0.3157894737</v>
      </c>
      <c r="M254" s="247"/>
    </row>
    <row r="255" ht="15.75" customHeight="1">
      <c r="A255" s="248">
        <v>12.0</v>
      </c>
      <c r="B255" s="276" t="s">
        <v>1935</v>
      </c>
      <c r="C255" s="239" t="s">
        <v>109</v>
      </c>
      <c r="D255" s="254">
        <v>2.0</v>
      </c>
      <c r="E255" s="241" t="str">
        <f>'Daftar Harga'!D331</f>
        <v/>
      </c>
      <c r="F255" s="242" t="str">
        <f t="shared" si="63"/>
        <v/>
      </c>
      <c r="G255" s="199">
        <v>45000.0</v>
      </c>
      <c r="H255" s="243">
        <f t="shared" si="64"/>
        <v>90000</v>
      </c>
      <c r="I255" s="200">
        <v>36000.0</v>
      </c>
      <c r="J255" s="244">
        <f t="shared" si="65"/>
        <v>72000</v>
      </c>
      <c r="K255" s="245">
        <f t="shared" si="66"/>
        <v>-18000</v>
      </c>
      <c r="L255" s="246">
        <f t="shared" si="67"/>
        <v>-0.2</v>
      </c>
      <c r="M255" s="252"/>
    </row>
    <row r="256" ht="15.75" customHeight="1">
      <c r="A256" s="239">
        <v>13.0</v>
      </c>
      <c r="B256" s="276" t="s">
        <v>2117</v>
      </c>
      <c r="C256" s="239" t="s">
        <v>109</v>
      </c>
      <c r="D256" s="254">
        <v>0.5</v>
      </c>
      <c r="E256" s="241" t="str">
        <f>'Daftar Harga'!D332</f>
        <v/>
      </c>
      <c r="F256" s="242" t="str">
        <f t="shared" si="63"/>
        <v/>
      </c>
      <c r="G256" s="199">
        <v>35000.0</v>
      </c>
      <c r="H256" s="243">
        <f t="shared" si="64"/>
        <v>17500</v>
      </c>
      <c r="I256" s="200">
        <v>40000.0</v>
      </c>
      <c r="J256" s="244">
        <f t="shared" si="65"/>
        <v>20000</v>
      </c>
      <c r="K256" s="245">
        <f t="shared" si="66"/>
        <v>2500</v>
      </c>
      <c r="L256" s="246">
        <f t="shared" si="67"/>
        <v>0.1428571429</v>
      </c>
      <c r="M256" s="252"/>
    </row>
    <row r="257" ht="15.75" customHeight="1">
      <c r="A257" s="248">
        <v>14.0</v>
      </c>
      <c r="B257" s="276" t="s">
        <v>1685</v>
      </c>
      <c r="C257" s="239" t="s">
        <v>109</v>
      </c>
      <c r="D257" s="254">
        <v>5.5</v>
      </c>
      <c r="E257" s="241" t="str">
        <f>'Daftar Harga'!D333</f>
        <v/>
      </c>
      <c r="F257" s="242" t="str">
        <f t="shared" si="63"/>
        <v/>
      </c>
      <c r="G257" s="199">
        <v>50000.0</v>
      </c>
      <c r="H257" s="243">
        <f t="shared" si="64"/>
        <v>275000</v>
      </c>
      <c r="I257" s="200">
        <v>70000.0</v>
      </c>
      <c r="J257" s="244">
        <f t="shared" si="65"/>
        <v>385000</v>
      </c>
      <c r="K257" s="245">
        <f t="shared" si="66"/>
        <v>110000</v>
      </c>
      <c r="L257" s="246">
        <f t="shared" si="67"/>
        <v>0.4</v>
      </c>
      <c r="M257" s="252"/>
    </row>
    <row r="258" ht="15.75" customHeight="1">
      <c r="A258" s="239">
        <v>15.0</v>
      </c>
      <c r="B258" s="276" t="s">
        <v>1829</v>
      </c>
      <c r="C258" s="239" t="s">
        <v>109</v>
      </c>
      <c r="D258" s="277">
        <v>3.0</v>
      </c>
      <c r="E258" s="241" t="str">
        <f>'Daftar Harga'!D340</f>
        <v/>
      </c>
      <c r="F258" s="242" t="str">
        <f t="shared" si="63"/>
        <v/>
      </c>
      <c r="G258" s="199">
        <v>80000.0</v>
      </c>
      <c r="H258" s="243">
        <f t="shared" si="64"/>
        <v>240000</v>
      </c>
      <c r="I258" s="200">
        <v>85000.0</v>
      </c>
      <c r="J258" s="244">
        <f t="shared" si="65"/>
        <v>255000</v>
      </c>
      <c r="K258" s="250">
        <f t="shared" si="66"/>
        <v>15000</v>
      </c>
      <c r="L258" s="251">
        <f t="shared" si="67"/>
        <v>0.0625</v>
      </c>
      <c r="M258" s="252"/>
    </row>
    <row r="259" ht="15.75" customHeight="1">
      <c r="A259" s="248">
        <v>16.0</v>
      </c>
      <c r="B259" s="275" t="s">
        <v>1563</v>
      </c>
      <c r="C259" s="239" t="s">
        <v>109</v>
      </c>
      <c r="D259" s="254">
        <v>2.0</v>
      </c>
      <c r="E259" s="241"/>
      <c r="F259" s="242"/>
      <c r="G259" s="199">
        <v>46000.0</v>
      </c>
      <c r="H259" s="243">
        <f t="shared" si="64"/>
        <v>92000</v>
      </c>
      <c r="I259" s="200">
        <v>55000.0</v>
      </c>
      <c r="J259" s="244">
        <f t="shared" si="65"/>
        <v>110000</v>
      </c>
      <c r="K259" s="250">
        <f t="shared" si="66"/>
        <v>18000</v>
      </c>
      <c r="L259" s="251">
        <f t="shared" si="67"/>
        <v>0.1956521739</v>
      </c>
      <c r="M259" s="247"/>
    </row>
    <row r="260" ht="15.75" customHeight="1">
      <c r="A260" s="239">
        <v>17.0</v>
      </c>
      <c r="B260" s="275" t="s">
        <v>2135</v>
      </c>
      <c r="C260" s="239" t="s">
        <v>109</v>
      </c>
      <c r="D260" s="254">
        <v>8.0</v>
      </c>
      <c r="E260" s="241"/>
      <c r="F260" s="242"/>
      <c r="G260" s="199">
        <v>14000.0</v>
      </c>
      <c r="H260" s="243">
        <f t="shared" si="64"/>
        <v>112000</v>
      </c>
      <c r="I260" s="200">
        <v>18000.0</v>
      </c>
      <c r="J260" s="244">
        <f t="shared" si="65"/>
        <v>144000</v>
      </c>
      <c r="K260" s="250">
        <f t="shared" si="66"/>
        <v>32000</v>
      </c>
      <c r="L260" s="251">
        <f t="shared" si="67"/>
        <v>0.2857142857</v>
      </c>
      <c r="M260" s="247"/>
    </row>
    <row r="261" ht="15.75" customHeight="1">
      <c r="A261" s="248">
        <v>18.0</v>
      </c>
      <c r="B261" s="275" t="s">
        <v>2136</v>
      </c>
      <c r="C261" s="239" t="s">
        <v>109</v>
      </c>
      <c r="D261" s="254">
        <v>5.0</v>
      </c>
      <c r="E261" s="241"/>
      <c r="F261" s="242"/>
      <c r="G261" s="199">
        <v>25000.0</v>
      </c>
      <c r="H261" s="243">
        <f t="shared" si="64"/>
        <v>125000</v>
      </c>
      <c r="I261" s="200">
        <v>25000.0</v>
      </c>
      <c r="J261" s="244">
        <f t="shared" si="65"/>
        <v>125000</v>
      </c>
      <c r="K261" s="250">
        <f t="shared" si="66"/>
        <v>0</v>
      </c>
      <c r="L261" s="251">
        <f t="shared" si="67"/>
        <v>0</v>
      </c>
      <c r="M261" s="247"/>
    </row>
    <row r="262" ht="15.75" customHeight="1">
      <c r="A262" s="239">
        <v>19.0</v>
      </c>
      <c r="B262" s="275" t="s">
        <v>2137</v>
      </c>
      <c r="C262" s="239" t="s">
        <v>109</v>
      </c>
      <c r="D262" s="254">
        <v>5.0</v>
      </c>
      <c r="E262" s="241"/>
      <c r="F262" s="242"/>
      <c r="G262" s="199">
        <v>5000.0</v>
      </c>
      <c r="H262" s="243">
        <f t="shared" si="64"/>
        <v>25000</v>
      </c>
      <c r="I262" s="200">
        <v>5000.0</v>
      </c>
      <c r="J262" s="244">
        <f t="shared" si="65"/>
        <v>25000</v>
      </c>
      <c r="K262" s="250">
        <f t="shared" si="66"/>
        <v>0</v>
      </c>
      <c r="L262" s="251">
        <f t="shared" si="67"/>
        <v>0</v>
      </c>
      <c r="M262" s="247"/>
    </row>
    <row r="263" ht="15.75" customHeight="1">
      <c r="A263" s="280">
        <v>20.0</v>
      </c>
      <c r="B263" s="275" t="s">
        <v>2138</v>
      </c>
      <c r="C263" s="278" t="s">
        <v>67</v>
      </c>
      <c r="D263" s="254">
        <v>17.0</v>
      </c>
      <c r="E263" s="241" t="str">
        <f>'Daftar Harga'!D341</f>
        <v/>
      </c>
      <c r="F263" s="242" t="str">
        <f>IF(E263&lt;&gt;"",D263*E263,"")</f>
        <v/>
      </c>
      <c r="G263" s="199">
        <v>4000.0</v>
      </c>
      <c r="H263" s="243">
        <f t="shared" si="64"/>
        <v>68000</v>
      </c>
      <c r="I263" s="200">
        <v>4000.0</v>
      </c>
      <c r="J263" s="244">
        <f t="shared" si="65"/>
        <v>68000</v>
      </c>
      <c r="K263" s="250">
        <f t="shared" si="66"/>
        <v>0</v>
      </c>
      <c r="L263" s="251">
        <f t="shared" si="67"/>
        <v>0</v>
      </c>
      <c r="M263" s="247"/>
    </row>
    <row r="264" ht="15.75" customHeight="1">
      <c r="A264" s="272" t="s">
        <v>1698</v>
      </c>
      <c r="B264" s="206"/>
      <c r="C264" s="206"/>
      <c r="D264" s="174"/>
      <c r="E264" s="257"/>
      <c r="F264" s="258">
        <f>SUMIF(F244:F263,"&lt;&gt;",F244:F263)</f>
        <v>0</v>
      </c>
      <c r="G264" s="257"/>
      <c r="H264" s="258">
        <f>SUMIF(H244:H263,"&lt;&gt;",H244:H263)</f>
        <v>13651750</v>
      </c>
      <c r="I264" s="259"/>
      <c r="J264" s="260">
        <f>SUMIF(J244:J263,"&lt;&gt;",J244:J263)</f>
        <v>14772950</v>
      </c>
      <c r="K264" s="261">
        <f t="shared" si="66"/>
        <v>1121200</v>
      </c>
      <c r="L264" s="262">
        <f t="shared" si="67"/>
        <v>0.08212866482</v>
      </c>
      <c r="M264" s="257"/>
    </row>
    <row r="265" ht="15.75" customHeight="1"/>
    <row r="266" ht="15.75" customHeight="1">
      <c r="A266" s="273" t="s">
        <v>1699</v>
      </c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6"/>
    </row>
    <row r="267" ht="15.75" customHeight="1">
      <c r="A267" s="229" t="s">
        <v>1509</v>
      </c>
      <c r="B267" s="229" t="s">
        <v>1510</v>
      </c>
      <c r="C267" s="229" t="s">
        <v>1511</v>
      </c>
      <c r="D267" s="229" t="s">
        <v>1614</v>
      </c>
      <c r="E267" s="230" t="s">
        <v>1615</v>
      </c>
      <c r="F267" s="174"/>
      <c r="G267" s="231" t="s">
        <v>1616</v>
      </c>
      <c r="H267" s="174"/>
      <c r="I267" s="232" t="s">
        <v>1617</v>
      </c>
      <c r="J267" s="174"/>
      <c r="K267" s="233" t="s">
        <v>1618</v>
      </c>
      <c r="L267" s="174"/>
      <c r="M267" s="229" t="s">
        <v>1619</v>
      </c>
    </row>
    <row r="268" ht="15.75" customHeight="1">
      <c r="A268" s="234" t="s">
        <v>1509</v>
      </c>
      <c r="B268" s="234" t="s">
        <v>1510</v>
      </c>
      <c r="C268" s="234" t="s">
        <v>1511</v>
      </c>
      <c r="D268" s="234" t="s">
        <v>1614</v>
      </c>
      <c r="E268" s="235" t="s">
        <v>1620</v>
      </c>
      <c r="F268" s="235" t="s">
        <v>1621</v>
      </c>
      <c r="G268" s="236" t="s">
        <v>1622</v>
      </c>
      <c r="H268" s="236" t="s">
        <v>1623</v>
      </c>
      <c r="I268" s="237" t="s">
        <v>1624</v>
      </c>
      <c r="J268" s="237" t="s">
        <v>1625</v>
      </c>
      <c r="K268" s="238" t="s">
        <v>1626</v>
      </c>
      <c r="L268" s="238" t="s">
        <v>1627</v>
      </c>
      <c r="M268" s="234" t="s">
        <v>1619</v>
      </c>
    </row>
    <row r="269" ht="15.75" customHeight="1">
      <c r="A269" s="239">
        <v>1.0</v>
      </c>
      <c r="B269" s="275" t="s">
        <v>1527</v>
      </c>
      <c r="C269" s="239" t="s">
        <v>109</v>
      </c>
      <c r="D269" s="254">
        <v>100.0</v>
      </c>
      <c r="E269" s="241" t="str">
        <f>'Daftar Harga'!D271</f>
        <v/>
      </c>
      <c r="F269" s="242" t="str">
        <f t="shared" ref="F269:F283" si="68">IF(E269&lt;&gt;"",D269*E269,"")</f>
        <v/>
      </c>
      <c r="G269" s="199">
        <v>14500.0</v>
      </c>
      <c r="H269" s="243">
        <f t="shared" ref="H269:H287" si="69">IF(G269&lt;&gt;"",D269*G269,"")</f>
        <v>1450000</v>
      </c>
      <c r="I269" s="200">
        <v>15700.0</v>
      </c>
      <c r="J269" s="244">
        <f t="shared" ref="J269:J287" si="70">IF(I269&lt;&gt;"",D269*I269,"")</f>
        <v>1570000</v>
      </c>
      <c r="K269" s="245">
        <f t="shared" ref="K269:K288" si="71">IF(J269&lt;&gt;"",IF(H269&lt;&gt;"",J269-H269,IF(F269&lt;&gt;"",J269-F269,"")),"")</f>
        <v>120000</v>
      </c>
      <c r="L269" s="246">
        <f t="shared" ref="L269:L288" si="72">IF(K269&lt;&gt;"",IF(H269&lt;&gt;"",IF(H269&lt;&gt;0,K269/H269,""),IF(F269&lt;&gt;"",IF(F269&lt;&gt;0,K269/F269,""),"")),"")</f>
        <v>0.08275862069</v>
      </c>
      <c r="M269" s="247"/>
    </row>
    <row r="270" ht="15.75" customHeight="1">
      <c r="A270" s="248">
        <v>2.0</v>
      </c>
      <c r="B270" s="276" t="s">
        <v>2139</v>
      </c>
      <c r="C270" s="239" t="s">
        <v>109</v>
      </c>
      <c r="D270" s="277">
        <v>25.0</v>
      </c>
      <c r="E270" s="241" t="str">
        <f>'Daftar Harga'!D276</f>
        <v/>
      </c>
      <c r="F270" s="242" t="str">
        <f t="shared" si="68"/>
        <v/>
      </c>
      <c r="G270" s="199">
        <v>11250.0</v>
      </c>
      <c r="H270" s="243">
        <f t="shared" si="69"/>
        <v>281250</v>
      </c>
      <c r="I270" s="200">
        <v>12000.0</v>
      </c>
      <c r="J270" s="244">
        <f t="shared" si="70"/>
        <v>300000</v>
      </c>
      <c r="K270" s="250">
        <f t="shared" si="71"/>
        <v>18750</v>
      </c>
      <c r="L270" s="251">
        <f t="shared" si="72"/>
        <v>0.06666666667</v>
      </c>
      <c r="M270" s="252"/>
    </row>
    <row r="271" ht="15.75" customHeight="1">
      <c r="A271" s="239">
        <v>3.0</v>
      </c>
      <c r="B271" s="275" t="s">
        <v>1813</v>
      </c>
      <c r="C271" s="239" t="s">
        <v>109</v>
      </c>
      <c r="D271" s="254">
        <v>1.0</v>
      </c>
      <c r="E271" s="241" t="str">
        <f>'Daftar Harga'!D280</f>
        <v/>
      </c>
      <c r="F271" s="242" t="str">
        <f t="shared" si="68"/>
        <v/>
      </c>
      <c r="G271" s="199">
        <v>70000.0</v>
      </c>
      <c r="H271" s="243">
        <f t="shared" si="69"/>
        <v>70000</v>
      </c>
      <c r="I271" s="200">
        <v>100000.0</v>
      </c>
      <c r="J271" s="244">
        <f t="shared" si="70"/>
        <v>100000</v>
      </c>
      <c r="K271" s="245">
        <f t="shared" si="71"/>
        <v>30000</v>
      </c>
      <c r="L271" s="246">
        <f t="shared" si="72"/>
        <v>0.4285714286</v>
      </c>
      <c r="M271" s="247"/>
    </row>
    <row r="272" ht="15.75" customHeight="1">
      <c r="A272" s="248">
        <v>4.0</v>
      </c>
      <c r="B272" s="276" t="s">
        <v>2137</v>
      </c>
      <c r="C272" s="278" t="s">
        <v>1689</v>
      </c>
      <c r="D272" s="277">
        <v>3.0</v>
      </c>
      <c r="E272" s="241" t="str">
        <f>'Daftar Harga'!D287</f>
        <v/>
      </c>
      <c r="F272" s="242" t="str">
        <f t="shared" si="68"/>
        <v/>
      </c>
      <c r="G272" s="199">
        <v>8000.0</v>
      </c>
      <c r="H272" s="243">
        <f t="shared" si="69"/>
        <v>24000</v>
      </c>
      <c r="I272" s="200">
        <v>10000.0</v>
      </c>
      <c r="J272" s="244">
        <f t="shared" si="70"/>
        <v>30000</v>
      </c>
      <c r="K272" s="250">
        <f t="shared" si="71"/>
        <v>6000</v>
      </c>
      <c r="L272" s="251">
        <f t="shared" si="72"/>
        <v>0.25</v>
      </c>
      <c r="M272" s="252"/>
    </row>
    <row r="273" ht="15.75" customHeight="1">
      <c r="A273" s="239">
        <v>5.0</v>
      </c>
      <c r="B273" s="275" t="s">
        <v>2140</v>
      </c>
      <c r="C273" s="239" t="s">
        <v>109</v>
      </c>
      <c r="D273" s="254">
        <v>7.0</v>
      </c>
      <c r="E273" s="241" t="str">
        <f>'Daftar Harga'!D294</f>
        <v/>
      </c>
      <c r="F273" s="242" t="str">
        <f t="shared" si="68"/>
        <v/>
      </c>
      <c r="G273" s="199">
        <v>24000.0</v>
      </c>
      <c r="H273" s="243">
        <f t="shared" si="69"/>
        <v>168000</v>
      </c>
      <c r="I273" s="200">
        <v>27000.0</v>
      </c>
      <c r="J273" s="244">
        <f t="shared" si="70"/>
        <v>189000</v>
      </c>
      <c r="K273" s="245">
        <f t="shared" si="71"/>
        <v>21000</v>
      </c>
      <c r="L273" s="246">
        <f t="shared" si="72"/>
        <v>0.125</v>
      </c>
      <c r="M273" s="247"/>
    </row>
    <row r="274" ht="15.75" customHeight="1">
      <c r="A274" s="248">
        <v>6.0</v>
      </c>
      <c r="B274" s="276" t="s">
        <v>1637</v>
      </c>
      <c r="C274" s="278" t="s">
        <v>69</v>
      </c>
      <c r="D274" s="277">
        <v>7.0</v>
      </c>
      <c r="E274" s="241" t="str">
        <f>'Daftar Harga'!D314</f>
        <v/>
      </c>
      <c r="F274" s="242" t="str">
        <f t="shared" si="68"/>
        <v/>
      </c>
      <c r="G274" s="199">
        <v>18000.0</v>
      </c>
      <c r="H274" s="243">
        <f t="shared" si="69"/>
        <v>126000</v>
      </c>
      <c r="I274" s="200">
        <v>24000.0</v>
      </c>
      <c r="J274" s="244">
        <f t="shared" si="70"/>
        <v>168000</v>
      </c>
      <c r="K274" s="250">
        <f t="shared" si="71"/>
        <v>42000</v>
      </c>
      <c r="L274" s="251">
        <f t="shared" si="72"/>
        <v>0.3333333333</v>
      </c>
      <c r="M274" s="252"/>
    </row>
    <row r="275" ht="15.75" customHeight="1">
      <c r="A275" s="239">
        <v>7.0</v>
      </c>
      <c r="B275" s="275" t="s">
        <v>2141</v>
      </c>
      <c r="C275" s="278" t="s">
        <v>67</v>
      </c>
      <c r="D275" s="254">
        <v>2.0</v>
      </c>
      <c r="E275" s="241" t="str">
        <f>'Daftar Harga'!D317</f>
        <v/>
      </c>
      <c r="F275" s="242" t="str">
        <f t="shared" si="68"/>
        <v/>
      </c>
      <c r="G275" s="199">
        <v>52000.0</v>
      </c>
      <c r="H275" s="243">
        <f t="shared" si="69"/>
        <v>104000</v>
      </c>
      <c r="I275" s="200">
        <v>57000.0</v>
      </c>
      <c r="J275" s="244">
        <f t="shared" si="70"/>
        <v>114000</v>
      </c>
      <c r="K275" s="245">
        <f t="shared" si="71"/>
        <v>10000</v>
      </c>
      <c r="L275" s="246">
        <f t="shared" si="72"/>
        <v>0.09615384615</v>
      </c>
      <c r="M275" s="247"/>
    </row>
    <row r="276" ht="15.75" customHeight="1">
      <c r="A276" s="248">
        <v>8.0</v>
      </c>
      <c r="B276" s="276" t="s">
        <v>2031</v>
      </c>
      <c r="C276" s="239" t="s">
        <v>109</v>
      </c>
      <c r="D276" s="277">
        <v>8.0</v>
      </c>
      <c r="E276" s="241" t="str">
        <f>'Daftar Harga'!D329</f>
        <v/>
      </c>
      <c r="F276" s="242" t="str">
        <f t="shared" si="68"/>
        <v/>
      </c>
      <c r="G276" s="199">
        <v>92000.0</v>
      </c>
      <c r="H276" s="243">
        <f t="shared" si="69"/>
        <v>736000</v>
      </c>
      <c r="I276" s="200">
        <v>80000.0</v>
      </c>
      <c r="J276" s="244">
        <f t="shared" si="70"/>
        <v>640000</v>
      </c>
      <c r="K276" s="250">
        <f t="shared" si="71"/>
        <v>-96000</v>
      </c>
      <c r="L276" s="251">
        <f t="shared" si="72"/>
        <v>-0.1304347826</v>
      </c>
      <c r="M276" s="252"/>
    </row>
    <row r="277" ht="15.75" customHeight="1">
      <c r="A277" s="239">
        <v>9.0</v>
      </c>
      <c r="B277" s="275" t="s">
        <v>2021</v>
      </c>
      <c r="C277" s="239" t="s">
        <v>109</v>
      </c>
      <c r="D277" s="254">
        <v>1.0</v>
      </c>
      <c r="E277" s="241" t="str">
        <f>'Daftar Harga'!D334</f>
        <v/>
      </c>
      <c r="F277" s="242" t="str">
        <f t="shared" si="68"/>
        <v/>
      </c>
      <c r="G277" s="199">
        <v>18500.0</v>
      </c>
      <c r="H277" s="243">
        <f t="shared" si="69"/>
        <v>18500</v>
      </c>
      <c r="I277" s="200">
        <v>20000.0</v>
      </c>
      <c r="J277" s="244">
        <f t="shared" si="70"/>
        <v>20000</v>
      </c>
      <c r="K277" s="245">
        <f t="shared" si="71"/>
        <v>1500</v>
      </c>
      <c r="L277" s="246">
        <f t="shared" si="72"/>
        <v>0.08108108108</v>
      </c>
      <c r="M277" s="247"/>
    </row>
    <row r="278" ht="15.75" customHeight="1">
      <c r="A278" s="248">
        <v>10.0</v>
      </c>
      <c r="B278" s="276" t="s">
        <v>1578</v>
      </c>
      <c r="C278" s="239" t="s">
        <v>109</v>
      </c>
      <c r="D278" s="277">
        <v>50.0</v>
      </c>
      <c r="E278" s="241" t="str">
        <f>'Daftar Harga'!D337</f>
        <v/>
      </c>
      <c r="F278" s="242" t="str">
        <f t="shared" si="68"/>
        <v/>
      </c>
      <c r="G278" s="199">
        <v>21500.0</v>
      </c>
      <c r="H278" s="243">
        <f t="shared" si="69"/>
        <v>1075000</v>
      </c>
      <c r="I278" s="200">
        <v>24000.0</v>
      </c>
      <c r="J278" s="244">
        <f t="shared" si="70"/>
        <v>1200000</v>
      </c>
      <c r="K278" s="250">
        <f t="shared" si="71"/>
        <v>125000</v>
      </c>
      <c r="L278" s="251">
        <f t="shared" si="72"/>
        <v>0.1162790698</v>
      </c>
      <c r="M278" s="252"/>
    </row>
    <row r="279" ht="15.75" customHeight="1">
      <c r="A279" s="239">
        <v>11.0</v>
      </c>
      <c r="B279" s="275" t="s">
        <v>2142</v>
      </c>
      <c r="C279" s="239" t="s">
        <v>109</v>
      </c>
      <c r="D279" s="254">
        <v>85.0</v>
      </c>
      <c r="E279" s="241" t="str">
        <f>'Daftar Harga'!D355</f>
        <v/>
      </c>
      <c r="F279" s="242" t="str">
        <f t="shared" si="68"/>
        <v/>
      </c>
      <c r="G279" s="199">
        <v>47000.0</v>
      </c>
      <c r="H279" s="243">
        <f t="shared" si="69"/>
        <v>3995000</v>
      </c>
      <c r="I279" s="200">
        <v>48500.0</v>
      </c>
      <c r="J279" s="244">
        <f t="shared" si="70"/>
        <v>4122500</v>
      </c>
      <c r="K279" s="245">
        <f t="shared" si="71"/>
        <v>127500</v>
      </c>
      <c r="L279" s="246">
        <f t="shared" si="72"/>
        <v>0.03191489362</v>
      </c>
      <c r="M279" s="247"/>
    </row>
    <row r="280" ht="15.75" customHeight="1">
      <c r="A280" s="248">
        <v>12.0</v>
      </c>
      <c r="B280" s="276" t="s">
        <v>2143</v>
      </c>
      <c r="C280" s="239" t="s">
        <v>109</v>
      </c>
      <c r="D280" s="254">
        <v>1710.0</v>
      </c>
      <c r="E280" s="241" t="str">
        <f>'Daftar Harga'!D356</f>
        <v/>
      </c>
      <c r="F280" s="242" t="str">
        <f t="shared" si="68"/>
        <v/>
      </c>
      <c r="G280" s="199">
        <v>500.0</v>
      </c>
      <c r="H280" s="243">
        <f t="shared" si="69"/>
        <v>855000</v>
      </c>
      <c r="I280" s="200">
        <v>700.0</v>
      </c>
      <c r="J280" s="244">
        <f t="shared" si="70"/>
        <v>1197000</v>
      </c>
      <c r="K280" s="245">
        <f t="shared" si="71"/>
        <v>342000</v>
      </c>
      <c r="L280" s="246">
        <f t="shared" si="72"/>
        <v>0.4</v>
      </c>
      <c r="M280" s="252"/>
    </row>
    <row r="281" ht="15.75" customHeight="1">
      <c r="A281" s="239">
        <v>13.0</v>
      </c>
      <c r="B281" s="276" t="s">
        <v>2144</v>
      </c>
      <c r="C281" s="239" t="s">
        <v>109</v>
      </c>
      <c r="D281" s="254">
        <v>35.0</v>
      </c>
      <c r="E281" s="241" t="str">
        <f>'Daftar Harga'!D357</f>
        <v/>
      </c>
      <c r="F281" s="242" t="str">
        <f t="shared" si="68"/>
        <v/>
      </c>
      <c r="G281" s="199">
        <v>18000.0</v>
      </c>
      <c r="H281" s="243">
        <f t="shared" si="69"/>
        <v>630000</v>
      </c>
      <c r="I281" s="200">
        <v>21000.0</v>
      </c>
      <c r="J281" s="244">
        <f t="shared" si="70"/>
        <v>735000</v>
      </c>
      <c r="K281" s="245">
        <f t="shared" si="71"/>
        <v>105000</v>
      </c>
      <c r="L281" s="246">
        <f t="shared" si="72"/>
        <v>0.1666666667</v>
      </c>
      <c r="M281" s="252"/>
    </row>
    <row r="282" ht="15.75" customHeight="1">
      <c r="A282" s="248">
        <v>14.0</v>
      </c>
      <c r="B282" s="276" t="s">
        <v>1609</v>
      </c>
      <c r="C282" s="239" t="s">
        <v>109</v>
      </c>
      <c r="D282" s="254">
        <v>33.0</v>
      </c>
      <c r="E282" s="241" t="str">
        <f>'Daftar Harga'!D358</f>
        <v/>
      </c>
      <c r="F282" s="242" t="str">
        <f t="shared" si="68"/>
        <v/>
      </c>
      <c r="G282" s="199">
        <v>14000.0</v>
      </c>
      <c r="H282" s="243">
        <f t="shared" si="69"/>
        <v>462000</v>
      </c>
      <c r="I282" s="200">
        <v>17000.0</v>
      </c>
      <c r="J282" s="244">
        <f t="shared" si="70"/>
        <v>561000</v>
      </c>
      <c r="K282" s="245">
        <f t="shared" si="71"/>
        <v>99000</v>
      </c>
      <c r="L282" s="246">
        <f t="shared" si="72"/>
        <v>0.2142857143</v>
      </c>
      <c r="M282" s="252"/>
    </row>
    <row r="283" ht="15.75" customHeight="1">
      <c r="A283" s="239">
        <v>15.0</v>
      </c>
      <c r="B283" s="276" t="s">
        <v>1236</v>
      </c>
      <c r="C283" s="239" t="s">
        <v>109</v>
      </c>
      <c r="D283" s="277">
        <v>142.0</v>
      </c>
      <c r="E283" s="241" t="str">
        <f>'Daftar Harga'!D365</f>
        <v/>
      </c>
      <c r="F283" s="242" t="str">
        <f t="shared" si="68"/>
        <v/>
      </c>
      <c r="G283" s="199">
        <v>26500.0</v>
      </c>
      <c r="H283" s="243">
        <f t="shared" si="69"/>
        <v>3763000</v>
      </c>
      <c r="I283" s="200">
        <v>27500.0</v>
      </c>
      <c r="J283" s="244">
        <f t="shared" si="70"/>
        <v>3905000</v>
      </c>
      <c r="K283" s="250">
        <f t="shared" si="71"/>
        <v>142000</v>
      </c>
      <c r="L283" s="251">
        <f t="shared" si="72"/>
        <v>0.03773584906</v>
      </c>
      <c r="M283" s="252"/>
    </row>
    <row r="284" ht="15.75" customHeight="1">
      <c r="A284" s="248">
        <v>16.0</v>
      </c>
      <c r="B284" s="275" t="s">
        <v>1935</v>
      </c>
      <c r="C284" s="239" t="s">
        <v>109</v>
      </c>
      <c r="D284" s="254">
        <v>4.0</v>
      </c>
      <c r="E284" s="241"/>
      <c r="F284" s="242"/>
      <c r="G284" s="199">
        <v>32000.0</v>
      </c>
      <c r="H284" s="243">
        <f t="shared" si="69"/>
        <v>128000</v>
      </c>
      <c r="I284" s="200">
        <v>36000.0</v>
      </c>
      <c r="J284" s="244">
        <f t="shared" si="70"/>
        <v>144000</v>
      </c>
      <c r="K284" s="250">
        <f t="shared" si="71"/>
        <v>16000</v>
      </c>
      <c r="L284" s="251">
        <f t="shared" si="72"/>
        <v>0.125</v>
      </c>
      <c r="M284" s="247"/>
    </row>
    <row r="285" ht="15.75" customHeight="1">
      <c r="A285" s="239">
        <v>17.0</v>
      </c>
      <c r="B285" s="275" t="s">
        <v>1934</v>
      </c>
      <c r="C285" s="239" t="s">
        <v>109</v>
      </c>
      <c r="D285" s="254">
        <v>2.0</v>
      </c>
      <c r="E285" s="241"/>
      <c r="F285" s="242"/>
      <c r="G285" s="199">
        <v>45000.0</v>
      </c>
      <c r="H285" s="243">
        <f t="shared" si="69"/>
        <v>90000</v>
      </c>
      <c r="I285" s="200">
        <v>45000.0</v>
      </c>
      <c r="J285" s="244">
        <f t="shared" si="70"/>
        <v>90000</v>
      </c>
      <c r="K285" s="250">
        <f t="shared" si="71"/>
        <v>0</v>
      </c>
      <c r="L285" s="251">
        <f t="shared" si="72"/>
        <v>0</v>
      </c>
      <c r="M285" s="247"/>
    </row>
    <row r="286" ht="15.75" customHeight="1">
      <c r="A286" s="248">
        <v>18.0</v>
      </c>
      <c r="B286" s="275" t="s">
        <v>2136</v>
      </c>
      <c r="C286" s="239" t="s">
        <v>109</v>
      </c>
      <c r="D286" s="254">
        <v>5.0</v>
      </c>
      <c r="E286" s="241"/>
      <c r="F286" s="242"/>
      <c r="G286" s="199">
        <v>27000.0</v>
      </c>
      <c r="H286" s="243">
        <f t="shared" si="69"/>
        <v>135000</v>
      </c>
      <c r="I286" s="200">
        <v>27000.0</v>
      </c>
      <c r="J286" s="244">
        <f t="shared" si="70"/>
        <v>135000</v>
      </c>
      <c r="K286" s="250">
        <f t="shared" si="71"/>
        <v>0</v>
      </c>
      <c r="L286" s="251">
        <f t="shared" si="72"/>
        <v>0</v>
      </c>
      <c r="M286" s="247"/>
    </row>
    <row r="287" ht="15.75" customHeight="1">
      <c r="A287" s="239">
        <v>19.0</v>
      </c>
      <c r="B287" s="275" t="s">
        <v>2145</v>
      </c>
      <c r="C287" s="239" t="s">
        <v>109</v>
      </c>
      <c r="D287" s="254">
        <v>2.0</v>
      </c>
      <c r="E287" s="241"/>
      <c r="F287" s="242"/>
      <c r="G287" s="199">
        <v>18000.0</v>
      </c>
      <c r="H287" s="243">
        <f t="shared" si="69"/>
        <v>36000</v>
      </c>
      <c r="I287" s="200">
        <v>18000.0</v>
      </c>
      <c r="J287" s="244">
        <f t="shared" si="70"/>
        <v>36000</v>
      </c>
      <c r="K287" s="250">
        <f t="shared" si="71"/>
        <v>0</v>
      </c>
      <c r="L287" s="251">
        <f t="shared" si="72"/>
        <v>0</v>
      </c>
      <c r="M287" s="247"/>
    </row>
    <row r="288" ht="15.75" customHeight="1">
      <c r="A288" s="272" t="s">
        <v>1701</v>
      </c>
      <c r="B288" s="206"/>
      <c r="C288" s="206"/>
      <c r="D288" s="174"/>
      <c r="E288" s="257"/>
      <c r="F288" s="258">
        <f>SUMIF(F269:F287,"&lt;&gt;",F269:F287)</f>
        <v>0</v>
      </c>
      <c r="G288" s="257"/>
      <c r="H288" s="258">
        <f>SUMIF(H269:H287,"&lt;&gt;",H269:H287)</f>
        <v>14146750</v>
      </c>
      <c r="I288" s="259"/>
      <c r="J288" s="260">
        <f>SUMIF(J269:J287,"&lt;&gt;",J269:J287)</f>
        <v>15256500</v>
      </c>
      <c r="K288" s="261">
        <f t="shared" si="71"/>
        <v>1109750</v>
      </c>
      <c r="L288" s="262">
        <f t="shared" si="72"/>
        <v>0.07844557937</v>
      </c>
      <c r="M288" s="257"/>
    </row>
    <row r="289" ht="15.75" customHeight="1"/>
    <row r="290" ht="15.75" customHeight="1">
      <c r="A290" s="273" t="s">
        <v>1702</v>
      </c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</row>
    <row r="291" ht="15.75" customHeight="1">
      <c r="A291" s="229" t="s">
        <v>1509</v>
      </c>
      <c r="B291" s="229" t="s">
        <v>1510</v>
      </c>
      <c r="C291" s="229" t="s">
        <v>1511</v>
      </c>
      <c r="D291" s="229" t="s">
        <v>1614</v>
      </c>
      <c r="E291" s="230" t="s">
        <v>1615</v>
      </c>
      <c r="F291" s="174"/>
      <c r="G291" s="231" t="s">
        <v>1616</v>
      </c>
      <c r="H291" s="174"/>
      <c r="I291" s="232" t="s">
        <v>1617</v>
      </c>
      <c r="J291" s="174"/>
      <c r="K291" s="233" t="s">
        <v>1618</v>
      </c>
      <c r="L291" s="174"/>
      <c r="M291" s="229" t="s">
        <v>1619</v>
      </c>
    </row>
    <row r="292" ht="15.75" customHeight="1">
      <c r="A292" s="234" t="s">
        <v>1509</v>
      </c>
      <c r="B292" s="234" t="s">
        <v>1510</v>
      </c>
      <c r="C292" s="234" t="s">
        <v>1511</v>
      </c>
      <c r="D292" s="234" t="s">
        <v>1614</v>
      </c>
      <c r="E292" s="235" t="s">
        <v>1620</v>
      </c>
      <c r="F292" s="235" t="s">
        <v>1621</v>
      </c>
      <c r="G292" s="236" t="s">
        <v>1622</v>
      </c>
      <c r="H292" s="236" t="s">
        <v>1623</v>
      </c>
      <c r="I292" s="237" t="s">
        <v>1624</v>
      </c>
      <c r="J292" s="237" t="s">
        <v>1625</v>
      </c>
      <c r="K292" s="238" t="s">
        <v>1626</v>
      </c>
      <c r="L292" s="238" t="s">
        <v>1627</v>
      </c>
      <c r="M292" s="234" t="s">
        <v>1619</v>
      </c>
    </row>
    <row r="293" ht="15.75" customHeight="1">
      <c r="A293" s="248">
        <v>1.0</v>
      </c>
      <c r="B293" s="249" t="s">
        <v>2123</v>
      </c>
      <c r="C293" s="248" t="s">
        <v>69</v>
      </c>
      <c r="D293" s="309">
        <v>1044.0</v>
      </c>
      <c r="E293" s="267"/>
      <c r="F293" s="268" t="str">
        <f t="shared" ref="F293:F295" si="73">IF(E293&lt;&gt;"",D293*E293,"")</f>
        <v/>
      </c>
      <c r="G293" s="199">
        <v>3230.0</v>
      </c>
      <c r="H293" s="243">
        <f t="shared" ref="H293:H295" si="74">IF(G293&lt;&gt;"",D293*G293,"")</f>
        <v>3372120</v>
      </c>
      <c r="I293" s="188">
        <v>3600.0</v>
      </c>
      <c r="J293" s="244">
        <f t="shared" ref="J293:J295" si="75">IF(I293&lt;&gt;"",D293*I293,"")</f>
        <v>3758400</v>
      </c>
      <c r="K293" s="245">
        <f t="shared" ref="K293:K296" si="76">IF(J293&lt;&gt;"",IF(H293&lt;&gt;"",J293-H293,IF(F293&lt;&gt;"",J293-F293,"")),"")</f>
        <v>386280</v>
      </c>
      <c r="L293" s="246">
        <f t="shared" ref="L293:L296" si="77">IF(K293&lt;&gt;"",IF(H293&lt;&gt;"",IF(H293&lt;&gt;0,K293/H293,""),IF(F293&lt;&gt;"",IF(F293&lt;&gt;0,K293/F293,""),"")),"")</f>
        <v>0.1145510836</v>
      </c>
      <c r="M293" s="252"/>
    </row>
    <row r="294" ht="15.75" customHeight="1">
      <c r="A294" s="239">
        <v>2.0</v>
      </c>
      <c r="B294" s="249" t="s">
        <v>1517</v>
      </c>
      <c r="C294" s="278" t="s">
        <v>1724</v>
      </c>
      <c r="D294" s="274">
        <v>104.0</v>
      </c>
      <c r="E294" s="267"/>
      <c r="F294" s="268" t="str">
        <f t="shared" si="73"/>
        <v/>
      </c>
      <c r="G294" s="199">
        <v>37000.0</v>
      </c>
      <c r="H294" s="263">
        <f t="shared" si="74"/>
        <v>3848000</v>
      </c>
      <c r="I294" s="200">
        <v>39000.0</v>
      </c>
      <c r="J294" s="244">
        <f t="shared" si="75"/>
        <v>4056000</v>
      </c>
      <c r="K294" s="245">
        <f t="shared" si="76"/>
        <v>208000</v>
      </c>
      <c r="L294" s="246">
        <f t="shared" si="77"/>
        <v>0.05405405405</v>
      </c>
      <c r="M294" s="247"/>
    </row>
    <row r="295" ht="15.75" customHeight="1">
      <c r="A295" s="338">
        <v>3.0</v>
      </c>
      <c r="B295" s="420" t="s">
        <v>1152</v>
      </c>
      <c r="C295" s="421" t="s">
        <v>1390</v>
      </c>
      <c r="D295" s="422">
        <v>450.0</v>
      </c>
      <c r="E295" s="267"/>
      <c r="F295" s="268" t="str">
        <f t="shared" si="73"/>
        <v/>
      </c>
      <c r="G295" s="353">
        <v>1650.0</v>
      </c>
      <c r="H295" s="263">
        <f t="shared" si="74"/>
        <v>742500</v>
      </c>
      <c r="I295" s="354">
        <v>2000.0</v>
      </c>
      <c r="J295" s="264">
        <f t="shared" si="75"/>
        <v>900000</v>
      </c>
      <c r="K295" s="245">
        <f t="shared" si="76"/>
        <v>157500</v>
      </c>
      <c r="L295" s="246">
        <f t="shared" si="77"/>
        <v>0.2121212121</v>
      </c>
      <c r="M295" s="247"/>
    </row>
    <row r="296" ht="15.75" customHeight="1">
      <c r="A296" s="272" t="s">
        <v>1704</v>
      </c>
      <c r="B296" s="206"/>
      <c r="C296" s="206"/>
      <c r="D296" s="174"/>
      <c r="E296" s="257"/>
      <c r="F296" s="258">
        <f>SUMIF(F293:F295,"&lt;&gt;",F293:F295)</f>
        <v>0</v>
      </c>
      <c r="G296" s="317"/>
      <c r="H296" s="260">
        <f>SUMIF(H293:H295,"&lt;&gt;",H293:H295)</f>
        <v>7962620</v>
      </c>
      <c r="I296" s="322"/>
      <c r="J296" s="260">
        <f>SUMIF(J293:J295,"&lt;&gt;",J293:J295)</f>
        <v>8714400</v>
      </c>
      <c r="K296" s="261">
        <f t="shared" si="76"/>
        <v>751780</v>
      </c>
      <c r="L296" s="262">
        <f t="shared" si="77"/>
        <v>0.09441364777</v>
      </c>
      <c r="M296" s="257"/>
    </row>
    <row r="297" ht="15.75" customHeight="1"/>
    <row r="298" ht="15.75" customHeight="1">
      <c r="A298" s="273" t="s">
        <v>1705</v>
      </c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6"/>
    </row>
    <row r="299" ht="15.75" customHeight="1">
      <c r="A299" s="229" t="s">
        <v>1509</v>
      </c>
      <c r="B299" s="229" t="s">
        <v>1510</v>
      </c>
      <c r="C299" s="229" t="s">
        <v>1511</v>
      </c>
      <c r="D299" s="229" t="s">
        <v>1614</v>
      </c>
      <c r="E299" s="230" t="s">
        <v>1615</v>
      </c>
      <c r="F299" s="174"/>
      <c r="G299" s="231" t="s">
        <v>1616</v>
      </c>
      <c r="H299" s="174"/>
      <c r="I299" s="232" t="s">
        <v>1617</v>
      </c>
      <c r="J299" s="174"/>
      <c r="K299" s="233" t="s">
        <v>1618</v>
      </c>
      <c r="L299" s="174"/>
      <c r="M299" s="229" t="s">
        <v>1619</v>
      </c>
    </row>
    <row r="300" ht="15.75" customHeight="1">
      <c r="A300" s="234" t="s">
        <v>1509</v>
      </c>
      <c r="B300" s="234" t="s">
        <v>1510</v>
      </c>
      <c r="C300" s="234" t="s">
        <v>1511</v>
      </c>
      <c r="D300" s="234" t="s">
        <v>1614</v>
      </c>
      <c r="E300" s="235" t="s">
        <v>1620</v>
      </c>
      <c r="F300" s="235" t="s">
        <v>1621</v>
      </c>
      <c r="G300" s="236" t="s">
        <v>1622</v>
      </c>
      <c r="H300" s="236" t="s">
        <v>1623</v>
      </c>
      <c r="I300" s="237" t="s">
        <v>1624</v>
      </c>
      <c r="J300" s="237" t="s">
        <v>1625</v>
      </c>
      <c r="K300" s="238" t="s">
        <v>1626</v>
      </c>
      <c r="L300" s="238" t="s">
        <v>1627</v>
      </c>
      <c r="M300" s="234" t="s">
        <v>1619</v>
      </c>
    </row>
    <row r="301" ht="15.75" customHeight="1">
      <c r="A301" s="239">
        <v>1.0</v>
      </c>
      <c r="B301" s="275" t="s">
        <v>2115</v>
      </c>
      <c r="C301" s="239" t="s">
        <v>109</v>
      </c>
      <c r="D301" s="254">
        <v>57.0</v>
      </c>
      <c r="E301" s="241" t="str">
        <f>'Daftar Harga'!D303</f>
        <v/>
      </c>
      <c r="F301" s="242" t="str">
        <f t="shared" ref="F301:F315" si="78">IF(E301&lt;&gt;"",D301*E301,"")</f>
        <v/>
      </c>
      <c r="G301" s="311">
        <v>14500.0</v>
      </c>
      <c r="H301" s="243">
        <f t="shared" ref="H301:H317" si="79">IF(G301&lt;&gt;"",D301*G301,"")</f>
        <v>826500</v>
      </c>
      <c r="I301" s="200">
        <v>15700.0</v>
      </c>
      <c r="J301" s="244">
        <f t="shared" ref="J301:J317" si="80">IF(I301&lt;&gt;"",D301*I301,"")</f>
        <v>894900</v>
      </c>
      <c r="K301" s="245">
        <f t="shared" ref="K301:K318" si="81">IF(J301&lt;&gt;"",IF(H301&lt;&gt;"",J301-H301,IF(F301&lt;&gt;"",J301-F301,"")),"")</f>
        <v>68400</v>
      </c>
      <c r="L301" s="246">
        <f t="shared" ref="L301:L318" si="82">IF(K301&lt;&gt;"",IF(H301&lt;&gt;"",IF(H301&lt;&gt;0,K301/H301,""),IF(F301&lt;&gt;"",IF(F301&lt;&gt;0,K301/F301,""),"")),"")</f>
        <v>0.08275862069</v>
      </c>
      <c r="M301" s="247"/>
    </row>
    <row r="302" ht="15.75" customHeight="1">
      <c r="A302" s="248">
        <v>2.0</v>
      </c>
      <c r="B302" s="276" t="s">
        <v>2021</v>
      </c>
      <c r="C302" s="239" t="s">
        <v>109</v>
      </c>
      <c r="D302" s="277">
        <v>2.0</v>
      </c>
      <c r="E302" s="241" t="str">
        <f>'Daftar Harga'!D308</f>
        <v/>
      </c>
      <c r="F302" s="242" t="str">
        <f t="shared" si="78"/>
        <v/>
      </c>
      <c r="G302" s="311">
        <v>18500.0</v>
      </c>
      <c r="H302" s="243">
        <f t="shared" si="79"/>
        <v>37000</v>
      </c>
      <c r="I302" s="200">
        <v>20000.0</v>
      </c>
      <c r="J302" s="244">
        <f t="shared" si="80"/>
        <v>40000</v>
      </c>
      <c r="K302" s="250">
        <f t="shared" si="81"/>
        <v>3000</v>
      </c>
      <c r="L302" s="251">
        <f t="shared" si="82"/>
        <v>0.08108108108</v>
      </c>
      <c r="M302" s="252"/>
    </row>
    <row r="303" ht="15.75" customHeight="1">
      <c r="A303" s="239">
        <v>3.0</v>
      </c>
      <c r="B303" s="275" t="s">
        <v>1566</v>
      </c>
      <c r="C303" s="239" t="s">
        <v>109</v>
      </c>
      <c r="D303" s="254">
        <v>5.0</v>
      </c>
      <c r="E303" s="241" t="str">
        <f>'Daftar Harga'!D312</f>
        <v/>
      </c>
      <c r="F303" s="242" t="str">
        <f t="shared" si="78"/>
        <v/>
      </c>
      <c r="G303" s="311">
        <v>95000.0</v>
      </c>
      <c r="H303" s="243">
        <f t="shared" si="79"/>
        <v>475000</v>
      </c>
      <c r="I303" s="200">
        <v>105000.0</v>
      </c>
      <c r="J303" s="244">
        <f t="shared" si="80"/>
        <v>525000</v>
      </c>
      <c r="K303" s="245">
        <f t="shared" si="81"/>
        <v>50000</v>
      </c>
      <c r="L303" s="246">
        <f t="shared" si="82"/>
        <v>0.1052631579</v>
      </c>
      <c r="M303" s="247"/>
    </row>
    <row r="304" ht="15.75" customHeight="1">
      <c r="A304" s="248">
        <v>4.0</v>
      </c>
      <c r="B304" s="276" t="s">
        <v>1605</v>
      </c>
      <c r="C304" s="239" t="s">
        <v>109</v>
      </c>
      <c r="D304" s="277">
        <v>10.0</v>
      </c>
      <c r="E304" s="241" t="str">
        <f>'Daftar Harga'!D319</f>
        <v/>
      </c>
      <c r="F304" s="242" t="str">
        <f t="shared" si="78"/>
        <v/>
      </c>
      <c r="G304" s="311">
        <v>11500.0</v>
      </c>
      <c r="H304" s="243">
        <f t="shared" si="79"/>
        <v>115000</v>
      </c>
      <c r="I304" s="200">
        <v>12000.0</v>
      </c>
      <c r="J304" s="244">
        <f t="shared" si="80"/>
        <v>120000</v>
      </c>
      <c r="K304" s="250">
        <f t="shared" si="81"/>
        <v>5000</v>
      </c>
      <c r="L304" s="251">
        <f t="shared" si="82"/>
        <v>0.04347826087</v>
      </c>
      <c r="M304" s="252"/>
    </row>
    <row r="305" ht="15.75" customHeight="1">
      <c r="A305" s="239">
        <v>5.0</v>
      </c>
      <c r="B305" s="275" t="s">
        <v>1818</v>
      </c>
      <c r="C305" s="239" t="s">
        <v>109</v>
      </c>
      <c r="D305" s="254">
        <v>12.0</v>
      </c>
      <c r="E305" s="241" t="str">
        <f>'Daftar Harga'!D326</f>
        <v/>
      </c>
      <c r="F305" s="242" t="str">
        <f t="shared" si="78"/>
        <v/>
      </c>
      <c r="G305" s="311">
        <v>26000.0</v>
      </c>
      <c r="H305" s="243">
        <f t="shared" si="79"/>
        <v>312000</v>
      </c>
      <c r="I305" s="200">
        <v>27000.0</v>
      </c>
      <c r="J305" s="244">
        <f t="shared" si="80"/>
        <v>324000</v>
      </c>
      <c r="K305" s="245">
        <f t="shared" si="81"/>
        <v>12000</v>
      </c>
      <c r="L305" s="246">
        <f t="shared" si="82"/>
        <v>0.03846153846</v>
      </c>
      <c r="M305" s="247"/>
    </row>
    <row r="306" ht="15.75" customHeight="1">
      <c r="A306" s="248">
        <v>6.0</v>
      </c>
      <c r="B306" s="276" t="s">
        <v>1677</v>
      </c>
      <c r="C306" s="278" t="s">
        <v>1676</v>
      </c>
      <c r="D306" s="277">
        <v>1.0</v>
      </c>
      <c r="E306" s="241" t="str">
        <f>'Daftar Harga'!D346</f>
        <v/>
      </c>
      <c r="F306" s="242" t="str">
        <f t="shared" si="78"/>
        <v/>
      </c>
      <c r="G306" s="311">
        <v>190000.0</v>
      </c>
      <c r="H306" s="243">
        <f t="shared" si="79"/>
        <v>190000</v>
      </c>
      <c r="I306" s="200">
        <v>210000.0</v>
      </c>
      <c r="J306" s="244">
        <f t="shared" si="80"/>
        <v>210000</v>
      </c>
      <c r="K306" s="250">
        <f t="shared" si="81"/>
        <v>20000</v>
      </c>
      <c r="L306" s="251">
        <f t="shared" si="82"/>
        <v>0.1052631579</v>
      </c>
      <c r="M306" s="252"/>
    </row>
    <row r="307" ht="15.75" customHeight="1">
      <c r="A307" s="239">
        <v>7.0</v>
      </c>
      <c r="B307" s="275" t="s">
        <v>2130</v>
      </c>
      <c r="C307" s="239" t="s">
        <v>109</v>
      </c>
      <c r="D307" s="254">
        <v>163.0</v>
      </c>
      <c r="E307" s="241" t="str">
        <f>'Daftar Harga'!D349</f>
        <v/>
      </c>
      <c r="F307" s="242" t="str">
        <f t="shared" si="78"/>
        <v/>
      </c>
      <c r="G307" s="311">
        <v>31500.0</v>
      </c>
      <c r="H307" s="243">
        <f t="shared" si="79"/>
        <v>5134500</v>
      </c>
      <c r="I307" s="200">
        <v>35000.0</v>
      </c>
      <c r="J307" s="244">
        <f t="shared" si="80"/>
        <v>5705000</v>
      </c>
      <c r="K307" s="245">
        <f t="shared" si="81"/>
        <v>570500</v>
      </c>
      <c r="L307" s="246">
        <f t="shared" si="82"/>
        <v>0.1111111111</v>
      </c>
      <c r="M307" s="247"/>
    </row>
    <row r="308" ht="15.75" customHeight="1">
      <c r="A308" s="248">
        <v>8.0</v>
      </c>
      <c r="B308" s="276" t="s">
        <v>2146</v>
      </c>
      <c r="C308" s="278" t="s">
        <v>69</v>
      </c>
      <c r="D308" s="277">
        <v>1630.0</v>
      </c>
      <c r="E308" s="241" t="str">
        <f>'Daftar Harga'!D361</f>
        <v/>
      </c>
      <c r="F308" s="242" t="str">
        <f t="shared" si="78"/>
        <v/>
      </c>
      <c r="G308" s="311">
        <v>500.0</v>
      </c>
      <c r="H308" s="243">
        <f t="shared" si="79"/>
        <v>815000</v>
      </c>
      <c r="I308" s="200">
        <v>700.0</v>
      </c>
      <c r="J308" s="244">
        <f t="shared" si="80"/>
        <v>1141000</v>
      </c>
      <c r="K308" s="250">
        <f t="shared" si="81"/>
        <v>326000</v>
      </c>
      <c r="L308" s="251">
        <f t="shared" si="82"/>
        <v>0.4</v>
      </c>
      <c r="M308" s="252"/>
    </row>
    <row r="309" ht="15.75" customHeight="1">
      <c r="A309" s="239">
        <v>9.0</v>
      </c>
      <c r="B309" s="275" t="s">
        <v>1609</v>
      </c>
      <c r="C309" s="239" t="s">
        <v>109</v>
      </c>
      <c r="D309" s="254">
        <v>30.0</v>
      </c>
      <c r="E309" s="241" t="str">
        <f>'Daftar Harga'!D366</f>
        <v/>
      </c>
      <c r="F309" s="242" t="str">
        <f t="shared" si="78"/>
        <v/>
      </c>
      <c r="G309" s="199">
        <v>15500.0</v>
      </c>
      <c r="H309" s="243">
        <f t="shared" si="79"/>
        <v>465000</v>
      </c>
      <c r="I309" s="200">
        <v>17000.0</v>
      </c>
      <c r="J309" s="244">
        <f t="shared" si="80"/>
        <v>510000</v>
      </c>
      <c r="K309" s="245">
        <f t="shared" si="81"/>
        <v>45000</v>
      </c>
      <c r="L309" s="246">
        <f t="shared" si="82"/>
        <v>0.09677419355</v>
      </c>
      <c r="M309" s="247"/>
    </row>
    <row r="310" ht="15.75" customHeight="1">
      <c r="A310" s="248">
        <v>10.0</v>
      </c>
      <c r="B310" s="276" t="s">
        <v>1690</v>
      </c>
      <c r="C310" s="239" t="s">
        <v>109</v>
      </c>
      <c r="D310" s="277">
        <v>40.0</v>
      </c>
      <c r="E310" s="241" t="str">
        <f>'Daftar Harga'!D369</f>
        <v/>
      </c>
      <c r="F310" s="242" t="str">
        <f t="shared" si="78"/>
        <v/>
      </c>
      <c r="G310" s="199">
        <v>11000.0</v>
      </c>
      <c r="H310" s="243">
        <f t="shared" si="79"/>
        <v>440000</v>
      </c>
      <c r="I310" s="200">
        <v>12000.0</v>
      </c>
      <c r="J310" s="244">
        <f t="shared" si="80"/>
        <v>480000</v>
      </c>
      <c r="K310" s="250">
        <f t="shared" si="81"/>
        <v>40000</v>
      </c>
      <c r="L310" s="251">
        <f t="shared" si="82"/>
        <v>0.09090909091</v>
      </c>
      <c r="M310" s="252"/>
    </row>
    <row r="311" ht="15.75" customHeight="1">
      <c r="A311" s="239">
        <v>11.0</v>
      </c>
      <c r="B311" s="275" t="s">
        <v>1516</v>
      </c>
      <c r="C311" s="239" t="s">
        <v>109</v>
      </c>
      <c r="D311" s="254">
        <v>39.0</v>
      </c>
      <c r="E311" s="241" t="str">
        <f>'Daftar Harga'!D387</f>
        <v/>
      </c>
      <c r="F311" s="242" t="str">
        <f t="shared" si="78"/>
        <v/>
      </c>
      <c r="G311" s="199">
        <v>65000.0</v>
      </c>
      <c r="H311" s="243">
        <f t="shared" si="79"/>
        <v>2535000</v>
      </c>
      <c r="I311" s="200">
        <v>75000.0</v>
      </c>
      <c r="J311" s="244">
        <f t="shared" si="80"/>
        <v>2925000</v>
      </c>
      <c r="K311" s="245">
        <f t="shared" si="81"/>
        <v>390000</v>
      </c>
      <c r="L311" s="246">
        <f t="shared" si="82"/>
        <v>0.1538461538</v>
      </c>
      <c r="M311" s="247"/>
    </row>
    <row r="312" ht="15.75" customHeight="1">
      <c r="A312" s="248">
        <v>12.0</v>
      </c>
      <c r="B312" s="276" t="s">
        <v>1934</v>
      </c>
      <c r="C312" s="239" t="s">
        <v>109</v>
      </c>
      <c r="D312" s="254">
        <v>4.0</v>
      </c>
      <c r="E312" s="241" t="str">
        <f>'Daftar Harga'!D388</f>
        <v/>
      </c>
      <c r="F312" s="242" t="str">
        <f t="shared" si="78"/>
        <v/>
      </c>
      <c r="G312" s="199">
        <v>45000.0</v>
      </c>
      <c r="H312" s="243">
        <f t="shared" si="79"/>
        <v>180000</v>
      </c>
      <c r="I312" s="200">
        <v>45000.0</v>
      </c>
      <c r="J312" s="244">
        <f t="shared" si="80"/>
        <v>180000</v>
      </c>
      <c r="K312" s="245">
        <f t="shared" si="81"/>
        <v>0</v>
      </c>
      <c r="L312" s="246">
        <f t="shared" si="82"/>
        <v>0</v>
      </c>
      <c r="M312" s="252"/>
    </row>
    <row r="313" ht="15.75" customHeight="1">
      <c r="A313" s="239">
        <v>13.0</v>
      </c>
      <c r="B313" s="276" t="s">
        <v>1935</v>
      </c>
      <c r="C313" s="239" t="s">
        <v>109</v>
      </c>
      <c r="D313" s="254">
        <v>3.9</v>
      </c>
      <c r="E313" s="241" t="str">
        <f>'Daftar Harga'!D389</f>
        <v/>
      </c>
      <c r="F313" s="242" t="str">
        <f t="shared" si="78"/>
        <v/>
      </c>
      <c r="G313" s="199">
        <v>40000.0</v>
      </c>
      <c r="H313" s="243">
        <f t="shared" si="79"/>
        <v>156000</v>
      </c>
      <c r="I313" s="200">
        <v>36000.0</v>
      </c>
      <c r="J313" s="244">
        <f t="shared" si="80"/>
        <v>140400</v>
      </c>
      <c r="K313" s="245">
        <f t="shared" si="81"/>
        <v>-15600</v>
      </c>
      <c r="L313" s="246">
        <f t="shared" si="82"/>
        <v>-0.1</v>
      </c>
      <c r="M313" s="252"/>
    </row>
    <row r="314" ht="15.75" customHeight="1">
      <c r="A314" s="248">
        <v>14.0</v>
      </c>
      <c r="B314" s="276" t="s">
        <v>1542</v>
      </c>
      <c r="C314" s="239" t="s">
        <v>109</v>
      </c>
      <c r="D314" s="254">
        <v>0.3</v>
      </c>
      <c r="E314" s="241" t="str">
        <f>'Daftar Harga'!D390</f>
        <v/>
      </c>
      <c r="F314" s="242" t="str">
        <f t="shared" si="78"/>
        <v/>
      </c>
      <c r="G314" s="199">
        <v>40000.0</v>
      </c>
      <c r="H314" s="243">
        <f t="shared" si="79"/>
        <v>12000</v>
      </c>
      <c r="I314" s="200">
        <v>30000.0</v>
      </c>
      <c r="J314" s="244">
        <f t="shared" si="80"/>
        <v>9000</v>
      </c>
      <c r="K314" s="245">
        <f t="shared" si="81"/>
        <v>-3000</v>
      </c>
      <c r="L314" s="246">
        <f t="shared" si="82"/>
        <v>-0.25</v>
      </c>
      <c r="M314" s="252"/>
    </row>
    <row r="315" ht="15.75" customHeight="1">
      <c r="A315" s="239">
        <v>15.0</v>
      </c>
      <c r="B315" s="276" t="s">
        <v>1642</v>
      </c>
      <c r="C315" s="239" t="s">
        <v>109</v>
      </c>
      <c r="D315" s="277">
        <v>0.5</v>
      </c>
      <c r="E315" s="241" t="str">
        <f>'Daftar Harga'!D397</f>
        <v/>
      </c>
      <c r="F315" s="242" t="str">
        <f t="shared" si="78"/>
        <v/>
      </c>
      <c r="G315" s="199">
        <v>15000.0</v>
      </c>
      <c r="H315" s="243">
        <f t="shared" si="79"/>
        <v>7500</v>
      </c>
      <c r="I315" s="200">
        <v>17000.0</v>
      </c>
      <c r="J315" s="244">
        <f t="shared" si="80"/>
        <v>8500</v>
      </c>
      <c r="K315" s="250">
        <f t="shared" si="81"/>
        <v>1000</v>
      </c>
      <c r="L315" s="251">
        <f t="shared" si="82"/>
        <v>0.1333333333</v>
      </c>
      <c r="M315" s="252"/>
    </row>
    <row r="316" ht="15.75" customHeight="1">
      <c r="A316" s="248">
        <v>16.0</v>
      </c>
      <c r="B316" s="275" t="s">
        <v>2147</v>
      </c>
      <c r="C316" s="239" t="s">
        <v>109</v>
      </c>
      <c r="D316" s="254">
        <v>1.0</v>
      </c>
      <c r="E316" s="241"/>
      <c r="F316" s="242"/>
      <c r="G316" s="199">
        <v>80000.0</v>
      </c>
      <c r="H316" s="243">
        <f t="shared" si="79"/>
        <v>80000</v>
      </c>
      <c r="I316" s="200">
        <v>75000.0</v>
      </c>
      <c r="J316" s="244">
        <f t="shared" si="80"/>
        <v>75000</v>
      </c>
      <c r="K316" s="250">
        <f t="shared" si="81"/>
        <v>-5000</v>
      </c>
      <c r="L316" s="251">
        <f t="shared" si="82"/>
        <v>-0.0625</v>
      </c>
      <c r="M316" s="247"/>
    </row>
    <row r="317" ht="15.75" customHeight="1">
      <c r="A317" s="239">
        <v>17.0</v>
      </c>
      <c r="B317" s="275" t="s">
        <v>2148</v>
      </c>
      <c r="C317" s="239" t="s">
        <v>109</v>
      </c>
      <c r="D317" s="254">
        <v>1.0</v>
      </c>
      <c r="E317" s="241"/>
      <c r="F317" s="242"/>
      <c r="G317" s="199">
        <v>18000.0</v>
      </c>
      <c r="H317" s="243">
        <f t="shared" si="79"/>
        <v>18000</v>
      </c>
      <c r="I317" s="200">
        <v>17000.0</v>
      </c>
      <c r="J317" s="264">
        <f t="shared" si="80"/>
        <v>17000</v>
      </c>
      <c r="K317" s="250">
        <f t="shared" si="81"/>
        <v>-1000</v>
      </c>
      <c r="L317" s="251">
        <f t="shared" si="82"/>
        <v>-0.05555555556</v>
      </c>
      <c r="M317" s="247"/>
    </row>
    <row r="318" ht="15.75" customHeight="1">
      <c r="A318" s="272" t="s">
        <v>1708</v>
      </c>
      <c r="B318" s="206"/>
      <c r="C318" s="206"/>
      <c r="D318" s="174"/>
      <c r="E318" s="257"/>
      <c r="F318" s="258">
        <f>SUMIF(F301:F317,"&lt;&gt;",F301:F317)</f>
        <v>0</v>
      </c>
      <c r="G318" s="257"/>
      <c r="H318" s="258">
        <f>SUMIF(H301:H317,"&lt;&gt;",H301:H317)</f>
        <v>11798500</v>
      </c>
      <c r="I318" s="259"/>
      <c r="J318" s="282">
        <f>SUMIF(J301:J317,"&lt;&gt;",J301:J317)</f>
        <v>13304800</v>
      </c>
      <c r="K318" s="261">
        <f t="shared" si="81"/>
        <v>1506300</v>
      </c>
      <c r="L318" s="262">
        <f t="shared" si="82"/>
        <v>0.1276687715</v>
      </c>
      <c r="M318" s="257"/>
    </row>
    <row r="319" ht="15.75" customHeight="1"/>
    <row r="320" ht="15.75" customHeight="1">
      <c r="A320" s="273" t="s">
        <v>1709</v>
      </c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6"/>
    </row>
    <row r="321" ht="15.75" customHeight="1">
      <c r="A321" s="229" t="s">
        <v>1509</v>
      </c>
      <c r="B321" s="229" t="s">
        <v>1510</v>
      </c>
      <c r="C321" s="229" t="s">
        <v>1511</v>
      </c>
      <c r="D321" s="229" t="s">
        <v>1614</v>
      </c>
      <c r="E321" s="230" t="s">
        <v>1615</v>
      </c>
      <c r="F321" s="174"/>
      <c r="G321" s="231" t="s">
        <v>1616</v>
      </c>
      <c r="H321" s="174"/>
      <c r="I321" s="232" t="s">
        <v>1617</v>
      </c>
      <c r="J321" s="174"/>
      <c r="K321" s="233" t="s">
        <v>1618</v>
      </c>
      <c r="L321" s="174"/>
      <c r="M321" s="229" t="s">
        <v>1619</v>
      </c>
    </row>
    <row r="322" ht="15.75" customHeight="1">
      <c r="A322" s="234" t="s">
        <v>1509</v>
      </c>
      <c r="B322" s="234" t="s">
        <v>1510</v>
      </c>
      <c r="C322" s="234" t="s">
        <v>1511</v>
      </c>
      <c r="D322" s="234" t="s">
        <v>1614</v>
      </c>
      <c r="E322" s="235" t="s">
        <v>1620</v>
      </c>
      <c r="F322" s="235" t="s">
        <v>1621</v>
      </c>
      <c r="G322" s="236" t="s">
        <v>1622</v>
      </c>
      <c r="H322" s="236" t="s">
        <v>1623</v>
      </c>
      <c r="I322" s="237" t="s">
        <v>1624</v>
      </c>
      <c r="J322" s="237" t="s">
        <v>1625</v>
      </c>
      <c r="K322" s="238" t="s">
        <v>1626</v>
      </c>
      <c r="L322" s="238" t="s">
        <v>1627</v>
      </c>
      <c r="M322" s="234" t="s">
        <v>1619</v>
      </c>
    </row>
    <row r="323" ht="15.75" customHeight="1">
      <c r="A323" s="239">
        <v>1.0</v>
      </c>
      <c r="B323" s="275" t="s">
        <v>1527</v>
      </c>
      <c r="C323" s="239" t="s">
        <v>109</v>
      </c>
      <c r="D323" s="254">
        <v>102.0</v>
      </c>
      <c r="E323" s="241" t="str">
        <f>'Daftar Harga'!D325</f>
        <v/>
      </c>
      <c r="F323" s="242" t="str">
        <f t="shared" ref="F323:F337" si="83">IF(E323&lt;&gt;"",D323*E323,"")</f>
        <v/>
      </c>
      <c r="G323" s="311">
        <v>14500.0</v>
      </c>
      <c r="H323" s="243">
        <f t="shared" ref="H323:H340" si="84">IF(G323&lt;&gt;"",D323*G323,"")</f>
        <v>1479000</v>
      </c>
      <c r="I323" s="200">
        <v>15700.0</v>
      </c>
      <c r="J323" s="244">
        <f t="shared" ref="J323:J340" si="85">IF(I323&lt;&gt;"",D323*I323,"")</f>
        <v>1601400</v>
      </c>
      <c r="K323" s="245">
        <f t="shared" ref="K323:K341" si="86">IF(J323&lt;&gt;"",IF(H323&lt;&gt;"",J323-H323,IF(F323&lt;&gt;"",J323-F323,"")),"")</f>
        <v>122400</v>
      </c>
      <c r="L323" s="246">
        <f t="shared" ref="L323:L341" si="87">IF(K323&lt;&gt;"",IF(H323&lt;&gt;"",IF(H323&lt;&gt;0,K323/H323,""),IF(F323&lt;&gt;"",IF(F323&lt;&gt;0,K323/F323,""),"")),"")</f>
        <v>0.08275862069</v>
      </c>
      <c r="M323" s="247"/>
    </row>
    <row r="324" ht="15.75" customHeight="1">
      <c r="A324" s="248">
        <v>2.0</v>
      </c>
      <c r="B324" s="276" t="s">
        <v>1566</v>
      </c>
      <c r="C324" s="239" t="s">
        <v>109</v>
      </c>
      <c r="D324" s="277">
        <v>5.0</v>
      </c>
      <c r="E324" s="241" t="str">
        <f>'Daftar Harga'!D330</f>
        <v/>
      </c>
      <c r="F324" s="242" t="str">
        <f t="shared" si="83"/>
        <v/>
      </c>
      <c r="G324" s="311">
        <v>95000.0</v>
      </c>
      <c r="H324" s="243">
        <f t="shared" si="84"/>
        <v>475000</v>
      </c>
      <c r="I324" s="200">
        <v>105000.0</v>
      </c>
      <c r="J324" s="244">
        <f t="shared" si="85"/>
        <v>525000</v>
      </c>
      <c r="K324" s="250">
        <f t="shared" si="86"/>
        <v>50000</v>
      </c>
      <c r="L324" s="251">
        <f t="shared" si="87"/>
        <v>0.1052631579</v>
      </c>
      <c r="M324" s="252"/>
    </row>
    <row r="325" ht="15.75" customHeight="1">
      <c r="A325" s="239">
        <v>3.0</v>
      </c>
      <c r="B325" s="275" t="s">
        <v>1846</v>
      </c>
      <c r="C325" s="278" t="s">
        <v>1557</v>
      </c>
      <c r="D325" s="254">
        <v>1.0</v>
      </c>
      <c r="E325" s="241" t="str">
        <f>'Daftar Harga'!D334</f>
        <v/>
      </c>
      <c r="F325" s="242" t="str">
        <f t="shared" si="83"/>
        <v/>
      </c>
      <c r="G325" s="311">
        <v>52000.0</v>
      </c>
      <c r="H325" s="243">
        <f t="shared" si="84"/>
        <v>52000</v>
      </c>
      <c r="I325" s="200">
        <v>57000.0</v>
      </c>
      <c r="J325" s="244">
        <f t="shared" si="85"/>
        <v>57000</v>
      </c>
      <c r="K325" s="245">
        <f t="shared" si="86"/>
        <v>5000</v>
      </c>
      <c r="L325" s="246">
        <f t="shared" si="87"/>
        <v>0.09615384615</v>
      </c>
      <c r="M325" s="247"/>
    </row>
    <row r="326" ht="15.75" customHeight="1">
      <c r="A326" s="248">
        <v>4.0</v>
      </c>
      <c r="B326" s="276" t="s">
        <v>2139</v>
      </c>
      <c r="C326" s="239" t="s">
        <v>109</v>
      </c>
      <c r="D326" s="277">
        <v>17.0</v>
      </c>
      <c r="E326" s="241" t="str">
        <f>'Daftar Harga'!D341</f>
        <v/>
      </c>
      <c r="F326" s="242" t="str">
        <f t="shared" si="83"/>
        <v/>
      </c>
      <c r="G326" s="311">
        <v>11250.0</v>
      </c>
      <c r="H326" s="243">
        <f t="shared" si="84"/>
        <v>191250</v>
      </c>
      <c r="I326" s="200">
        <v>12000.0</v>
      </c>
      <c r="J326" s="244">
        <f t="shared" si="85"/>
        <v>204000</v>
      </c>
      <c r="K326" s="250">
        <f t="shared" si="86"/>
        <v>12750</v>
      </c>
      <c r="L326" s="251">
        <f t="shared" si="87"/>
        <v>0.06666666667</v>
      </c>
      <c r="M326" s="252"/>
    </row>
    <row r="327" ht="15.75" customHeight="1">
      <c r="A327" s="239">
        <v>5.0</v>
      </c>
      <c r="B327" s="275" t="s">
        <v>1578</v>
      </c>
      <c r="C327" s="278" t="s">
        <v>633</v>
      </c>
      <c r="D327" s="254">
        <v>46.0</v>
      </c>
      <c r="E327" s="241" t="str">
        <f>'Daftar Harga'!D348</f>
        <v/>
      </c>
      <c r="F327" s="242" t="str">
        <f t="shared" si="83"/>
        <v/>
      </c>
      <c r="G327" s="311">
        <v>21750.0</v>
      </c>
      <c r="H327" s="243">
        <f t="shared" si="84"/>
        <v>1000500</v>
      </c>
      <c r="I327" s="200">
        <v>24000.0</v>
      </c>
      <c r="J327" s="244">
        <f t="shared" si="85"/>
        <v>1104000</v>
      </c>
      <c r="K327" s="245">
        <f t="shared" si="86"/>
        <v>103500</v>
      </c>
      <c r="L327" s="246">
        <f t="shared" si="87"/>
        <v>0.1034482759</v>
      </c>
      <c r="M327" s="247"/>
    </row>
    <row r="328" ht="15.75" customHeight="1">
      <c r="A328" s="248">
        <v>6.0</v>
      </c>
      <c r="B328" s="276" t="s">
        <v>1600</v>
      </c>
      <c r="C328" s="278" t="s">
        <v>109</v>
      </c>
      <c r="D328" s="277">
        <v>105.0</v>
      </c>
      <c r="E328" s="241" t="str">
        <f>'Daftar Harga'!D368</f>
        <v/>
      </c>
      <c r="F328" s="242" t="str">
        <f t="shared" si="83"/>
        <v/>
      </c>
      <c r="G328" s="311">
        <v>24500.0</v>
      </c>
      <c r="H328" s="243">
        <f t="shared" si="84"/>
        <v>2572500</v>
      </c>
      <c r="I328" s="200">
        <v>28000.0</v>
      </c>
      <c r="J328" s="244">
        <f t="shared" si="85"/>
        <v>2940000</v>
      </c>
      <c r="K328" s="245">
        <f t="shared" si="86"/>
        <v>367500</v>
      </c>
      <c r="L328" s="246">
        <f t="shared" si="87"/>
        <v>0.1428571429</v>
      </c>
      <c r="M328" s="252"/>
    </row>
    <row r="329" ht="15.75" customHeight="1">
      <c r="A329" s="239">
        <v>7.0</v>
      </c>
      <c r="B329" s="275" t="s">
        <v>1609</v>
      </c>
      <c r="C329" s="239" t="s">
        <v>109</v>
      </c>
      <c r="D329" s="254">
        <v>35.0</v>
      </c>
      <c r="E329" s="241" t="str">
        <f>'Daftar Harga'!D371</f>
        <v/>
      </c>
      <c r="F329" s="242" t="str">
        <f t="shared" si="83"/>
        <v/>
      </c>
      <c r="G329" s="311">
        <v>15000.0</v>
      </c>
      <c r="H329" s="243">
        <f t="shared" si="84"/>
        <v>525000</v>
      </c>
      <c r="I329" s="200">
        <v>17000.0</v>
      </c>
      <c r="J329" s="244">
        <f t="shared" si="85"/>
        <v>595000</v>
      </c>
      <c r="K329" s="245">
        <f t="shared" si="86"/>
        <v>70000</v>
      </c>
      <c r="L329" s="246">
        <f t="shared" si="87"/>
        <v>0.1333333333</v>
      </c>
      <c r="M329" s="247"/>
    </row>
    <row r="330" ht="15.75" customHeight="1">
      <c r="A330" s="248">
        <v>8.0</v>
      </c>
      <c r="B330" s="276" t="s">
        <v>2025</v>
      </c>
      <c r="C330" s="278" t="s">
        <v>109</v>
      </c>
      <c r="D330" s="277">
        <v>30.0</v>
      </c>
      <c r="E330" s="241" t="str">
        <f>'Daftar Harga'!D383</f>
        <v/>
      </c>
      <c r="F330" s="242" t="str">
        <f t="shared" si="83"/>
        <v/>
      </c>
      <c r="G330" s="311">
        <v>26000.0</v>
      </c>
      <c r="H330" s="243">
        <f t="shared" si="84"/>
        <v>780000</v>
      </c>
      <c r="I330" s="200">
        <v>30000.0</v>
      </c>
      <c r="J330" s="244">
        <f t="shared" si="85"/>
        <v>900000</v>
      </c>
      <c r="K330" s="245">
        <f t="shared" si="86"/>
        <v>120000</v>
      </c>
      <c r="L330" s="246">
        <f t="shared" si="87"/>
        <v>0.1538461538</v>
      </c>
      <c r="M330" s="252"/>
    </row>
    <row r="331" ht="15.75" customHeight="1">
      <c r="A331" s="239">
        <v>9.0</v>
      </c>
      <c r="B331" s="275" t="s">
        <v>2127</v>
      </c>
      <c r="C331" s="278" t="s">
        <v>67</v>
      </c>
      <c r="D331" s="254">
        <v>60.0</v>
      </c>
      <c r="E331" s="241" t="str">
        <f>'Daftar Harga'!D388</f>
        <v/>
      </c>
      <c r="F331" s="242" t="str">
        <f t="shared" si="83"/>
        <v/>
      </c>
      <c r="G331" s="199">
        <v>12000.0</v>
      </c>
      <c r="H331" s="243">
        <f t="shared" si="84"/>
        <v>720000</v>
      </c>
      <c r="I331" s="200">
        <v>14000.0</v>
      </c>
      <c r="J331" s="244">
        <f t="shared" si="85"/>
        <v>840000</v>
      </c>
      <c r="K331" s="245">
        <f t="shared" si="86"/>
        <v>120000</v>
      </c>
      <c r="L331" s="246">
        <f t="shared" si="87"/>
        <v>0.1666666667</v>
      </c>
      <c r="M331" s="247"/>
    </row>
    <row r="332" ht="15.75" customHeight="1">
      <c r="A332" s="248">
        <v>10.0</v>
      </c>
      <c r="B332" s="276" t="s">
        <v>1236</v>
      </c>
      <c r="C332" s="239" t="s">
        <v>109</v>
      </c>
      <c r="D332" s="277">
        <v>144.0</v>
      </c>
      <c r="E332" s="241" t="str">
        <f>'Daftar Harga'!D391</f>
        <v/>
      </c>
      <c r="F332" s="242" t="str">
        <f t="shared" si="83"/>
        <v/>
      </c>
      <c r="G332" s="199">
        <v>26500.0</v>
      </c>
      <c r="H332" s="243">
        <f t="shared" si="84"/>
        <v>3816000</v>
      </c>
      <c r="I332" s="200">
        <v>30000.0</v>
      </c>
      <c r="J332" s="244">
        <f t="shared" si="85"/>
        <v>4320000</v>
      </c>
      <c r="K332" s="245">
        <f t="shared" si="86"/>
        <v>504000</v>
      </c>
      <c r="L332" s="246">
        <f t="shared" si="87"/>
        <v>0.1320754717</v>
      </c>
      <c r="M332" s="252"/>
    </row>
    <row r="333" ht="15.75" customHeight="1">
      <c r="A333" s="239">
        <v>11.0</v>
      </c>
      <c r="B333" s="275" t="s">
        <v>1934</v>
      </c>
      <c r="C333" s="239" t="s">
        <v>109</v>
      </c>
      <c r="D333" s="254">
        <v>2.0</v>
      </c>
      <c r="E333" s="241" t="str">
        <f>'Daftar Harga'!D409</f>
        <v/>
      </c>
      <c r="F333" s="242" t="str">
        <f t="shared" si="83"/>
        <v/>
      </c>
      <c r="G333" s="199">
        <v>32000.0</v>
      </c>
      <c r="H333" s="243">
        <f t="shared" si="84"/>
        <v>64000</v>
      </c>
      <c r="I333" s="200">
        <v>40000.0</v>
      </c>
      <c r="J333" s="244">
        <f t="shared" si="85"/>
        <v>80000</v>
      </c>
      <c r="K333" s="245">
        <f t="shared" si="86"/>
        <v>16000</v>
      </c>
      <c r="L333" s="246">
        <f t="shared" si="87"/>
        <v>0.25</v>
      </c>
      <c r="M333" s="247"/>
    </row>
    <row r="334" ht="15.75" customHeight="1">
      <c r="A334" s="248">
        <v>12.0</v>
      </c>
      <c r="B334" s="276" t="s">
        <v>1935</v>
      </c>
      <c r="C334" s="239" t="s">
        <v>109</v>
      </c>
      <c r="D334" s="254">
        <v>5.0</v>
      </c>
      <c r="E334" s="241" t="str">
        <f>'Daftar Harga'!D410</f>
        <v/>
      </c>
      <c r="F334" s="242" t="str">
        <f t="shared" si="83"/>
        <v/>
      </c>
      <c r="G334" s="199">
        <v>45000.0</v>
      </c>
      <c r="H334" s="243">
        <f t="shared" si="84"/>
        <v>225000</v>
      </c>
      <c r="I334" s="200">
        <v>45000.0</v>
      </c>
      <c r="J334" s="244">
        <f t="shared" si="85"/>
        <v>225000</v>
      </c>
      <c r="K334" s="245">
        <f t="shared" si="86"/>
        <v>0</v>
      </c>
      <c r="L334" s="246">
        <f t="shared" si="87"/>
        <v>0</v>
      </c>
      <c r="M334" s="252"/>
    </row>
    <row r="335" ht="15.75" customHeight="1">
      <c r="A335" s="239">
        <v>13.0</v>
      </c>
      <c r="B335" s="276" t="s">
        <v>1542</v>
      </c>
      <c r="C335" s="239" t="s">
        <v>109</v>
      </c>
      <c r="D335" s="254">
        <v>0.3</v>
      </c>
      <c r="E335" s="241" t="str">
        <f>'Daftar Harga'!D411</f>
        <v/>
      </c>
      <c r="F335" s="242" t="str">
        <f t="shared" si="83"/>
        <v/>
      </c>
      <c r="G335" s="199">
        <v>40000.0</v>
      </c>
      <c r="H335" s="243">
        <f t="shared" si="84"/>
        <v>12000</v>
      </c>
      <c r="I335" s="200">
        <v>30000.0</v>
      </c>
      <c r="J335" s="244">
        <f t="shared" si="85"/>
        <v>9000</v>
      </c>
      <c r="K335" s="245">
        <f t="shared" si="86"/>
        <v>-3000</v>
      </c>
      <c r="L335" s="246">
        <f t="shared" si="87"/>
        <v>-0.25</v>
      </c>
      <c r="M335" s="252"/>
    </row>
    <row r="336" ht="15.75" customHeight="1">
      <c r="A336" s="248">
        <v>14.0</v>
      </c>
      <c r="B336" s="276" t="s">
        <v>1595</v>
      </c>
      <c r="C336" s="239" t="s">
        <v>109</v>
      </c>
      <c r="D336" s="254">
        <v>1.8</v>
      </c>
      <c r="E336" s="241" t="str">
        <f>'Daftar Harga'!D412</f>
        <v/>
      </c>
      <c r="F336" s="242" t="str">
        <f t="shared" si="83"/>
        <v/>
      </c>
      <c r="G336" s="199">
        <v>12500.0</v>
      </c>
      <c r="H336" s="243">
        <f t="shared" si="84"/>
        <v>22500</v>
      </c>
      <c r="I336" s="200">
        <v>15000.0</v>
      </c>
      <c r="J336" s="244">
        <f t="shared" si="85"/>
        <v>27000</v>
      </c>
      <c r="K336" s="245">
        <f t="shared" si="86"/>
        <v>4500</v>
      </c>
      <c r="L336" s="246">
        <f t="shared" si="87"/>
        <v>0.2</v>
      </c>
      <c r="M336" s="252"/>
    </row>
    <row r="337" ht="15.75" customHeight="1">
      <c r="A337" s="239">
        <v>15.0</v>
      </c>
      <c r="B337" s="276" t="s">
        <v>1522</v>
      </c>
      <c r="C337" s="239" t="s">
        <v>109</v>
      </c>
      <c r="D337" s="277">
        <v>2.0</v>
      </c>
      <c r="E337" s="241" t="str">
        <f>'Daftar Harga'!D419</f>
        <v/>
      </c>
      <c r="F337" s="242" t="str">
        <f t="shared" si="83"/>
        <v/>
      </c>
      <c r="G337" s="199">
        <v>28000.0</v>
      </c>
      <c r="H337" s="243">
        <f t="shared" si="84"/>
        <v>56000</v>
      </c>
      <c r="I337" s="200">
        <v>35000.0</v>
      </c>
      <c r="J337" s="244">
        <f t="shared" si="85"/>
        <v>70000</v>
      </c>
      <c r="K337" s="245">
        <f t="shared" si="86"/>
        <v>14000</v>
      </c>
      <c r="L337" s="246">
        <f t="shared" si="87"/>
        <v>0.25</v>
      </c>
      <c r="M337" s="252"/>
    </row>
    <row r="338" ht="15.75" customHeight="1">
      <c r="A338" s="248">
        <v>16.0</v>
      </c>
      <c r="B338" s="275" t="s">
        <v>2149</v>
      </c>
      <c r="C338" s="278" t="s">
        <v>2150</v>
      </c>
      <c r="D338" s="254">
        <v>300.0</v>
      </c>
      <c r="E338" s="241"/>
      <c r="F338" s="242"/>
      <c r="G338" s="199">
        <v>30.0</v>
      </c>
      <c r="H338" s="243">
        <f t="shared" si="84"/>
        <v>9000</v>
      </c>
      <c r="I338" s="200">
        <v>35.0</v>
      </c>
      <c r="J338" s="244">
        <f t="shared" si="85"/>
        <v>10500</v>
      </c>
      <c r="K338" s="245">
        <f t="shared" si="86"/>
        <v>1500</v>
      </c>
      <c r="L338" s="246">
        <f t="shared" si="87"/>
        <v>0.1666666667</v>
      </c>
      <c r="M338" s="247"/>
    </row>
    <row r="339" ht="15.75" customHeight="1">
      <c r="A339" s="239">
        <v>17.0</v>
      </c>
      <c r="B339" s="275" t="s">
        <v>2151</v>
      </c>
      <c r="C339" s="239" t="s">
        <v>109</v>
      </c>
      <c r="D339" s="254">
        <v>2.0</v>
      </c>
      <c r="E339" s="241"/>
      <c r="F339" s="242"/>
      <c r="G339" s="199">
        <v>17500.0</v>
      </c>
      <c r="H339" s="243">
        <f t="shared" si="84"/>
        <v>35000</v>
      </c>
      <c r="I339" s="200">
        <v>20000.0</v>
      </c>
      <c r="J339" s="244">
        <f t="shared" si="85"/>
        <v>40000</v>
      </c>
      <c r="K339" s="245">
        <f t="shared" si="86"/>
        <v>5000</v>
      </c>
      <c r="L339" s="246">
        <f t="shared" si="87"/>
        <v>0.1428571429</v>
      </c>
      <c r="M339" s="247"/>
    </row>
    <row r="340" ht="15.75" customHeight="1">
      <c r="A340" s="248">
        <v>18.0</v>
      </c>
      <c r="B340" s="275" t="s">
        <v>2152</v>
      </c>
      <c r="C340" s="239" t="s">
        <v>109</v>
      </c>
      <c r="D340" s="254">
        <v>1.0</v>
      </c>
      <c r="E340" s="241"/>
      <c r="F340" s="242"/>
      <c r="G340" s="199">
        <v>27000.0</v>
      </c>
      <c r="H340" s="243">
        <f t="shared" si="84"/>
        <v>27000</v>
      </c>
      <c r="I340" s="200">
        <v>28500.0</v>
      </c>
      <c r="J340" s="264">
        <f t="shared" si="85"/>
        <v>28500</v>
      </c>
      <c r="K340" s="245">
        <f t="shared" si="86"/>
        <v>1500</v>
      </c>
      <c r="L340" s="251">
        <f t="shared" si="87"/>
        <v>0.05555555556</v>
      </c>
      <c r="M340" s="247"/>
    </row>
    <row r="341" ht="15.75" customHeight="1">
      <c r="A341" s="272" t="s">
        <v>1715</v>
      </c>
      <c r="B341" s="206"/>
      <c r="C341" s="206"/>
      <c r="D341" s="174"/>
      <c r="E341" s="257"/>
      <c r="F341" s="258">
        <f>SUMIF(F323:F340,"&lt;&gt;",F323:F340)</f>
        <v>0</v>
      </c>
      <c r="G341" s="257"/>
      <c r="H341" s="258">
        <f>SUMIF(H323:H340,"&lt;&gt;",H323:H340)</f>
        <v>12061750</v>
      </c>
      <c r="I341" s="259"/>
      <c r="J341" s="282">
        <f>SUMIF(J323:J340,"&lt;&gt;",J323:J340)</f>
        <v>13576400</v>
      </c>
      <c r="K341" s="261">
        <f t="shared" si="86"/>
        <v>1514650</v>
      </c>
      <c r="L341" s="262">
        <f t="shared" si="87"/>
        <v>0.1255746471</v>
      </c>
      <c r="M341" s="257"/>
    </row>
    <row r="342" ht="15.75" customHeight="1"/>
    <row r="343" ht="15.75" customHeight="1">
      <c r="A343" s="273" t="s">
        <v>1716</v>
      </c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6"/>
    </row>
    <row r="344" ht="15.75" customHeight="1">
      <c r="A344" s="229" t="s">
        <v>1509</v>
      </c>
      <c r="B344" s="229" t="s">
        <v>1510</v>
      </c>
      <c r="C344" s="229" t="s">
        <v>1511</v>
      </c>
      <c r="D344" s="229" t="s">
        <v>1614</v>
      </c>
      <c r="E344" s="230" t="s">
        <v>1615</v>
      </c>
      <c r="F344" s="174"/>
      <c r="G344" s="231" t="s">
        <v>1616</v>
      </c>
      <c r="H344" s="174"/>
      <c r="I344" s="232" t="s">
        <v>1617</v>
      </c>
      <c r="J344" s="174"/>
      <c r="K344" s="233" t="s">
        <v>1618</v>
      </c>
      <c r="L344" s="174"/>
      <c r="M344" s="229" t="s">
        <v>1619</v>
      </c>
    </row>
    <row r="345" ht="15.75" customHeight="1">
      <c r="A345" s="234" t="s">
        <v>1509</v>
      </c>
      <c r="B345" s="234" t="s">
        <v>1510</v>
      </c>
      <c r="C345" s="234" t="s">
        <v>1511</v>
      </c>
      <c r="D345" s="234" t="s">
        <v>1614</v>
      </c>
      <c r="E345" s="235" t="s">
        <v>1620</v>
      </c>
      <c r="F345" s="235" t="s">
        <v>1621</v>
      </c>
      <c r="G345" s="236" t="s">
        <v>1622</v>
      </c>
      <c r="H345" s="236" t="s">
        <v>1623</v>
      </c>
      <c r="I345" s="237" t="s">
        <v>1624</v>
      </c>
      <c r="J345" s="237" t="s">
        <v>1625</v>
      </c>
      <c r="K345" s="238" t="s">
        <v>1626</v>
      </c>
      <c r="L345" s="238" t="s">
        <v>1627</v>
      </c>
      <c r="M345" s="234" t="s">
        <v>1619</v>
      </c>
    </row>
    <row r="346" ht="15.75" customHeight="1">
      <c r="A346" s="239">
        <v>1.0</v>
      </c>
      <c r="B346" s="275" t="s">
        <v>1527</v>
      </c>
      <c r="C346" s="239" t="s">
        <v>109</v>
      </c>
      <c r="D346" s="254">
        <v>40.0</v>
      </c>
      <c r="E346" s="241" t="str">
        <f>'Daftar Harga'!D348</f>
        <v/>
      </c>
      <c r="F346" s="242" t="str">
        <f t="shared" ref="F346:F360" si="88">IF(E346&lt;&gt;"",D346*E346,"")</f>
        <v/>
      </c>
      <c r="G346" s="311">
        <v>14500.0</v>
      </c>
      <c r="H346" s="243">
        <f t="shared" ref="H346:H361" si="89">IF(G346&lt;&gt;"",D346*G346,"")</f>
        <v>580000</v>
      </c>
      <c r="I346" s="200">
        <v>15700.0</v>
      </c>
      <c r="J346" s="244">
        <f t="shared" ref="J346:J361" si="90">IF(I346&lt;&gt;"",D346*I346,"")</f>
        <v>628000</v>
      </c>
      <c r="K346" s="245">
        <f t="shared" ref="K346:K362" si="91">IF(J346&lt;&gt;"",IF(H346&lt;&gt;"",J346-H346,IF(F346&lt;&gt;"",J346-F346,"")),"")</f>
        <v>48000</v>
      </c>
      <c r="L346" s="246">
        <f t="shared" ref="L346:L362" si="92">IF(K346&lt;&gt;"",IF(H346&lt;&gt;"",IF(H346&lt;&gt;0,K346/H346,""),IF(F346&lt;&gt;"",IF(F346&lt;&gt;0,K346/F346,""),"")),"")</f>
        <v>0.08275862069</v>
      </c>
      <c r="M346" s="247"/>
    </row>
    <row r="347" ht="15.75" customHeight="1">
      <c r="A347" s="248">
        <v>2.0</v>
      </c>
      <c r="B347" s="276" t="s">
        <v>2153</v>
      </c>
      <c r="C347" s="239" t="s">
        <v>109</v>
      </c>
      <c r="D347" s="277">
        <v>2.0</v>
      </c>
      <c r="E347" s="241" t="str">
        <f>'Daftar Harga'!D353</f>
        <v/>
      </c>
      <c r="F347" s="242" t="str">
        <f t="shared" si="88"/>
        <v/>
      </c>
      <c r="G347" s="311">
        <v>24000.0</v>
      </c>
      <c r="H347" s="243">
        <f t="shared" si="89"/>
        <v>48000</v>
      </c>
      <c r="I347" s="200">
        <v>27000.0</v>
      </c>
      <c r="J347" s="244">
        <f t="shared" si="90"/>
        <v>54000</v>
      </c>
      <c r="K347" s="250">
        <f t="shared" si="91"/>
        <v>6000</v>
      </c>
      <c r="L347" s="251">
        <f t="shared" si="92"/>
        <v>0.125</v>
      </c>
      <c r="M347" s="252"/>
    </row>
    <row r="348" ht="15.75" customHeight="1">
      <c r="A348" s="239">
        <v>3.0</v>
      </c>
      <c r="B348" s="275" t="s">
        <v>2154</v>
      </c>
      <c r="C348" s="239" t="s">
        <v>109</v>
      </c>
      <c r="D348" s="254">
        <v>4.0</v>
      </c>
      <c r="E348" s="241" t="str">
        <f>'Daftar Harga'!D357</f>
        <v/>
      </c>
      <c r="F348" s="242" t="str">
        <f t="shared" si="88"/>
        <v/>
      </c>
      <c r="G348" s="311">
        <v>23500.0</v>
      </c>
      <c r="H348" s="243">
        <f t="shared" si="89"/>
        <v>94000</v>
      </c>
      <c r="I348" s="200">
        <v>24500.0</v>
      </c>
      <c r="J348" s="244">
        <f t="shared" si="90"/>
        <v>98000</v>
      </c>
      <c r="K348" s="245">
        <f t="shared" si="91"/>
        <v>4000</v>
      </c>
      <c r="L348" s="246">
        <f t="shared" si="92"/>
        <v>0.04255319149</v>
      </c>
      <c r="M348" s="247"/>
    </row>
    <row r="349" ht="15.75" customHeight="1">
      <c r="A349" s="248">
        <v>4.0</v>
      </c>
      <c r="B349" s="276" t="s">
        <v>2155</v>
      </c>
      <c r="C349" s="239" t="s">
        <v>109</v>
      </c>
      <c r="D349" s="277">
        <v>0.5</v>
      </c>
      <c r="E349" s="241" t="str">
        <f>'Daftar Harga'!D364</f>
        <v/>
      </c>
      <c r="F349" s="242" t="str">
        <f t="shared" si="88"/>
        <v/>
      </c>
      <c r="G349" s="311">
        <v>85000.0</v>
      </c>
      <c r="H349" s="243">
        <f t="shared" si="89"/>
        <v>42500</v>
      </c>
      <c r="I349" s="200">
        <v>100000.0</v>
      </c>
      <c r="J349" s="244">
        <f t="shared" si="90"/>
        <v>50000</v>
      </c>
      <c r="K349" s="250">
        <f t="shared" si="91"/>
        <v>7500</v>
      </c>
      <c r="L349" s="251">
        <f t="shared" si="92"/>
        <v>0.1764705882</v>
      </c>
      <c r="M349" s="252"/>
    </row>
    <row r="350" ht="15.75" customHeight="1">
      <c r="A350" s="239">
        <v>5.0</v>
      </c>
      <c r="B350" s="275" t="s">
        <v>1566</v>
      </c>
      <c r="C350" s="239" t="s">
        <v>109</v>
      </c>
      <c r="D350" s="254">
        <v>4.0</v>
      </c>
      <c r="E350" s="241" t="str">
        <f>'Daftar Harga'!D371</f>
        <v/>
      </c>
      <c r="F350" s="242" t="str">
        <f t="shared" si="88"/>
        <v/>
      </c>
      <c r="G350" s="311">
        <v>95000.0</v>
      </c>
      <c r="H350" s="243">
        <f t="shared" si="89"/>
        <v>380000</v>
      </c>
      <c r="I350" s="200">
        <v>105000.0</v>
      </c>
      <c r="J350" s="244">
        <f t="shared" si="90"/>
        <v>420000</v>
      </c>
      <c r="K350" s="245">
        <f t="shared" si="91"/>
        <v>40000</v>
      </c>
      <c r="L350" s="246">
        <f t="shared" si="92"/>
        <v>0.1052631579</v>
      </c>
      <c r="M350" s="247"/>
    </row>
    <row r="351" ht="15.75" customHeight="1">
      <c r="A351" s="248">
        <v>6.0</v>
      </c>
      <c r="B351" s="276" t="s">
        <v>2141</v>
      </c>
      <c r="C351" s="239" t="s">
        <v>109</v>
      </c>
      <c r="D351" s="277">
        <v>1.0</v>
      </c>
      <c r="E351" s="241" t="str">
        <f>'Daftar Harga'!D391</f>
        <v/>
      </c>
      <c r="F351" s="242" t="str">
        <f t="shared" si="88"/>
        <v/>
      </c>
      <c r="G351" s="311">
        <v>52000.0</v>
      </c>
      <c r="H351" s="243">
        <f t="shared" si="89"/>
        <v>52000</v>
      </c>
      <c r="I351" s="200">
        <v>56000.0</v>
      </c>
      <c r="J351" s="244">
        <f t="shared" si="90"/>
        <v>56000</v>
      </c>
      <c r="K351" s="250">
        <f t="shared" si="91"/>
        <v>4000</v>
      </c>
      <c r="L351" s="251">
        <f t="shared" si="92"/>
        <v>0.07692307692</v>
      </c>
      <c r="M351" s="252"/>
    </row>
    <row r="352" ht="15.75" customHeight="1">
      <c r="A352" s="239">
        <v>7.0</v>
      </c>
      <c r="B352" s="275" t="s">
        <v>1578</v>
      </c>
      <c r="C352" s="239" t="s">
        <v>109</v>
      </c>
      <c r="D352" s="254">
        <v>13.0</v>
      </c>
      <c r="E352" s="241" t="str">
        <f>'Daftar Harga'!D394</f>
        <v/>
      </c>
      <c r="F352" s="242" t="str">
        <f t="shared" si="88"/>
        <v/>
      </c>
      <c r="G352" s="311">
        <v>21750.0</v>
      </c>
      <c r="H352" s="243">
        <f t="shared" si="89"/>
        <v>282750</v>
      </c>
      <c r="I352" s="200">
        <v>24000.0</v>
      </c>
      <c r="J352" s="244">
        <f t="shared" si="90"/>
        <v>312000</v>
      </c>
      <c r="K352" s="245">
        <f t="shared" si="91"/>
        <v>29250</v>
      </c>
      <c r="L352" s="246">
        <f t="shared" si="92"/>
        <v>0.1034482759</v>
      </c>
      <c r="M352" s="247"/>
    </row>
    <row r="353" ht="15.75" customHeight="1">
      <c r="A353" s="248">
        <v>8.0</v>
      </c>
      <c r="B353" s="276" t="s">
        <v>1230</v>
      </c>
      <c r="C353" s="239" t="s">
        <v>109</v>
      </c>
      <c r="D353" s="277">
        <v>93.8</v>
      </c>
      <c r="E353" s="241" t="str">
        <f>'Daftar Harga'!D406</f>
        <v/>
      </c>
      <c r="F353" s="242" t="str">
        <f t="shared" si="88"/>
        <v/>
      </c>
      <c r="G353" s="311">
        <v>13000.0</v>
      </c>
      <c r="H353" s="243">
        <f t="shared" si="89"/>
        <v>1219400</v>
      </c>
      <c r="I353" s="200">
        <v>15000.0</v>
      </c>
      <c r="J353" s="244">
        <f t="shared" si="90"/>
        <v>1407000</v>
      </c>
      <c r="K353" s="250">
        <f t="shared" si="91"/>
        <v>187600</v>
      </c>
      <c r="L353" s="251">
        <f t="shared" si="92"/>
        <v>0.1538461538</v>
      </c>
      <c r="M353" s="252"/>
    </row>
    <row r="354" ht="15.75" customHeight="1">
      <c r="A354" s="239">
        <v>9.0</v>
      </c>
      <c r="B354" s="275" t="s">
        <v>2156</v>
      </c>
      <c r="C354" s="239" t="s">
        <v>109</v>
      </c>
      <c r="D354" s="254">
        <v>4320.0</v>
      </c>
      <c r="E354" s="241" t="str">
        <f>'Daftar Harga'!D411</f>
        <v/>
      </c>
      <c r="F354" s="242" t="str">
        <f t="shared" si="88"/>
        <v/>
      </c>
      <c r="G354" s="199">
        <v>1350.0</v>
      </c>
      <c r="H354" s="243">
        <f t="shared" si="89"/>
        <v>5832000</v>
      </c>
      <c r="I354" s="200">
        <v>1500.0</v>
      </c>
      <c r="J354" s="244">
        <f t="shared" si="90"/>
        <v>6480000</v>
      </c>
      <c r="K354" s="245">
        <f t="shared" si="91"/>
        <v>648000</v>
      </c>
      <c r="L354" s="246">
        <f t="shared" si="92"/>
        <v>0.1111111111</v>
      </c>
      <c r="M354" s="247"/>
    </row>
    <row r="355" ht="15.75" customHeight="1">
      <c r="A355" s="248">
        <v>10.0</v>
      </c>
      <c r="B355" s="276" t="s">
        <v>2157</v>
      </c>
      <c r="C355" s="239" t="s">
        <v>109</v>
      </c>
      <c r="D355" s="277">
        <v>1694.0</v>
      </c>
      <c r="E355" s="241" t="str">
        <f>'Daftar Harga'!D414</f>
        <v/>
      </c>
      <c r="F355" s="242" t="str">
        <f t="shared" si="88"/>
        <v/>
      </c>
      <c r="G355" s="199">
        <v>500.0</v>
      </c>
      <c r="H355" s="243">
        <f t="shared" si="89"/>
        <v>847000</v>
      </c>
      <c r="I355" s="200">
        <v>700.0</v>
      </c>
      <c r="J355" s="244">
        <f t="shared" si="90"/>
        <v>1185800</v>
      </c>
      <c r="K355" s="250">
        <f t="shared" si="91"/>
        <v>338800</v>
      </c>
      <c r="L355" s="251">
        <f t="shared" si="92"/>
        <v>0.4</v>
      </c>
      <c r="M355" s="252"/>
    </row>
    <row r="356" ht="15.75" customHeight="1">
      <c r="A356" s="239">
        <v>11.0</v>
      </c>
      <c r="B356" s="275" t="s">
        <v>1609</v>
      </c>
      <c r="C356" s="239" t="s">
        <v>109</v>
      </c>
      <c r="D356" s="254">
        <v>40.0</v>
      </c>
      <c r="E356" s="241" t="str">
        <f>'Daftar Harga'!D432</f>
        <v/>
      </c>
      <c r="F356" s="242" t="str">
        <f t="shared" si="88"/>
        <v/>
      </c>
      <c r="G356" s="199">
        <v>16000.0</v>
      </c>
      <c r="H356" s="243">
        <f t="shared" si="89"/>
        <v>640000</v>
      </c>
      <c r="I356" s="200">
        <v>17000.0</v>
      </c>
      <c r="J356" s="244">
        <f t="shared" si="90"/>
        <v>680000</v>
      </c>
      <c r="K356" s="245">
        <f t="shared" si="91"/>
        <v>40000</v>
      </c>
      <c r="L356" s="246">
        <f t="shared" si="92"/>
        <v>0.0625</v>
      </c>
      <c r="M356" s="247"/>
    </row>
    <row r="357" ht="15.75" customHeight="1">
      <c r="A357" s="248">
        <v>12.0</v>
      </c>
      <c r="B357" s="276" t="s">
        <v>1223</v>
      </c>
      <c r="C357" s="239" t="s">
        <v>109</v>
      </c>
      <c r="D357" s="254">
        <v>25.0</v>
      </c>
      <c r="E357" s="241" t="str">
        <f>'Daftar Harga'!D433</f>
        <v/>
      </c>
      <c r="F357" s="242" t="str">
        <f t="shared" si="88"/>
        <v/>
      </c>
      <c r="G357" s="199">
        <v>22000.0</v>
      </c>
      <c r="H357" s="243">
        <f t="shared" si="89"/>
        <v>550000</v>
      </c>
      <c r="I357" s="200">
        <v>25000.0</v>
      </c>
      <c r="J357" s="244">
        <f t="shared" si="90"/>
        <v>625000</v>
      </c>
      <c r="K357" s="245">
        <f t="shared" si="91"/>
        <v>75000</v>
      </c>
      <c r="L357" s="246">
        <f t="shared" si="92"/>
        <v>0.1363636364</v>
      </c>
      <c r="M357" s="252"/>
    </row>
    <row r="358" ht="15.75" customHeight="1">
      <c r="A358" s="239">
        <v>13.0</v>
      </c>
      <c r="B358" s="276" t="s">
        <v>1112</v>
      </c>
      <c r="C358" s="239" t="s">
        <v>109</v>
      </c>
      <c r="D358" s="254">
        <v>144.0</v>
      </c>
      <c r="E358" s="241" t="str">
        <f>'Daftar Harga'!D434</f>
        <v/>
      </c>
      <c r="F358" s="242" t="str">
        <f t="shared" si="88"/>
        <v/>
      </c>
      <c r="G358" s="199">
        <v>15500.0</v>
      </c>
      <c r="H358" s="243">
        <f t="shared" si="89"/>
        <v>2232000</v>
      </c>
      <c r="I358" s="200">
        <v>18500.0</v>
      </c>
      <c r="J358" s="244">
        <f t="shared" si="90"/>
        <v>2664000</v>
      </c>
      <c r="K358" s="245">
        <f t="shared" si="91"/>
        <v>432000</v>
      </c>
      <c r="L358" s="246">
        <f t="shared" si="92"/>
        <v>0.1935483871</v>
      </c>
      <c r="M358" s="252"/>
    </row>
    <row r="359" ht="15.75" customHeight="1">
      <c r="A359" s="248">
        <v>14.0</v>
      </c>
      <c r="B359" s="276" t="s">
        <v>1934</v>
      </c>
      <c r="C359" s="239" t="s">
        <v>109</v>
      </c>
      <c r="D359" s="254">
        <v>2.0</v>
      </c>
      <c r="E359" s="241" t="str">
        <f>'Daftar Harga'!D435</f>
        <v/>
      </c>
      <c r="F359" s="242" t="str">
        <f t="shared" si="88"/>
        <v/>
      </c>
      <c r="G359" s="199">
        <v>45000.0</v>
      </c>
      <c r="H359" s="243">
        <f t="shared" si="89"/>
        <v>90000</v>
      </c>
      <c r="I359" s="200">
        <v>45000.0</v>
      </c>
      <c r="J359" s="244">
        <f t="shared" si="90"/>
        <v>90000</v>
      </c>
      <c r="K359" s="245">
        <f t="shared" si="91"/>
        <v>0</v>
      </c>
      <c r="L359" s="246">
        <f t="shared" si="92"/>
        <v>0</v>
      </c>
      <c r="M359" s="252"/>
    </row>
    <row r="360" ht="15.75" customHeight="1">
      <c r="A360" s="239">
        <v>15.0</v>
      </c>
      <c r="B360" s="276" t="s">
        <v>1935</v>
      </c>
      <c r="C360" s="239" t="s">
        <v>109</v>
      </c>
      <c r="D360" s="277">
        <v>8.0</v>
      </c>
      <c r="E360" s="241" t="str">
        <f>'Daftar Harga'!D442</f>
        <v/>
      </c>
      <c r="F360" s="242" t="str">
        <f t="shared" si="88"/>
        <v/>
      </c>
      <c r="G360" s="199">
        <v>35000.0</v>
      </c>
      <c r="H360" s="243">
        <f t="shared" si="89"/>
        <v>280000</v>
      </c>
      <c r="I360" s="200">
        <v>40000.0</v>
      </c>
      <c r="J360" s="244">
        <f t="shared" si="90"/>
        <v>320000</v>
      </c>
      <c r="K360" s="250">
        <f t="shared" si="91"/>
        <v>40000</v>
      </c>
      <c r="L360" s="251">
        <f t="shared" si="92"/>
        <v>0.1428571429</v>
      </c>
      <c r="M360" s="252"/>
    </row>
    <row r="361" ht="15.75" customHeight="1">
      <c r="A361" s="248">
        <v>16.0</v>
      </c>
      <c r="B361" s="275" t="s">
        <v>2021</v>
      </c>
      <c r="C361" s="239" t="s">
        <v>109</v>
      </c>
      <c r="D361" s="254">
        <v>2.0</v>
      </c>
      <c r="E361" s="241"/>
      <c r="F361" s="242"/>
      <c r="G361" s="199">
        <v>18500.0</v>
      </c>
      <c r="H361" s="243">
        <f t="shared" si="89"/>
        <v>37000</v>
      </c>
      <c r="I361" s="200">
        <v>20000.0</v>
      </c>
      <c r="J361" s="244">
        <f t="shared" si="90"/>
        <v>40000</v>
      </c>
      <c r="K361" s="250">
        <f t="shared" si="91"/>
        <v>3000</v>
      </c>
      <c r="L361" s="251">
        <f t="shared" si="92"/>
        <v>0.08108108108</v>
      </c>
      <c r="M361" s="247"/>
    </row>
    <row r="362" ht="15.75" customHeight="1">
      <c r="A362" s="272" t="s">
        <v>1721</v>
      </c>
      <c r="B362" s="206"/>
      <c r="C362" s="206"/>
      <c r="D362" s="174"/>
      <c r="E362" s="257"/>
      <c r="F362" s="258">
        <f>SUMIF(F346:F361,"&lt;&gt;",F346:F361)</f>
        <v>0</v>
      </c>
      <c r="G362" s="257"/>
      <c r="H362" s="258">
        <f>SUMIF(H346:H361,"&lt;&gt;",H346:H361)</f>
        <v>13206650</v>
      </c>
      <c r="I362" s="259"/>
      <c r="J362" s="282">
        <f>SUMIF(J346:J361,"&lt;&gt;",J346:J361)</f>
        <v>15109800</v>
      </c>
      <c r="K362" s="261">
        <f t="shared" si="91"/>
        <v>1903150</v>
      </c>
      <c r="L362" s="262">
        <f t="shared" si="92"/>
        <v>0.1441054317</v>
      </c>
      <c r="M362" s="257"/>
    </row>
    <row r="363" ht="15.75" customHeight="1"/>
    <row r="364" ht="15.75" customHeight="1">
      <c r="A364" s="273" t="s">
        <v>1722</v>
      </c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6"/>
    </row>
    <row r="365" ht="15.75" customHeight="1">
      <c r="A365" s="229" t="s">
        <v>1509</v>
      </c>
      <c r="B365" s="229" t="s">
        <v>1510</v>
      </c>
      <c r="C365" s="229" t="s">
        <v>1511</v>
      </c>
      <c r="D365" s="229" t="s">
        <v>1614</v>
      </c>
      <c r="E365" s="230" t="s">
        <v>1615</v>
      </c>
      <c r="F365" s="174"/>
      <c r="G365" s="231" t="s">
        <v>1616</v>
      </c>
      <c r="H365" s="174"/>
      <c r="I365" s="232" t="s">
        <v>1617</v>
      </c>
      <c r="J365" s="174"/>
      <c r="K365" s="233" t="s">
        <v>1618</v>
      </c>
      <c r="L365" s="174"/>
      <c r="M365" s="229" t="s">
        <v>1619</v>
      </c>
    </row>
    <row r="366" ht="15.75" customHeight="1">
      <c r="A366" s="234" t="s">
        <v>1509</v>
      </c>
      <c r="B366" s="234" t="s">
        <v>1510</v>
      </c>
      <c r="C366" s="234" t="s">
        <v>1511</v>
      </c>
      <c r="D366" s="234" t="s">
        <v>1614</v>
      </c>
      <c r="E366" s="235" t="s">
        <v>1620</v>
      </c>
      <c r="F366" s="235" t="s">
        <v>1621</v>
      </c>
      <c r="G366" s="236" t="s">
        <v>1622</v>
      </c>
      <c r="H366" s="236" t="s">
        <v>1623</v>
      </c>
      <c r="I366" s="237" t="s">
        <v>1624</v>
      </c>
      <c r="J366" s="237" t="s">
        <v>1625</v>
      </c>
      <c r="K366" s="238" t="s">
        <v>1626</v>
      </c>
      <c r="L366" s="238" t="s">
        <v>1627</v>
      </c>
      <c r="M366" s="234" t="s">
        <v>1619</v>
      </c>
    </row>
    <row r="367" ht="15.75" customHeight="1">
      <c r="A367" s="239">
        <v>1.0</v>
      </c>
      <c r="B367" s="275" t="s">
        <v>1527</v>
      </c>
      <c r="C367" s="239" t="s">
        <v>109</v>
      </c>
      <c r="D367" s="254">
        <v>102.0</v>
      </c>
      <c r="E367" s="241" t="str">
        <f>'Daftar Harga'!D369</f>
        <v/>
      </c>
      <c r="F367" s="242" t="str">
        <f t="shared" ref="F367:F380" si="93">IF(E367&lt;&gt;"",D367*E367,"")</f>
        <v/>
      </c>
      <c r="G367" s="311">
        <v>14500.0</v>
      </c>
      <c r="H367" s="243">
        <f t="shared" ref="H367:H380" si="94">IF(G367&lt;&gt;"",D367*G367,"")</f>
        <v>1479000</v>
      </c>
      <c r="I367" s="200">
        <v>15700.0</v>
      </c>
      <c r="J367" s="244">
        <f t="shared" ref="J367:J380" si="95">IF(I367&lt;&gt;"",D367*I367,"")</f>
        <v>1601400</v>
      </c>
      <c r="K367" s="245">
        <f t="shared" ref="K367:K381" si="96">IF(J367&lt;&gt;"",IF(H367&lt;&gt;"",J367-H367,IF(F367&lt;&gt;"",J367-F367,"")),"")</f>
        <v>122400</v>
      </c>
      <c r="L367" s="246">
        <f t="shared" ref="L367:L381" si="97">IF(K367&lt;&gt;"",IF(H367&lt;&gt;"",IF(H367&lt;&gt;0,K367/H367,""),IF(F367&lt;&gt;"",IF(F367&lt;&gt;0,K367/F367,""),"")),"")</f>
        <v>0.08275862069</v>
      </c>
      <c r="M367" s="247"/>
    </row>
    <row r="368" ht="15.75" customHeight="1">
      <c r="A368" s="248">
        <v>2.0</v>
      </c>
      <c r="B368" s="276" t="s">
        <v>2141</v>
      </c>
      <c r="C368" s="239" t="s">
        <v>109</v>
      </c>
      <c r="D368" s="277">
        <v>1.0</v>
      </c>
      <c r="E368" s="241" t="str">
        <f>'Daftar Harga'!D374</f>
        <v/>
      </c>
      <c r="F368" s="242" t="str">
        <f t="shared" si="93"/>
        <v/>
      </c>
      <c r="G368" s="311">
        <v>52000.0</v>
      </c>
      <c r="H368" s="243">
        <f t="shared" si="94"/>
        <v>52000</v>
      </c>
      <c r="I368" s="200">
        <v>57000.0</v>
      </c>
      <c r="J368" s="244">
        <f t="shared" si="95"/>
        <v>57000</v>
      </c>
      <c r="K368" s="250">
        <f t="shared" si="96"/>
        <v>5000</v>
      </c>
      <c r="L368" s="251">
        <f t="shared" si="97"/>
        <v>0.09615384615</v>
      </c>
      <c r="M368" s="252"/>
    </row>
    <row r="369" ht="15.75" customHeight="1">
      <c r="A369" s="239">
        <v>3.0</v>
      </c>
      <c r="B369" s="275" t="s">
        <v>1543</v>
      </c>
      <c r="C369" s="239" t="s">
        <v>109</v>
      </c>
      <c r="D369" s="254">
        <v>3.0</v>
      </c>
      <c r="E369" s="241" t="str">
        <f>'Daftar Harga'!D378</f>
        <v/>
      </c>
      <c r="F369" s="242" t="str">
        <f t="shared" si="93"/>
        <v/>
      </c>
      <c r="G369" s="311">
        <v>8000.0</v>
      </c>
      <c r="H369" s="243">
        <f t="shared" si="94"/>
        <v>24000</v>
      </c>
      <c r="I369" s="200">
        <v>10000.0</v>
      </c>
      <c r="J369" s="244">
        <f t="shared" si="95"/>
        <v>30000</v>
      </c>
      <c r="K369" s="245">
        <f t="shared" si="96"/>
        <v>6000</v>
      </c>
      <c r="L369" s="246">
        <f t="shared" si="97"/>
        <v>0.25</v>
      </c>
      <c r="M369" s="247"/>
    </row>
    <row r="370" ht="15.75" customHeight="1">
      <c r="A370" s="248">
        <v>4.0</v>
      </c>
      <c r="B370" s="276" t="s">
        <v>1566</v>
      </c>
      <c r="C370" s="239" t="s">
        <v>109</v>
      </c>
      <c r="D370" s="277">
        <v>4.0</v>
      </c>
      <c r="E370" s="241" t="str">
        <f>'Daftar Harga'!D385</f>
        <v/>
      </c>
      <c r="F370" s="242" t="str">
        <f t="shared" si="93"/>
        <v/>
      </c>
      <c r="G370" s="311">
        <v>95000.0</v>
      </c>
      <c r="H370" s="243">
        <f t="shared" si="94"/>
        <v>380000</v>
      </c>
      <c r="I370" s="200">
        <v>105000.0</v>
      </c>
      <c r="J370" s="244">
        <f t="shared" si="95"/>
        <v>420000</v>
      </c>
      <c r="K370" s="250">
        <f t="shared" si="96"/>
        <v>40000</v>
      </c>
      <c r="L370" s="251">
        <f t="shared" si="97"/>
        <v>0.1052631579</v>
      </c>
      <c r="M370" s="252"/>
    </row>
    <row r="371" ht="15.75" customHeight="1">
      <c r="A371" s="239">
        <v>5.0</v>
      </c>
      <c r="B371" s="275" t="s">
        <v>2158</v>
      </c>
      <c r="C371" s="239" t="s">
        <v>109</v>
      </c>
      <c r="D371" s="254">
        <v>8.0</v>
      </c>
      <c r="E371" s="241" t="str">
        <f>'Daftar Harga'!D392</f>
        <v/>
      </c>
      <c r="F371" s="242" t="str">
        <f t="shared" si="93"/>
        <v/>
      </c>
      <c r="G371" s="311">
        <v>210000.0</v>
      </c>
      <c r="H371" s="243">
        <f t="shared" si="94"/>
        <v>1680000</v>
      </c>
      <c r="I371" s="200">
        <v>240000.0</v>
      </c>
      <c r="J371" s="244">
        <f t="shared" si="95"/>
        <v>1920000</v>
      </c>
      <c r="K371" s="245">
        <f t="shared" si="96"/>
        <v>240000</v>
      </c>
      <c r="L371" s="246">
        <f t="shared" si="97"/>
        <v>0.1428571429</v>
      </c>
      <c r="M371" s="247"/>
    </row>
    <row r="372" ht="15.75" customHeight="1">
      <c r="A372" s="248">
        <v>6.0</v>
      </c>
      <c r="B372" s="276" t="s">
        <v>1578</v>
      </c>
      <c r="C372" s="239" t="s">
        <v>109</v>
      </c>
      <c r="D372" s="277">
        <v>48.0</v>
      </c>
      <c r="E372" s="241" t="str">
        <f>'Daftar Harga'!D412</f>
        <v/>
      </c>
      <c r="F372" s="242" t="str">
        <f t="shared" si="93"/>
        <v/>
      </c>
      <c r="G372" s="311">
        <v>21750.0</v>
      </c>
      <c r="H372" s="243">
        <f t="shared" si="94"/>
        <v>1044000</v>
      </c>
      <c r="I372" s="200">
        <v>24000.0</v>
      </c>
      <c r="J372" s="244">
        <f t="shared" si="95"/>
        <v>1152000</v>
      </c>
      <c r="K372" s="250">
        <f t="shared" si="96"/>
        <v>108000</v>
      </c>
      <c r="L372" s="251">
        <f t="shared" si="97"/>
        <v>0.1034482759</v>
      </c>
      <c r="M372" s="252"/>
    </row>
    <row r="373" ht="15.75" customHeight="1">
      <c r="A373" s="239">
        <v>7.0</v>
      </c>
      <c r="B373" s="275" t="s">
        <v>2159</v>
      </c>
      <c r="C373" s="239" t="s">
        <v>109</v>
      </c>
      <c r="D373" s="254">
        <v>68.0</v>
      </c>
      <c r="E373" s="241" t="str">
        <f>'Daftar Harga'!D415</f>
        <v/>
      </c>
      <c r="F373" s="242" t="str">
        <f t="shared" si="93"/>
        <v/>
      </c>
      <c r="G373" s="311">
        <v>51000.0</v>
      </c>
      <c r="H373" s="243">
        <f t="shared" si="94"/>
        <v>3468000</v>
      </c>
      <c r="I373" s="200">
        <v>55000.0</v>
      </c>
      <c r="J373" s="244">
        <f t="shared" si="95"/>
        <v>3740000</v>
      </c>
      <c r="K373" s="245">
        <f t="shared" si="96"/>
        <v>272000</v>
      </c>
      <c r="L373" s="246">
        <f t="shared" si="97"/>
        <v>0.07843137255</v>
      </c>
      <c r="M373" s="247"/>
    </row>
    <row r="374" ht="15.75" customHeight="1">
      <c r="A374" s="248">
        <v>8.0</v>
      </c>
      <c r="B374" s="276" t="s">
        <v>1712</v>
      </c>
      <c r="C374" s="239" t="s">
        <v>109</v>
      </c>
      <c r="D374" s="277">
        <v>37.0</v>
      </c>
      <c r="E374" s="241" t="str">
        <f>'Daftar Harga'!D427</f>
        <v/>
      </c>
      <c r="F374" s="242" t="str">
        <f t="shared" si="93"/>
        <v/>
      </c>
      <c r="G374" s="311">
        <v>8000.0</v>
      </c>
      <c r="H374" s="243">
        <f t="shared" si="94"/>
        <v>296000</v>
      </c>
      <c r="I374" s="200">
        <v>12000.0</v>
      </c>
      <c r="J374" s="244">
        <f t="shared" si="95"/>
        <v>444000</v>
      </c>
      <c r="K374" s="250">
        <f t="shared" si="96"/>
        <v>148000</v>
      </c>
      <c r="L374" s="251">
        <f t="shared" si="97"/>
        <v>0.5</v>
      </c>
      <c r="M374" s="252"/>
    </row>
    <row r="375" ht="15.75" customHeight="1">
      <c r="A375" s="239">
        <v>9.0</v>
      </c>
      <c r="B375" s="275" t="s">
        <v>2160</v>
      </c>
      <c r="C375" s="239" t="s">
        <v>109</v>
      </c>
      <c r="D375" s="254">
        <v>25.0</v>
      </c>
      <c r="E375" s="241" t="str">
        <f>'Daftar Harga'!D432</f>
        <v/>
      </c>
      <c r="F375" s="242" t="str">
        <f t="shared" si="93"/>
        <v/>
      </c>
      <c r="G375" s="199">
        <v>22000.0</v>
      </c>
      <c r="H375" s="243">
        <f t="shared" si="94"/>
        <v>550000</v>
      </c>
      <c r="I375" s="200">
        <v>25000.0</v>
      </c>
      <c r="J375" s="244">
        <f t="shared" si="95"/>
        <v>625000</v>
      </c>
      <c r="K375" s="245">
        <f t="shared" si="96"/>
        <v>75000</v>
      </c>
      <c r="L375" s="246">
        <f t="shared" si="97"/>
        <v>0.1363636364</v>
      </c>
      <c r="M375" s="247"/>
    </row>
    <row r="376" ht="15.75" customHeight="1">
      <c r="A376" s="248">
        <v>10.0</v>
      </c>
      <c r="B376" s="276" t="s">
        <v>2127</v>
      </c>
      <c r="C376" s="239" t="s">
        <v>109</v>
      </c>
      <c r="D376" s="277">
        <v>97.0</v>
      </c>
      <c r="E376" s="241" t="str">
        <f>'Daftar Harga'!D435</f>
        <v/>
      </c>
      <c r="F376" s="242" t="str">
        <f t="shared" si="93"/>
        <v/>
      </c>
      <c r="G376" s="199">
        <v>12000.0</v>
      </c>
      <c r="H376" s="243">
        <f t="shared" si="94"/>
        <v>1164000</v>
      </c>
      <c r="I376" s="200">
        <v>14000.0</v>
      </c>
      <c r="J376" s="244">
        <f t="shared" si="95"/>
        <v>1358000</v>
      </c>
      <c r="K376" s="250">
        <f t="shared" si="96"/>
        <v>194000</v>
      </c>
      <c r="L376" s="251">
        <f t="shared" si="97"/>
        <v>0.1666666667</v>
      </c>
      <c r="M376" s="252"/>
    </row>
    <row r="377" ht="15.75" customHeight="1">
      <c r="A377" s="239">
        <v>11.0</v>
      </c>
      <c r="B377" s="275" t="s">
        <v>1634</v>
      </c>
      <c r="C377" s="239" t="s">
        <v>109</v>
      </c>
      <c r="D377" s="254">
        <v>1694.0</v>
      </c>
      <c r="E377" s="241" t="str">
        <f>'Daftar Harga'!D453</f>
        <v/>
      </c>
      <c r="F377" s="242" t="str">
        <f t="shared" si="93"/>
        <v/>
      </c>
      <c r="G377" s="199">
        <v>1650.0</v>
      </c>
      <c r="H377" s="243">
        <f t="shared" si="94"/>
        <v>2795100</v>
      </c>
      <c r="I377" s="200">
        <v>2000.0</v>
      </c>
      <c r="J377" s="244">
        <f t="shared" si="95"/>
        <v>3388000</v>
      </c>
      <c r="K377" s="245">
        <f t="shared" si="96"/>
        <v>592900</v>
      </c>
      <c r="L377" s="246">
        <f t="shared" si="97"/>
        <v>0.2121212121</v>
      </c>
      <c r="M377" s="247"/>
    </row>
    <row r="378" ht="15.75" customHeight="1">
      <c r="A378" s="248">
        <v>12.0</v>
      </c>
      <c r="B378" s="276" t="s">
        <v>2042</v>
      </c>
      <c r="C378" s="239" t="s">
        <v>109</v>
      </c>
      <c r="D378" s="254">
        <v>8.0</v>
      </c>
      <c r="E378" s="241" t="str">
        <f>'Daftar Harga'!D454</f>
        <v/>
      </c>
      <c r="F378" s="242" t="str">
        <f t="shared" si="93"/>
        <v/>
      </c>
      <c r="G378" s="199">
        <v>24500.0</v>
      </c>
      <c r="H378" s="243">
        <f t="shared" si="94"/>
        <v>196000</v>
      </c>
      <c r="I378" s="200">
        <v>28000.0</v>
      </c>
      <c r="J378" s="244">
        <f t="shared" si="95"/>
        <v>224000</v>
      </c>
      <c r="K378" s="245">
        <f t="shared" si="96"/>
        <v>28000</v>
      </c>
      <c r="L378" s="246">
        <f t="shared" si="97"/>
        <v>0.1428571429</v>
      </c>
      <c r="M378" s="252"/>
    </row>
    <row r="379" ht="15.75" customHeight="1">
      <c r="A379" s="239">
        <v>13.0</v>
      </c>
      <c r="B379" s="276" t="s">
        <v>1934</v>
      </c>
      <c r="C379" s="239" t="s">
        <v>109</v>
      </c>
      <c r="D379" s="254">
        <v>2.0</v>
      </c>
      <c r="E379" s="241" t="str">
        <f>'Daftar Harga'!D455</f>
        <v/>
      </c>
      <c r="F379" s="242" t="str">
        <f t="shared" si="93"/>
        <v/>
      </c>
      <c r="G379" s="199">
        <v>32000.0</v>
      </c>
      <c r="H379" s="243">
        <f t="shared" si="94"/>
        <v>64000</v>
      </c>
      <c r="I379" s="200">
        <v>45000.0</v>
      </c>
      <c r="J379" s="244">
        <f t="shared" si="95"/>
        <v>90000</v>
      </c>
      <c r="K379" s="245">
        <f t="shared" si="96"/>
        <v>26000</v>
      </c>
      <c r="L379" s="246">
        <f t="shared" si="97"/>
        <v>0.40625</v>
      </c>
      <c r="M379" s="252"/>
    </row>
    <row r="380" ht="15.75" customHeight="1">
      <c r="A380" s="248">
        <v>14.0</v>
      </c>
      <c r="B380" s="276" t="s">
        <v>1935</v>
      </c>
      <c r="C380" s="239" t="s">
        <v>109</v>
      </c>
      <c r="D380" s="254">
        <v>2.0</v>
      </c>
      <c r="E380" s="241" t="str">
        <f>'Daftar Harga'!D456</f>
        <v/>
      </c>
      <c r="F380" s="242" t="str">
        <f t="shared" si="93"/>
        <v/>
      </c>
      <c r="G380" s="199">
        <v>40000.0</v>
      </c>
      <c r="H380" s="243">
        <f t="shared" si="94"/>
        <v>80000</v>
      </c>
      <c r="I380" s="200">
        <v>40000.0</v>
      </c>
      <c r="J380" s="244">
        <f t="shared" si="95"/>
        <v>80000</v>
      </c>
      <c r="K380" s="245">
        <f t="shared" si="96"/>
        <v>0</v>
      </c>
      <c r="L380" s="246">
        <f t="shared" si="97"/>
        <v>0</v>
      </c>
      <c r="M380" s="252"/>
    </row>
    <row r="381" ht="15.75" customHeight="1">
      <c r="A381" s="272" t="s">
        <v>1729</v>
      </c>
      <c r="B381" s="206"/>
      <c r="C381" s="206"/>
      <c r="D381" s="174"/>
      <c r="E381" s="257"/>
      <c r="F381" s="258">
        <f>SUMIF(F367:F380,"&lt;&gt;",F367:F380)</f>
        <v>0</v>
      </c>
      <c r="G381" s="257"/>
      <c r="H381" s="258">
        <f>SUMIF(H367:H380,"&lt;&gt;",H367:H380)</f>
        <v>13272100</v>
      </c>
      <c r="I381" s="259"/>
      <c r="J381" s="282">
        <f>SUMIF(J367:J380,"&lt;&gt;",J367:J380)</f>
        <v>15129400</v>
      </c>
      <c r="K381" s="261">
        <f t="shared" si="96"/>
        <v>1857300</v>
      </c>
      <c r="L381" s="262">
        <f t="shared" si="97"/>
        <v>0.1399401753</v>
      </c>
      <c r="M381" s="257"/>
    </row>
    <row r="382" ht="15.75" customHeight="1"/>
    <row r="383" ht="15.75" customHeight="1"/>
    <row r="384" ht="27.75" customHeight="1">
      <c r="A384" s="284" t="s">
        <v>2161</v>
      </c>
      <c r="B384" s="285"/>
      <c r="C384" s="285"/>
      <c r="D384" s="286"/>
      <c r="E384" s="287"/>
      <c r="F384" s="288">
        <f>F22+F45+F73+F81+F101+F118+F142+F169+F177+F196+F218+F239+F264+F288+F296+F318+F341+F362+F381</f>
        <v>60167286</v>
      </c>
      <c r="G384" s="288"/>
      <c r="H384" s="288">
        <f>H22+H45+H73+H81+H101+H118+H142+H169+H177+H196+H218+H239+H264+H288+H296+H318+H341+H362+H381</f>
        <v>241636073</v>
      </c>
      <c r="I384" s="288"/>
      <c r="J384" s="288">
        <f>J22+J45+J73+J81+J101+J118+J142+J169+J177+J196+J218+J239+J264+J288+J296+J318+J341+J362+J381</f>
        <v>269813000</v>
      </c>
      <c r="K384" s="289">
        <f>IF(J384&lt;&gt;"",IF(H384&lt;&gt;0,J384-H384,J384-F384),"")</f>
        <v>28176927</v>
      </c>
      <c r="L384" s="290">
        <f>IF(K384&lt;&gt;"",IF(H384&lt;&gt;0,K384/H384,IF(F384&lt;&gt;0,K384/F384,"")),"")</f>
        <v>0.1166089427</v>
      </c>
      <c r="M384" s="287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</sheetData>
  <mergeCells count="119">
    <mergeCell ref="A1:M1"/>
    <mergeCell ref="A2:M2"/>
    <mergeCell ref="A3:M3"/>
    <mergeCell ref="A4:M4"/>
    <mergeCell ref="G5:H5"/>
    <mergeCell ref="I5:J5"/>
    <mergeCell ref="K5:L5"/>
    <mergeCell ref="E5:F5"/>
    <mergeCell ref="A22:D22"/>
    <mergeCell ref="A24:M24"/>
    <mergeCell ref="E25:F25"/>
    <mergeCell ref="G25:H25"/>
    <mergeCell ref="I25:J25"/>
    <mergeCell ref="K25:L25"/>
    <mergeCell ref="A45:D45"/>
    <mergeCell ref="A47:M47"/>
    <mergeCell ref="E48:F48"/>
    <mergeCell ref="G48:H48"/>
    <mergeCell ref="I48:J48"/>
    <mergeCell ref="K48:L48"/>
    <mergeCell ref="A73:D73"/>
    <mergeCell ref="A75:M75"/>
    <mergeCell ref="E76:F76"/>
    <mergeCell ref="G76:H76"/>
    <mergeCell ref="I76:J76"/>
    <mergeCell ref="K76:L76"/>
    <mergeCell ref="A81:D81"/>
    <mergeCell ref="A83:M83"/>
    <mergeCell ref="E84:F84"/>
    <mergeCell ref="G84:H84"/>
    <mergeCell ref="I84:J84"/>
    <mergeCell ref="K84:L84"/>
    <mergeCell ref="A101:D101"/>
    <mergeCell ref="A103:M103"/>
    <mergeCell ref="E104:F104"/>
    <mergeCell ref="K104:L104"/>
    <mergeCell ref="G104:H104"/>
    <mergeCell ref="I104:J104"/>
    <mergeCell ref="A120:M120"/>
    <mergeCell ref="E121:F121"/>
    <mergeCell ref="G121:H121"/>
    <mergeCell ref="I121:J121"/>
    <mergeCell ref="K121:L121"/>
    <mergeCell ref="A118:D118"/>
    <mergeCell ref="A142:D142"/>
    <mergeCell ref="A144:M144"/>
    <mergeCell ref="E145:F145"/>
    <mergeCell ref="G145:H145"/>
    <mergeCell ref="I145:J145"/>
    <mergeCell ref="K145:L145"/>
    <mergeCell ref="A320:M320"/>
    <mergeCell ref="E321:F321"/>
    <mergeCell ref="G321:H321"/>
    <mergeCell ref="I321:J321"/>
    <mergeCell ref="K321:L321"/>
    <mergeCell ref="A341:D341"/>
    <mergeCell ref="A343:M343"/>
    <mergeCell ref="G365:H365"/>
    <mergeCell ref="I365:J365"/>
    <mergeCell ref="A381:D381"/>
    <mergeCell ref="A384:D384"/>
    <mergeCell ref="E344:F344"/>
    <mergeCell ref="G344:H344"/>
    <mergeCell ref="I344:J344"/>
    <mergeCell ref="K344:L344"/>
    <mergeCell ref="A362:D362"/>
    <mergeCell ref="A364:M364"/>
    <mergeCell ref="E365:F365"/>
    <mergeCell ref="K365:L365"/>
    <mergeCell ref="A169:D169"/>
    <mergeCell ref="A171:B171"/>
    <mergeCell ref="C171:L171"/>
    <mergeCell ref="E172:F172"/>
    <mergeCell ref="G172:H172"/>
    <mergeCell ref="I172:J172"/>
    <mergeCell ref="K172:L172"/>
    <mergeCell ref="A177:D177"/>
    <mergeCell ref="A179:M179"/>
    <mergeCell ref="E180:F180"/>
    <mergeCell ref="G180:H180"/>
    <mergeCell ref="I180:J180"/>
    <mergeCell ref="K180:L180"/>
    <mergeCell ref="A196:D196"/>
    <mergeCell ref="A198:M198"/>
    <mergeCell ref="E199:F199"/>
    <mergeCell ref="G199:H199"/>
    <mergeCell ref="I199:J199"/>
    <mergeCell ref="K199:L199"/>
    <mergeCell ref="A218:D218"/>
    <mergeCell ref="A220:M220"/>
    <mergeCell ref="E221:F221"/>
    <mergeCell ref="G221:H221"/>
    <mergeCell ref="I221:J221"/>
    <mergeCell ref="K221:L221"/>
    <mergeCell ref="A239:D239"/>
    <mergeCell ref="A241:M241"/>
    <mergeCell ref="E242:F242"/>
    <mergeCell ref="K242:L242"/>
    <mergeCell ref="G242:H242"/>
    <mergeCell ref="I242:J242"/>
    <mergeCell ref="A266:M266"/>
    <mergeCell ref="E267:F267"/>
    <mergeCell ref="G267:H267"/>
    <mergeCell ref="I267:J267"/>
    <mergeCell ref="K267:L267"/>
    <mergeCell ref="A264:D264"/>
    <mergeCell ref="A288:D288"/>
    <mergeCell ref="A290:M290"/>
    <mergeCell ref="E291:F291"/>
    <mergeCell ref="G291:H291"/>
    <mergeCell ref="I291:J291"/>
    <mergeCell ref="K291:L291"/>
    <mergeCell ref="A296:D296"/>
    <mergeCell ref="A298:M298"/>
    <mergeCell ref="E299:F299"/>
    <mergeCell ref="G299:H299"/>
    <mergeCell ref="I299:J299"/>
    <mergeCell ref="K299:L299"/>
    <mergeCell ref="A318:D318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71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2114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226" t="s">
        <v>1737</v>
      </c>
      <c r="C7" s="223" t="s">
        <v>1176</v>
      </c>
      <c r="D7" s="227">
        <v>1.0</v>
      </c>
      <c r="E7" s="184"/>
      <c r="F7" s="185" t="str">
        <f t="shared" ref="F7:F12" si="1">IF(E7&lt;&gt;"",D7*E7,"")</f>
        <v/>
      </c>
      <c r="G7" s="221">
        <v>1125000.0</v>
      </c>
      <c r="H7" s="187">
        <f t="shared" ref="H7:H12" si="2">IF(G7&lt;&gt;"",D7*G7,"")</f>
        <v>1125000</v>
      </c>
      <c r="I7" s="222">
        <v>1250000.0</v>
      </c>
      <c r="J7" s="215">
        <f t="shared" ref="J7:J12" si="3">IF(I7&lt;&gt;"",D7*I7,"")</f>
        <v>1250000</v>
      </c>
      <c r="K7" s="190">
        <f t="shared" ref="K7:K13" si="4">IF(J7&lt;&gt;"",IF(H7&lt;&gt;"",J7-H7,IF(F7&lt;&gt;"",J7-F7,"")),"")</f>
        <v>125000</v>
      </c>
      <c r="L7" s="191">
        <f t="shared" ref="L7:L13" si="5">IF(K7&lt;&gt;"",IF(H7&lt;&gt;"",IF(H7&lt;&gt;0,K7/H7,""),IF(F7&lt;&gt;"",IF(F7&lt;&gt;0,K7/F7,""),"")),"")</f>
        <v>0.1111111111</v>
      </c>
      <c r="M7" s="192"/>
    </row>
    <row r="8" ht="31.5" customHeight="1">
      <c r="A8" s="164">
        <v>2.0</v>
      </c>
      <c r="B8" s="197" t="s">
        <v>2162</v>
      </c>
      <c r="C8" s="220" t="s">
        <v>1583</v>
      </c>
      <c r="D8" s="198">
        <v>12.0</v>
      </c>
      <c r="E8" s="184"/>
      <c r="F8" s="185" t="str">
        <f t="shared" si="1"/>
        <v/>
      </c>
      <c r="G8" s="400">
        <v>13500.0</v>
      </c>
      <c r="H8" s="187">
        <f t="shared" si="2"/>
        <v>162000</v>
      </c>
      <c r="I8" s="222">
        <v>17500.0</v>
      </c>
      <c r="J8" s="215">
        <f t="shared" si="3"/>
        <v>210000</v>
      </c>
      <c r="K8" s="194">
        <f t="shared" si="4"/>
        <v>48000</v>
      </c>
      <c r="L8" s="195">
        <f t="shared" si="5"/>
        <v>0.2962962963</v>
      </c>
      <c r="M8" s="196"/>
    </row>
    <row r="9" ht="15.75" customHeight="1">
      <c r="A9" s="159">
        <v>3.0</v>
      </c>
      <c r="B9" s="226" t="s">
        <v>2163</v>
      </c>
      <c r="C9" s="223" t="s">
        <v>69</v>
      </c>
      <c r="D9" s="227">
        <v>1.0</v>
      </c>
      <c r="E9" s="184"/>
      <c r="F9" s="185" t="str">
        <f t="shared" si="1"/>
        <v/>
      </c>
      <c r="G9" s="221">
        <v>40000.0</v>
      </c>
      <c r="H9" s="187">
        <f t="shared" si="2"/>
        <v>40000</v>
      </c>
      <c r="I9" s="222">
        <v>55000.0</v>
      </c>
      <c r="J9" s="215">
        <f t="shared" si="3"/>
        <v>55000</v>
      </c>
      <c r="K9" s="190">
        <f t="shared" si="4"/>
        <v>15000</v>
      </c>
      <c r="L9" s="191">
        <f t="shared" si="5"/>
        <v>0.375</v>
      </c>
      <c r="M9" s="192"/>
    </row>
    <row r="10" ht="15.75" customHeight="1">
      <c r="A10" s="164">
        <v>4.0</v>
      </c>
      <c r="B10" s="197" t="s">
        <v>2164</v>
      </c>
      <c r="C10" s="220" t="s">
        <v>69</v>
      </c>
      <c r="D10" s="198">
        <v>1.0</v>
      </c>
      <c r="E10" s="184"/>
      <c r="F10" s="185" t="str">
        <f t="shared" si="1"/>
        <v/>
      </c>
      <c r="G10" s="221">
        <v>75000.0</v>
      </c>
      <c r="H10" s="187">
        <f t="shared" si="2"/>
        <v>75000</v>
      </c>
      <c r="I10" s="222">
        <v>120000.0</v>
      </c>
      <c r="J10" s="215">
        <f t="shared" si="3"/>
        <v>120000</v>
      </c>
      <c r="K10" s="194">
        <f t="shared" si="4"/>
        <v>45000</v>
      </c>
      <c r="L10" s="195">
        <f t="shared" si="5"/>
        <v>0.6</v>
      </c>
      <c r="M10" s="196"/>
    </row>
    <row r="11" ht="15.75" customHeight="1">
      <c r="A11" s="159">
        <v>5.0</v>
      </c>
      <c r="B11" s="226" t="s">
        <v>2165</v>
      </c>
      <c r="C11" s="223" t="s">
        <v>1583</v>
      </c>
      <c r="D11" s="227">
        <v>8.0</v>
      </c>
      <c r="E11" s="184"/>
      <c r="F11" s="185" t="str">
        <f t="shared" si="1"/>
        <v/>
      </c>
      <c r="G11" s="221">
        <v>16000.0</v>
      </c>
      <c r="H11" s="187">
        <f t="shared" si="2"/>
        <v>128000</v>
      </c>
      <c r="I11" s="222">
        <v>20000.0</v>
      </c>
      <c r="J11" s="215">
        <f t="shared" si="3"/>
        <v>160000</v>
      </c>
      <c r="K11" s="190">
        <f t="shared" si="4"/>
        <v>32000</v>
      </c>
      <c r="L11" s="191">
        <f t="shared" si="5"/>
        <v>0.25</v>
      </c>
      <c r="M11" s="192"/>
    </row>
    <row r="12" ht="15.75" customHeight="1">
      <c r="A12" s="164">
        <v>6.0</v>
      </c>
      <c r="B12" s="197" t="s">
        <v>2166</v>
      </c>
      <c r="C12" s="220" t="s">
        <v>2167</v>
      </c>
      <c r="D12" s="198">
        <v>1.0</v>
      </c>
      <c r="E12" s="184"/>
      <c r="F12" s="185" t="str">
        <f t="shared" si="1"/>
        <v/>
      </c>
      <c r="G12" s="221">
        <v>25000.0</v>
      </c>
      <c r="H12" s="423">
        <f t="shared" si="2"/>
        <v>25000</v>
      </c>
      <c r="I12" s="222">
        <v>30000.0</v>
      </c>
      <c r="J12" s="219">
        <f t="shared" si="3"/>
        <v>30000</v>
      </c>
      <c r="K12" s="194">
        <f t="shared" si="4"/>
        <v>5000</v>
      </c>
      <c r="L12" s="195">
        <f t="shared" si="5"/>
        <v>0.2</v>
      </c>
      <c r="M12" s="196"/>
    </row>
    <row r="13" ht="19.5" customHeight="1">
      <c r="A13" s="205" t="s">
        <v>1628</v>
      </c>
      <c r="B13" s="206"/>
      <c r="C13" s="206"/>
      <c r="D13" s="174"/>
      <c r="E13" s="207"/>
      <c r="F13" s="208">
        <f>SUMIF(F7:F12,"&lt;&gt;",F7:F12)</f>
        <v>0</v>
      </c>
      <c r="G13" s="209"/>
      <c r="H13" s="424">
        <f>SUMIF(H7:H12,"&lt;&gt;",H7:H12)</f>
        <v>1555000</v>
      </c>
      <c r="I13" s="425"/>
      <c r="J13" s="210">
        <f>SUMIF(J7:J12,"&lt;&gt;",J7:J12)</f>
        <v>1825000</v>
      </c>
      <c r="K13" s="211">
        <f t="shared" si="4"/>
        <v>270000</v>
      </c>
      <c r="L13" s="212">
        <f t="shared" si="5"/>
        <v>0.1736334405</v>
      </c>
      <c r="M13" s="207"/>
    </row>
    <row r="15" ht="21.75" customHeight="1">
      <c r="A15" s="171" t="s">
        <v>1629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ht="19.5" customHeight="1">
      <c r="A16" s="172" t="s">
        <v>1509</v>
      </c>
      <c r="B16" s="172" t="s">
        <v>1510</v>
      </c>
      <c r="C16" s="172" t="s">
        <v>1511</v>
      </c>
      <c r="D16" s="172" t="s">
        <v>1614</v>
      </c>
      <c r="E16" s="173" t="s">
        <v>1615</v>
      </c>
      <c r="F16" s="174"/>
      <c r="G16" s="175" t="s">
        <v>1616</v>
      </c>
      <c r="H16" s="174"/>
      <c r="I16" s="176" t="s">
        <v>1617</v>
      </c>
      <c r="J16" s="174"/>
      <c r="K16" s="177" t="s">
        <v>1618</v>
      </c>
      <c r="L16" s="174"/>
      <c r="M16" s="172" t="s">
        <v>1619</v>
      </c>
    </row>
    <row r="17" ht="27.75" customHeight="1">
      <c r="A17" s="178" t="s">
        <v>1509</v>
      </c>
      <c r="B17" s="178" t="s">
        <v>1510</v>
      </c>
      <c r="C17" s="178" t="s">
        <v>1511</v>
      </c>
      <c r="D17" s="178" t="s">
        <v>1614</v>
      </c>
      <c r="E17" s="179" t="s">
        <v>1620</v>
      </c>
      <c r="F17" s="179" t="s">
        <v>1621</v>
      </c>
      <c r="G17" s="180" t="s">
        <v>1622</v>
      </c>
      <c r="H17" s="180" t="s">
        <v>1623</v>
      </c>
      <c r="I17" s="181" t="s">
        <v>1624</v>
      </c>
      <c r="J17" s="181" t="s">
        <v>1625</v>
      </c>
      <c r="K17" s="182" t="s">
        <v>1626</v>
      </c>
      <c r="L17" s="182" t="s">
        <v>1627</v>
      </c>
      <c r="M17" s="178" t="s">
        <v>1619</v>
      </c>
    </row>
    <row r="18" ht="15.75" customHeight="1">
      <c r="A18" s="159">
        <v>1.0</v>
      </c>
      <c r="B18" s="331" t="s">
        <v>2168</v>
      </c>
      <c r="C18" s="332" t="s">
        <v>1754</v>
      </c>
      <c r="D18" s="213">
        <v>38.0</v>
      </c>
      <c r="E18" s="267"/>
      <c r="F18" s="268" t="str">
        <f t="shared" ref="F18:F27" si="6">IF(E18&lt;&gt;"",D18*E18,"")</f>
        <v/>
      </c>
      <c r="G18" s="186">
        <v>19200.0</v>
      </c>
      <c r="H18" s="243">
        <f t="shared" ref="H18:H27" si="7">IF(G18&lt;&gt;"",D18*G18,"")</f>
        <v>729600</v>
      </c>
      <c r="I18" s="188">
        <v>22500.0</v>
      </c>
      <c r="J18" s="244">
        <f t="shared" ref="J18:J27" si="8">IF(I18&lt;&gt;"",D18*I18,"")</f>
        <v>855000</v>
      </c>
      <c r="K18" s="190">
        <f t="shared" ref="K18:K28" si="9">IF(J18&lt;&gt;"",IF(H18&lt;&gt;"",J18-H18,IF(F18&lt;&gt;"",J18-F18,"")),"")</f>
        <v>125400</v>
      </c>
      <c r="L18" s="191">
        <f t="shared" ref="L18:L28" si="10">IF(K18&lt;&gt;"",IF(H18&lt;&gt;"",IF(H18&lt;&gt;0,K18/H18,""),IF(F18&lt;&gt;"",IF(F18&lt;&gt;0,K18/F18,""),"")),"")</f>
        <v>0.171875</v>
      </c>
      <c r="M18" s="192"/>
    </row>
    <row r="19" ht="15.75" customHeight="1">
      <c r="A19" s="164">
        <v>2.0</v>
      </c>
      <c r="B19" s="333" t="s">
        <v>2169</v>
      </c>
      <c r="C19" s="334" t="s">
        <v>1583</v>
      </c>
      <c r="D19" s="216">
        <v>5.0</v>
      </c>
      <c r="E19" s="267"/>
      <c r="F19" s="268" t="str">
        <f t="shared" si="6"/>
        <v/>
      </c>
      <c r="G19" s="186">
        <v>9750.0</v>
      </c>
      <c r="H19" s="243">
        <f t="shared" si="7"/>
        <v>48750</v>
      </c>
      <c r="I19" s="188">
        <v>15000.0</v>
      </c>
      <c r="J19" s="244">
        <f t="shared" si="8"/>
        <v>75000</v>
      </c>
      <c r="K19" s="194">
        <f t="shared" si="9"/>
        <v>26250</v>
      </c>
      <c r="L19" s="195">
        <f t="shared" si="10"/>
        <v>0.5384615385</v>
      </c>
      <c r="M19" s="196"/>
    </row>
    <row r="20" ht="15.75" customHeight="1">
      <c r="A20" s="159">
        <v>3.0</v>
      </c>
      <c r="B20" s="331" t="s">
        <v>2170</v>
      </c>
      <c r="C20" s="334" t="s">
        <v>1583</v>
      </c>
      <c r="D20" s="213">
        <v>11.0</v>
      </c>
      <c r="E20" s="267"/>
      <c r="F20" s="268" t="str">
        <f t="shared" si="6"/>
        <v/>
      </c>
      <c r="G20" s="186">
        <v>13000.0</v>
      </c>
      <c r="H20" s="243">
        <f t="shared" si="7"/>
        <v>143000</v>
      </c>
      <c r="I20" s="188">
        <v>17500.0</v>
      </c>
      <c r="J20" s="244">
        <f t="shared" si="8"/>
        <v>192500</v>
      </c>
      <c r="K20" s="190">
        <f t="shared" si="9"/>
        <v>49500</v>
      </c>
      <c r="L20" s="191">
        <f t="shared" si="10"/>
        <v>0.3461538462</v>
      </c>
      <c r="M20" s="192"/>
    </row>
    <row r="21" ht="15.75" customHeight="1">
      <c r="A21" s="164">
        <v>4.0</v>
      </c>
      <c r="B21" s="333" t="s">
        <v>2071</v>
      </c>
      <c r="C21" s="334" t="s">
        <v>1583</v>
      </c>
      <c r="D21" s="216">
        <v>8.0</v>
      </c>
      <c r="E21" s="267"/>
      <c r="F21" s="268" t="str">
        <f t="shared" si="6"/>
        <v/>
      </c>
      <c r="G21" s="186">
        <v>15000.0</v>
      </c>
      <c r="H21" s="243">
        <f t="shared" si="7"/>
        <v>120000</v>
      </c>
      <c r="I21" s="188">
        <v>20000.0</v>
      </c>
      <c r="J21" s="244">
        <f t="shared" si="8"/>
        <v>160000</v>
      </c>
      <c r="K21" s="194">
        <f t="shared" si="9"/>
        <v>40000</v>
      </c>
      <c r="L21" s="195">
        <f t="shared" si="10"/>
        <v>0.3333333333</v>
      </c>
      <c r="M21" s="196"/>
    </row>
    <row r="22" ht="15.75" customHeight="1">
      <c r="A22" s="159">
        <v>5.0</v>
      </c>
      <c r="B22" s="331" t="s">
        <v>2099</v>
      </c>
      <c r="C22" s="334" t="s">
        <v>1583</v>
      </c>
      <c r="D22" s="213">
        <v>3.0</v>
      </c>
      <c r="E22" s="267"/>
      <c r="F22" s="268" t="str">
        <f t="shared" si="6"/>
        <v/>
      </c>
      <c r="G22" s="186">
        <v>13000.0</v>
      </c>
      <c r="H22" s="243">
        <f t="shared" si="7"/>
        <v>39000</v>
      </c>
      <c r="I22" s="188">
        <v>15000.0</v>
      </c>
      <c r="J22" s="244">
        <f t="shared" si="8"/>
        <v>45000</v>
      </c>
      <c r="K22" s="190">
        <f t="shared" si="9"/>
        <v>6000</v>
      </c>
      <c r="L22" s="191">
        <f t="shared" si="10"/>
        <v>0.1538461538</v>
      </c>
      <c r="M22" s="192"/>
    </row>
    <row r="23" ht="15.75" customHeight="1">
      <c r="A23" s="164">
        <v>6.0</v>
      </c>
      <c r="B23" s="333" t="s">
        <v>2171</v>
      </c>
      <c r="C23" s="334" t="s">
        <v>1583</v>
      </c>
      <c r="D23" s="216">
        <v>5.0</v>
      </c>
      <c r="E23" s="267"/>
      <c r="F23" s="268" t="str">
        <f t="shared" si="6"/>
        <v/>
      </c>
      <c r="G23" s="186">
        <v>65000.0</v>
      </c>
      <c r="H23" s="243">
        <f t="shared" si="7"/>
        <v>325000</v>
      </c>
      <c r="I23" s="188">
        <v>75000.0</v>
      </c>
      <c r="J23" s="244">
        <f t="shared" si="8"/>
        <v>375000</v>
      </c>
      <c r="K23" s="194">
        <f t="shared" si="9"/>
        <v>50000</v>
      </c>
      <c r="L23" s="195">
        <f t="shared" si="10"/>
        <v>0.1538461538</v>
      </c>
      <c r="M23" s="196"/>
    </row>
    <row r="24" ht="15.75" customHeight="1">
      <c r="A24" s="159">
        <v>7.0</v>
      </c>
      <c r="B24" s="331" t="s">
        <v>1868</v>
      </c>
      <c r="C24" s="334" t="s">
        <v>2172</v>
      </c>
      <c r="D24" s="213">
        <v>10.0</v>
      </c>
      <c r="E24" s="267"/>
      <c r="F24" s="268" t="str">
        <f t="shared" si="6"/>
        <v/>
      </c>
      <c r="G24" s="186">
        <v>20000.0</v>
      </c>
      <c r="H24" s="243">
        <f t="shared" si="7"/>
        <v>200000</v>
      </c>
      <c r="I24" s="188">
        <v>25000.0</v>
      </c>
      <c r="J24" s="244">
        <f t="shared" si="8"/>
        <v>250000</v>
      </c>
      <c r="K24" s="190">
        <f t="shared" si="9"/>
        <v>50000</v>
      </c>
      <c r="L24" s="191">
        <f t="shared" si="10"/>
        <v>0.25</v>
      </c>
      <c r="M24" s="192"/>
    </row>
    <row r="25" ht="15.75" customHeight="1">
      <c r="A25" s="164">
        <v>8.0</v>
      </c>
      <c r="B25" s="333" t="s">
        <v>2173</v>
      </c>
      <c r="C25" s="334" t="s">
        <v>1583</v>
      </c>
      <c r="D25" s="216">
        <v>1.0</v>
      </c>
      <c r="E25" s="267"/>
      <c r="F25" s="268" t="str">
        <f t="shared" si="6"/>
        <v/>
      </c>
      <c r="G25" s="186">
        <v>65000.0</v>
      </c>
      <c r="H25" s="243">
        <f t="shared" si="7"/>
        <v>65000</v>
      </c>
      <c r="I25" s="188">
        <v>75000.0</v>
      </c>
      <c r="J25" s="244">
        <f t="shared" si="8"/>
        <v>75000</v>
      </c>
      <c r="K25" s="194">
        <f t="shared" si="9"/>
        <v>10000</v>
      </c>
      <c r="L25" s="195">
        <f t="shared" si="10"/>
        <v>0.1538461538</v>
      </c>
      <c r="M25" s="196"/>
    </row>
    <row r="26" ht="15.75" customHeight="1">
      <c r="A26" s="159">
        <v>9.0</v>
      </c>
      <c r="B26" s="331" t="s">
        <v>2174</v>
      </c>
      <c r="C26" s="334" t="s">
        <v>1583</v>
      </c>
      <c r="D26" s="213">
        <v>10.0</v>
      </c>
      <c r="E26" s="267"/>
      <c r="F26" s="268" t="str">
        <f t="shared" si="6"/>
        <v/>
      </c>
      <c r="G26" s="186">
        <v>15500.0</v>
      </c>
      <c r="H26" s="243">
        <f t="shared" si="7"/>
        <v>155000</v>
      </c>
      <c r="I26" s="188">
        <v>20000.0</v>
      </c>
      <c r="J26" s="244">
        <f t="shared" si="8"/>
        <v>200000</v>
      </c>
      <c r="K26" s="190">
        <f t="shared" si="9"/>
        <v>45000</v>
      </c>
      <c r="L26" s="191">
        <f t="shared" si="10"/>
        <v>0.2903225806</v>
      </c>
      <c r="M26" s="192"/>
    </row>
    <row r="27" ht="15.75" customHeight="1">
      <c r="A27" s="164">
        <v>10.0</v>
      </c>
      <c r="B27" s="333" t="s">
        <v>2175</v>
      </c>
      <c r="C27" s="334" t="s">
        <v>1583</v>
      </c>
      <c r="D27" s="216">
        <v>1.0</v>
      </c>
      <c r="E27" s="267"/>
      <c r="F27" s="268" t="str">
        <f t="shared" si="6"/>
        <v/>
      </c>
      <c r="G27" s="186">
        <v>20000.0</v>
      </c>
      <c r="H27" s="243">
        <f t="shared" si="7"/>
        <v>20000</v>
      </c>
      <c r="I27" s="188">
        <v>25000.0</v>
      </c>
      <c r="J27" s="264">
        <f t="shared" si="8"/>
        <v>25000</v>
      </c>
      <c r="K27" s="194">
        <f t="shared" si="9"/>
        <v>5000</v>
      </c>
      <c r="L27" s="195">
        <f t="shared" si="10"/>
        <v>0.25</v>
      </c>
      <c r="M27" s="196"/>
    </row>
    <row r="28" ht="19.5" customHeight="1">
      <c r="A28" s="205" t="s">
        <v>1632</v>
      </c>
      <c r="B28" s="206"/>
      <c r="C28" s="206"/>
      <c r="D28" s="174"/>
      <c r="E28" s="207"/>
      <c r="F28" s="208">
        <f>SUMIF(F18:F27,"&lt;&gt;",F18:F27)</f>
        <v>0</v>
      </c>
      <c r="G28" s="207"/>
      <c r="H28" s="208">
        <f>SUMIF(H18:H27,"&lt;&gt;",H18:H27)</f>
        <v>1845350</v>
      </c>
      <c r="I28" s="209"/>
      <c r="J28" s="426">
        <v>2229500.0</v>
      </c>
      <c r="K28" s="211">
        <f t="shared" si="9"/>
        <v>384150</v>
      </c>
      <c r="L28" s="212">
        <f t="shared" si="10"/>
        <v>0.2081718915</v>
      </c>
      <c r="M28" s="207"/>
    </row>
    <row r="29" ht="15.75" customHeight="1"/>
    <row r="30" ht="21.75" customHeight="1">
      <c r="A30" s="225" t="s">
        <v>1629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ht="19.5" customHeight="1">
      <c r="A31" s="172" t="s">
        <v>1509</v>
      </c>
      <c r="B31" s="172" t="s">
        <v>1510</v>
      </c>
      <c r="C31" s="172" t="s">
        <v>1511</v>
      </c>
      <c r="D31" s="172" t="s">
        <v>1614</v>
      </c>
      <c r="E31" s="173" t="s">
        <v>1615</v>
      </c>
      <c r="F31" s="174"/>
      <c r="G31" s="175" t="s">
        <v>1616</v>
      </c>
      <c r="H31" s="174"/>
      <c r="I31" s="176" t="s">
        <v>1617</v>
      </c>
      <c r="J31" s="174"/>
      <c r="K31" s="177" t="s">
        <v>1618</v>
      </c>
      <c r="L31" s="174"/>
      <c r="M31" s="172" t="s">
        <v>1619</v>
      </c>
    </row>
    <row r="32" ht="27.75" customHeight="1">
      <c r="A32" s="178" t="s">
        <v>1509</v>
      </c>
      <c r="B32" s="178" t="s">
        <v>1510</v>
      </c>
      <c r="C32" s="178" t="s">
        <v>1511</v>
      </c>
      <c r="D32" s="178" t="s">
        <v>1614</v>
      </c>
      <c r="E32" s="179" t="s">
        <v>1620</v>
      </c>
      <c r="F32" s="179" t="s">
        <v>1621</v>
      </c>
      <c r="G32" s="180" t="s">
        <v>1622</v>
      </c>
      <c r="H32" s="180" t="s">
        <v>1623</v>
      </c>
      <c r="I32" s="181" t="s">
        <v>1624</v>
      </c>
      <c r="J32" s="181" t="s">
        <v>1625</v>
      </c>
      <c r="K32" s="182" t="s">
        <v>1626</v>
      </c>
      <c r="L32" s="182" t="s">
        <v>1627</v>
      </c>
      <c r="M32" s="178" t="s">
        <v>1619</v>
      </c>
    </row>
    <row r="33" ht="15.75" customHeight="1">
      <c r="A33" s="159">
        <v>1.0</v>
      </c>
      <c r="B33" s="226" t="s">
        <v>1737</v>
      </c>
      <c r="C33" s="223" t="s">
        <v>1176</v>
      </c>
      <c r="D33" s="227">
        <v>1.0</v>
      </c>
      <c r="E33" s="184"/>
      <c r="F33" s="185" t="str">
        <f>IF(E33&lt;&gt;"",D33*E33,"")</f>
        <v/>
      </c>
      <c r="G33" s="221">
        <v>1125000.0</v>
      </c>
      <c r="H33" s="187">
        <f>IF(G33&lt;&gt;"",D33*G33,"")</f>
        <v>1125000</v>
      </c>
      <c r="I33" s="222">
        <v>1250000.0</v>
      </c>
      <c r="J33" s="219">
        <f>IF(I33&lt;&gt;"",D33*I33,"")</f>
        <v>1250000</v>
      </c>
      <c r="K33" s="190">
        <f t="shared" ref="K33:K34" si="11">IF(J33&lt;&gt;"",IF(H33&lt;&gt;"",J33-H33,IF(F33&lt;&gt;"",J33-F33,"")),"")</f>
        <v>125000</v>
      </c>
      <c r="L33" s="191">
        <f t="shared" ref="L33:L34" si="12">IF(K33&lt;&gt;"",IF(H33&lt;&gt;"",IF(H33&lt;&gt;0,K33/H33,""),IF(F33&lt;&gt;"",IF(F33&lt;&gt;0,K33/F33,""),"")),"")</f>
        <v>0.1111111111</v>
      </c>
      <c r="M33" s="192"/>
    </row>
    <row r="34" ht="19.5" customHeight="1">
      <c r="A34" s="300" t="s">
        <v>1632</v>
      </c>
      <c r="B34" s="206"/>
      <c r="C34" s="206"/>
      <c r="D34" s="174"/>
      <c r="E34" s="207"/>
      <c r="F34" s="208">
        <f>SUMIF(F33,"&lt;&gt;",F33)</f>
        <v>0</v>
      </c>
      <c r="G34" s="207"/>
      <c r="H34" s="208">
        <f>SUMIF(H33,"&lt;&gt;",H33)</f>
        <v>1125000</v>
      </c>
      <c r="I34" s="209"/>
      <c r="J34" s="210">
        <f>SUMIF(J33,"&lt;&gt;",J33)</f>
        <v>1250000</v>
      </c>
      <c r="K34" s="211">
        <f t="shared" si="11"/>
        <v>125000</v>
      </c>
      <c r="L34" s="212">
        <f t="shared" si="12"/>
        <v>0.1111111111</v>
      </c>
      <c r="M34" s="207"/>
    </row>
    <row r="35" ht="15.75" customHeight="1"/>
    <row r="36" ht="15.75" customHeight="1">
      <c r="A36" s="171" t="s">
        <v>1629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ht="15.75" customHeight="1">
      <c r="A37" s="172" t="s">
        <v>1509</v>
      </c>
      <c r="B37" s="172" t="s">
        <v>1510</v>
      </c>
      <c r="C37" s="172" t="s">
        <v>1511</v>
      </c>
      <c r="D37" s="172" t="s">
        <v>1614</v>
      </c>
      <c r="E37" s="173" t="s">
        <v>1615</v>
      </c>
      <c r="F37" s="174"/>
      <c r="G37" s="175" t="s">
        <v>1616</v>
      </c>
      <c r="H37" s="174"/>
      <c r="I37" s="176" t="s">
        <v>1617</v>
      </c>
      <c r="J37" s="174"/>
      <c r="K37" s="177" t="s">
        <v>1618</v>
      </c>
      <c r="L37" s="174"/>
      <c r="M37" s="172" t="s">
        <v>1619</v>
      </c>
    </row>
    <row r="38" ht="15.75" customHeight="1">
      <c r="A38" s="178" t="s">
        <v>1509</v>
      </c>
      <c r="B38" s="178" t="s">
        <v>1510</v>
      </c>
      <c r="C38" s="178" t="s">
        <v>1511</v>
      </c>
      <c r="D38" s="178" t="s">
        <v>1614</v>
      </c>
      <c r="E38" s="179" t="s">
        <v>1620</v>
      </c>
      <c r="F38" s="179" t="s">
        <v>1621</v>
      </c>
      <c r="G38" s="180" t="s">
        <v>1622</v>
      </c>
      <c r="H38" s="180" t="s">
        <v>1623</v>
      </c>
      <c r="I38" s="181" t="s">
        <v>1624</v>
      </c>
      <c r="J38" s="181" t="s">
        <v>1625</v>
      </c>
      <c r="K38" s="182" t="s">
        <v>1626</v>
      </c>
      <c r="L38" s="182" t="s">
        <v>1627</v>
      </c>
      <c r="M38" s="178" t="s">
        <v>1619</v>
      </c>
    </row>
    <row r="39" ht="15.75" customHeight="1">
      <c r="A39" s="159">
        <v>1.0</v>
      </c>
      <c r="B39" s="275" t="s">
        <v>1746</v>
      </c>
      <c r="C39" s="278" t="s">
        <v>1176</v>
      </c>
      <c r="D39" s="254">
        <v>2.0</v>
      </c>
      <c r="E39" s="267"/>
      <c r="F39" s="268" t="str">
        <f>IF(E39&lt;&gt;"",D39*E39,"")</f>
        <v/>
      </c>
      <c r="G39" s="199">
        <v>1125000.0</v>
      </c>
      <c r="H39" s="243">
        <f>IF(G39&lt;&gt;"",D39*G39,"")</f>
        <v>2250000</v>
      </c>
      <c r="I39" s="200">
        <v>1250000.0</v>
      </c>
      <c r="J39" s="264">
        <f>IF(I39&lt;&gt;"",D39*I39,"")</f>
        <v>2500000</v>
      </c>
      <c r="K39" s="190">
        <f t="shared" ref="K39:K40" si="13">IF(J39&lt;&gt;"",IF(H39&lt;&gt;"",J39-H39,IF(F39&lt;&gt;"",J39-F39,"")),"")</f>
        <v>250000</v>
      </c>
      <c r="L39" s="191">
        <f t="shared" ref="L39:L40" si="14">IF(K39&lt;&gt;"",IF(H39&lt;&gt;"",IF(H39&lt;&gt;0,K39/H39,""),IF(F39&lt;&gt;"",IF(F39&lt;&gt;0,K39/F39,""),"")),"")</f>
        <v>0.1111111111</v>
      </c>
      <c r="M39" s="192"/>
    </row>
    <row r="40" ht="15.75" customHeight="1">
      <c r="A40" s="205" t="s">
        <v>1632</v>
      </c>
      <c r="B40" s="206"/>
      <c r="C40" s="206"/>
      <c r="D40" s="174"/>
      <c r="E40" s="207"/>
      <c r="F40" s="208">
        <f>SUMIF(F39,"&lt;&gt;",F39)</f>
        <v>0</v>
      </c>
      <c r="G40" s="207"/>
      <c r="H40" s="208">
        <f>SUMIF(H39,"&lt;&gt;",H39)</f>
        <v>2250000</v>
      </c>
      <c r="I40" s="209"/>
      <c r="J40" s="210">
        <f>SUMIF(J39,"&lt;&gt;",J39)</f>
        <v>2500000</v>
      </c>
      <c r="K40" s="211">
        <f t="shared" si="13"/>
        <v>250000</v>
      </c>
      <c r="L40" s="212">
        <f t="shared" si="14"/>
        <v>0.1111111111</v>
      </c>
      <c r="M40" s="207"/>
    </row>
    <row r="41" ht="15.75" customHeight="1"/>
    <row r="42" ht="15.75" customHeight="1">
      <c r="A42" s="269"/>
      <c r="C42" s="228" t="s">
        <v>1639</v>
      </c>
      <c r="D42" s="155"/>
      <c r="E42" s="155"/>
      <c r="F42" s="155"/>
      <c r="G42" s="155"/>
      <c r="H42" s="155"/>
      <c r="I42" s="155"/>
      <c r="J42" s="155"/>
      <c r="K42" s="155"/>
      <c r="L42" s="155"/>
      <c r="M42" s="427"/>
    </row>
    <row r="43" ht="15.75" customHeight="1">
      <c r="A43" s="229" t="s">
        <v>1509</v>
      </c>
      <c r="B43" s="229" t="s">
        <v>1510</v>
      </c>
      <c r="C43" s="229" t="s">
        <v>1511</v>
      </c>
      <c r="D43" s="229" t="s">
        <v>1614</v>
      </c>
      <c r="E43" s="230" t="s">
        <v>1615</v>
      </c>
      <c r="F43" s="174"/>
      <c r="G43" s="231" t="s">
        <v>1616</v>
      </c>
      <c r="H43" s="174"/>
      <c r="I43" s="232" t="s">
        <v>1617</v>
      </c>
      <c r="J43" s="174"/>
      <c r="K43" s="233" t="s">
        <v>1618</v>
      </c>
      <c r="L43" s="174"/>
      <c r="M43" s="229" t="s">
        <v>1619</v>
      </c>
    </row>
    <row r="44" ht="15.75" customHeight="1">
      <c r="A44" s="234" t="s">
        <v>1509</v>
      </c>
      <c r="B44" s="234" t="s">
        <v>1510</v>
      </c>
      <c r="C44" s="234" t="s">
        <v>1511</v>
      </c>
      <c r="D44" s="234" t="s">
        <v>1614</v>
      </c>
      <c r="E44" s="235" t="s">
        <v>1620</v>
      </c>
      <c r="F44" s="235" t="s">
        <v>1621</v>
      </c>
      <c r="G44" s="236" t="s">
        <v>1622</v>
      </c>
      <c r="H44" s="236" t="s">
        <v>1623</v>
      </c>
      <c r="I44" s="237" t="s">
        <v>1624</v>
      </c>
      <c r="J44" s="237" t="s">
        <v>1625</v>
      </c>
      <c r="K44" s="238" t="s">
        <v>1626</v>
      </c>
      <c r="L44" s="238" t="s">
        <v>1627</v>
      </c>
      <c r="M44" s="234" t="s">
        <v>1619</v>
      </c>
    </row>
    <row r="45" ht="15.75" customHeight="1">
      <c r="A45" s="248">
        <v>1.0</v>
      </c>
      <c r="B45" s="249" t="s">
        <v>1742</v>
      </c>
      <c r="C45" s="239" t="s">
        <v>1583</v>
      </c>
      <c r="D45" s="213">
        <v>15.0</v>
      </c>
      <c r="E45" s="267"/>
      <c r="F45" s="268" t="str">
        <f t="shared" ref="F45:F49" si="15">IF(E45&lt;&gt;"",D45*E45,"")</f>
        <v/>
      </c>
      <c r="G45" s="186">
        <v>65000.0</v>
      </c>
      <c r="H45" s="243">
        <f t="shared" ref="H45:H49" si="16">IF(G45&lt;&gt;"",D45*G45,"")</f>
        <v>975000</v>
      </c>
      <c r="I45" s="188">
        <v>75000.0</v>
      </c>
      <c r="J45" s="244">
        <f t="shared" ref="J45:J49" si="17">IF(I45&lt;&gt;"",D45*I45,"")</f>
        <v>1125000</v>
      </c>
      <c r="K45" s="245">
        <f t="shared" ref="K45:K50" si="18">IF(J45&lt;&gt;"",IF(H45&lt;&gt;"",J45-H45,IF(F45&lt;&gt;"",J45-F45,"")),"")</f>
        <v>150000</v>
      </c>
      <c r="L45" s="246">
        <f t="shared" ref="L45:L50" si="19">IF(K45&lt;&gt;"",IF(H45&lt;&gt;"",IF(H45&lt;&gt;0,K45/H45,""),IF(F45&lt;&gt;"",IF(F45&lt;&gt;0,K45/F45,""),"")),"")</f>
        <v>0.1538461538</v>
      </c>
      <c r="M45" s="247"/>
    </row>
    <row r="46" ht="15.75" customHeight="1">
      <c r="A46" s="239">
        <v>2.0</v>
      </c>
      <c r="B46" s="240" t="s">
        <v>2176</v>
      </c>
      <c r="C46" s="239" t="s">
        <v>1583</v>
      </c>
      <c r="D46" s="213">
        <v>10.0</v>
      </c>
      <c r="E46" s="267"/>
      <c r="F46" s="268" t="str">
        <f t="shared" si="15"/>
        <v/>
      </c>
      <c r="G46" s="186">
        <v>9000.0</v>
      </c>
      <c r="H46" s="243">
        <f t="shared" si="16"/>
        <v>90000</v>
      </c>
      <c r="I46" s="188">
        <v>13000.0</v>
      </c>
      <c r="J46" s="244">
        <f t="shared" si="17"/>
        <v>130000</v>
      </c>
      <c r="K46" s="245">
        <f t="shared" si="18"/>
        <v>40000</v>
      </c>
      <c r="L46" s="246">
        <f t="shared" si="19"/>
        <v>0.4444444444</v>
      </c>
      <c r="M46" s="247"/>
    </row>
    <row r="47" ht="15.75" customHeight="1">
      <c r="A47" s="248">
        <v>3.0</v>
      </c>
      <c r="B47" s="249" t="s">
        <v>2168</v>
      </c>
      <c r="C47" s="248" t="s">
        <v>1754</v>
      </c>
      <c r="D47" s="213">
        <v>30.0</v>
      </c>
      <c r="E47" s="267"/>
      <c r="F47" s="268" t="str">
        <f t="shared" si="15"/>
        <v/>
      </c>
      <c r="G47" s="186">
        <v>19200.0</v>
      </c>
      <c r="H47" s="243">
        <f t="shared" si="16"/>
        <v>576000</v>
      </c>
      <c r="I47" s="188">
        <v>22500.0</v>
      </c>
      <c r="J47" s="244">
        <f t="shared" si="17"/>
        <v>675000</v>
      </c>
      <c r="K47" s="245">
        <f t="shared" si="18"/>
        <v>99000</v>
      </c>
      <c r="L47" s="246">
        <f t="shared" si="19"/>
        <v>0.171875</v>
      </c>
      <c r="M47" s="252"/>
    </row>
    <row r="48" ht="15.75" customHeight="1">
      <c r="A48" s="239">
        <v>4.0</v>
      </c>
      <c r="B48" s="240" t="s">
        <v>2177</v>
      </c>
      <c r="C48" s="239" t="s">
        <v>1583</v>
      </c>
      <c r="D48" s="213">
        <v>20.0</v>
      </c>
      <c r="E48" s="267"/>
      <c r="F48" s="268" t="str">
        <f t="shared" si="15"/>
        <v/>
      </c>
      <c r="G48" s="186">
        <v>10500.0</v>
      </c>
      <c r="H48" s="243">
        <f t="shared" si="16"/>
        <v>210000</v>
      </c>
      <c r="I48" s="188">
        <v>17500.0</v>
      </c>
      <c r="J48" s="244">
        <f t="shared" si="17"/>
        <v>350000</v>
      </c>
      <c r="K48" s="245">
        <f t="shared" si="18"/>
        <v>140000</v>
      </c>
      <c r="L48" s="246">
        <f t="shared" si="19"/>
        <v>0.6666666667</v>
      </c>
      <c r="M48" s="247"/>
    </row>
    <row r="49" ht="15.75" customHeight="1">
      <c r="A49" s="248">
        <v>5.0</v>
      </c>
      <c r="B49" s="249" t="s">
        <v>2178</v>
      </c>
      <c r="C49" s="248" t="s">
        <v>2179</v>
      </c>
      <c r="D49" s="213">
        <v>2.0</v>
      </c>
      <c r="E49" s="267"/>
      <c r="F49" s="268" t="str">
        <f t="shared" si="15"/>
        <v/>
      </c>
      <c r="G49" s="186">
        <v>35000.0</v>
      </c>
      <c r="H49" s="263">
        <f t="shared" si="16"/>
        <v>70000</v>
      </c>
      <c r="I49" s="188">
        <v>45000.0</v>
      </c>
      <c r="J49" s="264">
        <f t="shared" si="17"/>
        <v>90000</v>
      </c>
      <c r="K49" s="245">
        <f t="shared" si="18"/>
        <v>20000</v>
      </c>
      <c r="L49" s="246">
        <f t="shared" si="19"/>
        <v>0.2857142857</v>
      </c>
      <c r="M49" s="252"/>
    </row>
    <row r="50" ht="15.75" customHeight="1">
      <c r="A50" s="272" t="s">
        <v>2180</v>
      </c>
      <c r="B50" s="206"/>
      <c r="C50" s="206"/>
      <c r="D50" s="174"/>
      <c r="E50" s="257"/>
      <c r="F50" s="258">
        <f>SUMIF(F45:F49,"&lt;&gt;",F45:F49)</f>
        <v>0</v>
      </c>
      <c r="G50" s="259"/>
      <c r="H50" s="260">
        <f>SUMIF(H45:H49,"&lt;&gt;",H45:H49)</f>
        <v>1921000</v>
      </c>
      <c r="I50" s="265"/>
      <c r="J50" s="260">
        <f>SUMIF(J45:J49,"&lt;&gt;",J45:J49)</f>
        <v>2370000</v>
      </c>
      <c r="K50" s="261">
        <f t="shared" si="18"/>
        <v>449000</v>
      </c>
      <c r="L50" s="262">
        <f t="shared" si="19"/>
        <v>0.233732431</v>
      </c>
      <c r="M50" s="257"/>
    </row>
    <row r="51" ht="15.75" customHeight="1">
      <c r="A51" s="266"/>
      <c r="B51" s="266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</row>
    <row r="52" ht="15.75" customHeight="1">
      <c r="A52" s="269"/>
      <c r="C52" s="228" t="s">
        <v>2181</v>
      </c>
      <c r="D52" s="155"/>
      <c r="E52" s="155"/>
      <c r="F52" s="155"/>
      <c r="G52" s="155"/>
      <c r="H52" s="155"/>
      <c r="I52" s="155"/>
      <c r="J52" s="155"/>
      <c r="K52" s="155"/>
      <c r="L52" s="155"/>
      <c r="M52" s="427"/>
    </row>
    <row r="53" ht="15.75" customHeight="1">
      <c r="A53" s="229" t="s">
        <v>1509</v>
      </c>
      <c r="B53" s="229" t="s">
        <v>1510</v>
      </c>
      <c r="C53" s="229" t="s">
        <v>1511</v>
      </c>
      <c r="D53" s="229" t="s">
        <v>1614</v>
      </c>
      <c r="E53" s="230" t="s">
        <v>1615</v>
      </c>
      <c r="F53" s="174"/>
      <c r="G53" s="231" t="s">
        <v>1616</v>
      </c>
      <c r="H53" s="174"/>
      <c r="I53" s="232" t="s">
        <v>1617</v>
      </c>
      <c r="J53" s="174"/>
      <c r="K53" s="233" t="s">
        <v>1618</v>
      </c>
      <c r="L53" s="174"/>
      <c r="M53" s="229" t="s">
        <v>1619</v>
      </c>
    </row>
    <row r="54" ht="15.75" customHeight="1">
      <c r="A54" s="234" t="s">
        <v>1509</v>
      </c>
      <c r="B54" s="234" t="s">
        <v>1510</v>
      </c>
      <c r="C54" s="234" t="s">
        <v>1511</v>
      </c>
      <c r="D54" s="234" t="s">
        <v>1614</v>
      </c>
      <c r="E54" s="235" t="s">
        <v>1620</v>
      </c>
      <c r="F54" s="235" t="s">
        <v>1621</v>
      </c>
      <c r="G54" s="236" t="s">
        <v>1622</v>
      </c>
      <c r="H54" s="236" t="s">
        <v>1623</v>
      </c>
      <c r="I54" s="237" t="s">
        <v>1624</v>
      </c>
      <c r="J54" s="237" t="s">
        <v>1625</v>
      </c>
      <c r="K54" s="238" t="s">
        <v>1626</v>
      </c>
      <c r="L54" s="238" t="s">
        <v>1627</v>
      </c>
      <c r="M54" s="234" t="s">
        <v>1619</v>
      </c>
    </row>
    <row r="55" ht="15.75" customHeight="1">
      <c r="A55" s="248">
        <v>1.0</v>
      </c>
      <c r="B55" s="249" t="s">
        <v>1737</v>
      </c>
      <c r="C55" s="239" t="s">
        <v>1176</v>
      </c>
      <c r="D55" s="213">
        <v>2.0</v>
      </c>
      <c r="E55" s="267"/>
      <c r="F55" s="268" t="str">
        <f t="shared" ref="F55:F56" si="20">IF(E55&lt;&gt;"",D55*E55,"")</f>
        <v/>
      </c>
      <c r="G55" s="186">
        <v>1125000.0</v>
      </c>
      <c r="H55" s="243">
        <f t="shared" ref="H55:H56" si="21">IF(G55&lt;&gt;"",D55*G55,"")</f>
        <v>2250000</v>
      </c>
      <c r="I55" s="188">
        <v>1250000.0</v>
      </c>
      <c r="J55" s="244">
        <f t="shared" ref="J55:J56" si="22">IF(I55&lt;&gt;"",D55*I55,"")</f>
        <v>2500000</v>
      </c>
      <c r="K55" s="245">
        <f t="shared" ref="K55:K57" si="23">IF(J55&lt;&gt;"",IF(H55&lt;&gt;"",J55-H55,IF(F55&lt;&gt;"",J55-F55,"")),"")</f>
        <v>250000</v>
      </c>
      <c r="L55" s="246">
        <f t="shared" ref="L55:L57" si="24">IF(K55&lt;&gt;"",IF(H55&lt;&gt;"",IF(H55&lt;&gt;0,K55/H55,""),IF(F55&lt;&gt;"",IF(F55&lt;&gt;0,K55/F55,""),"")),"")</f>
        <v>0.1111111111</v>
      </c>
      <c r="M55" s="247"/>
    </row>
    <row r="56" ht="15.75" customHeight="1">
      <c r="A56" s="239">
        <v>2.0</v>
      </c>
      <c r="B56" s="240" t="s">
        <v>1889</v>
      </c>
      <c r="C56" s="239" t="s">
        <v>1176</v>
      </c>
      <c r="D56" s="213">
        <v>2.0</v>
      </c>
      <c r="E56" s="267"/>
      <c r="F56" s="268" t="str">
        <f t="shared" si="20"/>
        <v/>
      </c>
      <c r="G56" s="186">
        <v>255000.0</v>
      </c>
      <c r="H56" s="263">
        <f t="shared" si="21"/>
        <v>510000</v>
      </c>
      <c r="I56" s="188">
        <v>295000.0</v>
      </c>
      <c r="J56" s="264">
        <f t="shared" si="22"/>
        <v>590000</v>
      </c>
      <c r="K56" s="245">
        <f t="shared" si="23"/>
        <v>80000</v>
      </c>
      <c r="L56" s="246">
        <f t="shared" si="24"/>
        <v>0.1568627451</v>
      </c>
      <c r="M56" s="247"/>
    </row>
    <row r="57" ht="15.75" customHeight="1">
      <c r="A57" s="325" t="s">
        <v>1998</v>
      </c>
      <c r="B57" s="206"/>
      <c r="C57" s="206"/>
      <c r="D57" s="174"/>
      <c r="E57" s="257"/>
      <c r="F57" s="258">
        <f>SUMIF(F55:F56,"&lt;&gt;",F55:F56)</f>
        <v>0</v>
      </c>
      <c r="G57" s="259"/>
      <c r="H57" s="260">
        <f>SUMIF(H55:H56,"&lt;&gt;",H55:H56)</f>
        <v>2760000</v>
      </c>
      <c r="I57" s="265"/>
      <c r="J57" s="260">
        <f>SUMIF(J55:J56,"&lt;&gt;",J55:J56)</f>
        <v>3090000</v>
      </c>
      <c r="K57" s="261">
        <f t="shared" si="23"/>
        <v>330000</v>
      </c>
      <c r="L57" s="262">
        <f t="shared" si="24"/>
        <v>0.1195652174</v>
      </c>
      <c r="M57" s="257"/>
    </row>
    <row r="58" ht="15.75" customHeight="1">
      <c r="A58" s="266"/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</row>
    <row r="59" ht="15.75" customHeight="1">
      <c r="A59" s="269"/>
      <c r="C59" s="228" t="s">
        <v>1667</v>
      </c>
      <c r="D59" s="155"/>
      <c r="E59" s="155"/>
      <c r="F59" s="155"/>
      <c r="G59" s="155"/>
      <c r="H59" s="155"/>
      <c r="I59" s="155"/>
      <c r="J59" s="155"/>
      <c r="K59" s="155"/>
      <c r="L59" s="155"/>
      <c r="M59" s="269"/>
    </row>
    <row r="60" ht="15.75" customHeight="1">
      <c r="A60" s="229" t="s">
        <v>1509</v>
      </c>
      <c r="B60" s="229" t="s">
        <v>1510</v>
      </c>
      <c r="C60" s="229" t="s">
        <v>1511</v>
      </c>
      <c r="D60" s="229" t="s">
        <v>1614</v>
      </c>
      <c r="E60" s="230" t="s">
        <v>1615</v>
      </c>
      <c r="F60" s="174"/>
      <c r="G60" s="231" t="s">
        <v>1616</v>
      </c>
      <c r="H60" s="174"/>
      <c r="I60" s="232" t="s">
        <v>1617</v>
      </c>
      <c r="J60" s="174"/>
      <c r="K60" s="233" t="s">
        <v>1618</v>
      </c>
      <c r="L60" s="174"/>
      <c r="M60" s="229" t="s">
        <v>1619</v>
      </c>
    </row>
    <row r="61" ht="15.75" customHeight="1">
      <c r="A61" s="234" t="s">
        <v>1509</v>
      </c>
      <c r="B61" s="234" t="s">
        <v>1510</v>
      </c>
      <c r="C61" s="234" t="s">
        <v>1511</v>
      </c>
      <c r="D61" s="234" t="s">
        <v>1614</v>
      </c>
      <c r="E61" s="235" t="s">
        <v>1620</v>
      </c>
      <c r="F61" s="235" t="s">
        <v>1621</v>
      </c>
      <c r="G61" s="236" t="s">
        <v>1622</v>
      </c>
      <c r="H61" s="236" t="s">
        <v>1623</v>
      </c>
      <c r="I61" s="237" t="s">
        <v>1624</v>
      </c>
      <c r="J61" s="237" t="s">
        <v>1625</v>
      </c>
      <c r="K61" s="238" t="s">
        <v>1626</v>
      </c>
      <c r="L61" s="238" t="s">
        <v>1627</v>
      </c>
      <c r="M61" s="234" t="s">
        <v>1619</v>
      </c>
    </row>
    <row r="62" ht="15.75" customHeight="1">
      <c r="A62" s="248">
        <v>1.0</v>
      </c>
      <c r="B62" s="249" t="s">
        <v>1746</v>
      </c>
      <c r="C62" s="248" t="s">
        <v>1176</v>
      </c>
      <c r="D62" s="270">
        <v>1.0</v>
      </c>
      <c r="E62" s="267"/>
      <c r="F62" s="268" t="str">
        <f t="shared" ref="F62:F69" si="25">IF(E62&lt;&gt;"",D62*E62,"")</f>
        <v/>
      </c>
      <c r="G62" s="186">
        <v>1125000.0</v>
      </c>
      <c r="H62" s="243">
        <f t="shared" ref="H62:H69" si="26">IF(G62&lt;&gt;"",D62*G62,"")</f>
        <v>1125000</v>
      </c>
      <c r="I62" s="188">
        <v>1250000.0</v>
      </c>
      <c r="J62" s="244">
        <f t="shared" ref="J62:J69" si="27">IF(I62&lt;&gt;"",D62*I62,"")</f>
        <v>1250000</v>
      </c>
      <c r="K62" s="245">
        <f t="shared" ref="K62:K70" si="28">IF(J62&lt;&gt;"",IF(H62&lt;&gt;"",J62-H62,IF(F62&lt;&gt;"",J62-F62,"")),"")</f>
        <v>125000</v>
      </c>
      <c r="L62" s="246">
        <f t="shared" ref="L62:L70" si="29">IF(K62&lt;&gt;"",IF(H62&lt;&gt;"",IF(H62&lt;&gt;0,K62/H62,""),IF(F62&lt;&gt;"",IF(F62&lt;&gt;0,K62/F62,""),"")),"")</f>
        <v>0.1111111111</v>
      </c>
      <c r="M62" s="252"/>
    </row>
    <row r="63" ht="15.75" customHeight="1">
      <c r="A63" s="239">
        <v>2.0</v>
      </c>
      <c r="B63" s="249" t="s">
        <v>2168</v>
      </c>
      <c r="C63" s="239" t="s">
        <v>1754</v>
      </c>
      <c r="D63" s="271">
        <v>25.0</v>
      </c>
      <c r="E63" s="267"/>
      <c r="F63" s="268" t="str">
        <f t="shared" si="25"/>
        <v/>
      </c>
      <c r="G63" s="186">
        <v>19200.0</v>
      </c>
      <c r="H63" s="263">
        <f t="shared" si="26"/>
        <v>480000</v>
      </c>
      <c r="I63" s="188">
        <v>22500.0</v>
      </c>
      <c r="J63" s="244">
        <f t="shared" si="27"/>
        <v>562500</v>
      </c>
      <c r="K63" s="245">
        <f t="shared" si="28"/>
        <v>82500</v>
      </c>
      <c r="L63" s="246">
        <f t="shared" si="29"/>
        <v>0.171875</v>
      </c>
      <c r="M63" s="247"/>
    </row>
    <row r="64" ht="15.75" customHeight="1">
      <c r="A64" s="248">
        <v>3.0</v>
      </c>
      <c r="B64" s="249" t="s">
        <v>2182</v>
      </c>
      <c r="C64" s="239" t="s">
        <v>1902</v>
      </c>
      <c r="D64" s="271">
        <v>3.0</v>
      </c>
      <c r="E64" s="267"/>
      <c r="F64" s="268" t="str">
        <f t="shared" si="25"/>
        <v/>
      </c>
      <c r="G64" s="186">
        <v>45000.0</v>
      </c>
      <c r="H64" s="263">
        <f t="shared" si="26"/>
        <v>135000</v>
      </c>
      <c r="I64" s="188">
        <v>50000.0</v>
      </c>
      <c r="J64" s="244">
        <f t="shared" si="27"/>
        <v>150000</v>
      </c>
      <c r="K64" s="245">
        <f t="shared" si="28"/>
        <v>15000</v>
      </c>
      <c r="L64" s="246">
        <f t="shared" si="29"/>
        <v>0.1111111111</v>
      </c>
      <c r="M64" s="247"/>
    </row>
    <row r="65" ht="15.75" customHeight="1">
      <c r="A65" s="239">
        <v>4.0</v>
      </c>
      <c r="B65" s="249" t="s">
        <v>2183</v>
      </c>
      <c r="C65" s="239" t="s">
        <v>1208</v>
      </c>
      <c r="D65" s="271">
        <v>10.0</v>
      </c>
      <c r="E65" s="267"/>
      <c r="F65" s="268" t="str">
        <f t="shared" si="25"/>
        <v/>
      </c>
      <c r="G65" s="186">
        <v>85000.0</v>
      </c>
      <c r="H65" s="263">
        <f t="shared" si="26"/>
        <v>850000</v>
      </c>
      <c r="I65" s="188">
        <v>85000.0</v>
      </c>
      <c r="J65" s="244">
        <f t="shared" si="27"/>
        <v>850000</v>
      </c>
      <c r="K65" s="245">
        <f t="shared" si="28"/>
        <v>0</v>
      </c>
      <c r="L65" s="246">
        <f t="shared" si="29"/>
        <v>0</v>
      </c>
      <c r="M65" s="247"/>
    </row>
    <row r="66" ht="15.75" customHeight="1">
      <c r="A66" s="248">
        <v>5.0</v>
      </c>
      <c r="B66" s="249" t="s">
        <v>2184</v>
      </c>
      <c r="C66" s="239" t="s">
        <v>1583</v>
      </c>
      <c r="D66" s="271">
        <v>10.0</v>
      </c>
      <c r="E66" s="267"/>
      <c r="F66" s="268" t="str">
        <f t="shared" si="25"/>
        <v/>
      </c>
      <c r="G66" s="186">
        <v>9000.0</v>
      </c>
      <c r="H66" s="263">
        <f t="shared" si="26"/>
        <v>90000</v>
      </c>
      <c r="I66" s="188">
        <v>12000.0</v>
      </c>
      <c r="J66" s="244">
        <f t="shared" si="27"/>
        <v>120000</v>
      </c>
      <c r="K66" s="245">
        <f t="shared" si="28"/>
        <v>30000</v>
      </c>
      <c r="L66" s="246">
        <f t="shared" si="29"/>
        <v>0.3333333333</v>
      </c>
      <c r="M66" s="247"/>
    </row>
    <row r="67" ht="15.75" customHeight="1">
      <c r="A67" s="239">
        <v>6.0</v>
      </c>
      <c r="B67" s="249" t="s">
        <v>1873</v>
      </c>
      <c r="C67" s="239" t="s">
        <v>1583</v>
      </c>
      <c r="D67" s="271">
        <v>10.0</v>
      </c>
      <c r="E67" s="267"/>
      <c r="F67" s="268" t="str">
        <f t="shared" si="25"/>
        <v/>
      </c>
      <c r="G67" s="186">
        <v>16000.0</v>
      </c>
      <c r="H67" s="263">
        <f t="shared" si="26"/>
        <v>160000</v>
      </c>
      <c r="I67" s="188">
        <v>20000.0</v>
      </c>
      <c r="J67" s="244">
        <f t="shared" si="27"/>
        <v>200000</v>
      </c>
      <c r="K67" s="245">
        <f t="shared" si="28"/>
        <v>40000</v>
      </c>
      <c r="L67" s="246">
        <f t="shared" si="29"/>
        <v>0.25</v>
      </c>
      <c r="M67" s="247"/>
    </row>
    <row r="68" ht="15.75" customHeight="1">
      <c r="A68" s="248">
        <v>7.0</v>
      </c>
      <c r="B68" s="249" t="s">
        <v>2185</v>
      </c>
      <c r="C68" s="239" t="s">
        <v>69</v>
      </c>
      <c r="D68" s="271">
        <v>2.0</v>
      </c>
      <c r="E68" s="267"/>
      <c r="F68" s="268" t="str">
        <f t="shared" si="25"/>
        <v/>
      </c>
      <c r="G68" s="186">
        <v>35000.0</v>
      </c>
      <c r="H68" s="263">
        <f t="shared" si="26"/>
        <v>70000</v>
      </c>
      <c r="I68" s="188">
        <v>45000.0</v>
      </c>
      <c r="J68" s="244">
        <f t="shared" si="27"/>
        <v>90000</v>
      </c>
      <c r="K68" s="245">
        <f t="shared" si="28"/>
        <v>20000</v>
      </c>
      <c r="L68" s="246">
        <f t="shared" si="29"/>
        <v>0.2857142857</v>
      </c>
      <c r="M68" s="247"/>
    </row>
    <row r="69" ht="15.75" customHeight="1">
      <c r="A69" s="239">
        <v>8.0</v>
      </c>
      <c r="B69" s="249" t="s">
        <v>2186</v>
      </c>
      <c r="C69" s="239" t="s">
        <v>69</v>
      </c>
      <c r="D69" s="271">
        <v>2.0</v>
      </c>
      <c r="E69" s="267"/>
      <c r="F69" s="268" t="str">
        <f t="shared" si="25"/>
        <v/>
      </c>
      <c r="G69" s="186">
        <v>60000.0</v>
      </c>
      <c r="H69" s="263">
        <f t="shared" si="26"/>
        <v>120000</v>
      </c>
      <c r="I69" s="188">
        <v>75000.0</v>
      </c>
      <c r="J69" s="244">
        <f t="shared" si="27"/>
        <v>150000</v>
      </c>
      <c r="K69" s="245">
        <f t="shared" si="28"/>
        <v>30000</v>
      </c>
      <c r="L69" s="246">
        <f t="shared" si="29"/>
        <v>0.25</v>
      </c>
      <c r="M69" s="247"/>
    </row>
    <row r="70" ht="15.75" customHeight="1">
      <c r="A70" s="325" t="s">
        <v>1828</v>
      </c>
      <c r="B70" s="206"/>
      <c r="C70" s="206"/>
      <c r="D70" s="174"/>
      <c r="E70" s="257"/>
      <c r="F70" s="258">
        <f>SUMIF(F62:F69,"&lt;&gt;",F62:F69)</f>
        <v>0</v>
      </c>
      <c r="G70" s="316"/>
      <c r="H70" s="258">
        <f>SUMIF(H62:H69,"&lt;&gt;",H62:H69)</f>
        <v>3030000</v>
      </c>
      <c r="I70" s="316"/>
      <c r="J70" s="258">
        <f>SUMIF(J62:J69,"&lt;&gt;",J62:J69)</f>
        <v>3372500</v>
      </c>
      <c r="K70" s="261">
        <f t="shared" si="28"/>
        <v>342500</v>
      </c>
      <c r="L70" s="262">
        <f t="shared" si="29"/>
        <v>0.1130363036</v>
      </c>
      <c r="M70" s="257"/>
    </row>
    <row r="71" ht="15.75" customHeight="1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</row>
    <row r="72" ht="15.75" customHeight="1">
      <c r="A72" s="269"/>
      <c r="C72" s="228" t="s">
        <v>1667</v>
      </c>
      <c r="D72" s="155"/>
      <c r="E72" s="155"/>
      <c r="F72" s="155"/>
      <c r="G72" s="155"/>
      <c r="H72" s="155"/>
      <c r="I72" s="155"/>
      <c r="J72" s="155"/>
      <c r="K72" s="155"/>
      <c r="L72" s="155"/>
      <c r="M72" s="269"/>
    </row>
    <row r="73" ht="15.75" customHeight="1">
      <c r="A73" s="229" t="s">
        <v>1509</v>
      </c>
      <c r="B73" s="229" t="s">
        <v>1510</v>
      </c>
      <c r="C73" s="229" t="s">
        <v>1511</v>
      </c>
      <c r="D73" s="229" t="s">
        <v>1614</v>
      </c>
      <c r="E73" s="230" t="s">
        <v>1615</v>
      </c>
      <c r="F73" s="174"/>
      <c r="G73" s="231" t="s">
        <v>1616</v>
      </c>
      <c r="H73" s="174"/>
      <c r="I73" s="232" t="s">
        <v>1617</v>
      </c>
      <c r="J73" s="174"/>
      <c r="K73" s="233" t="s">
        <v>1618</v>
      </c>
      <c r="L73" s="174"/>
      <c r="M73" s="229" t="s">
        <v>1619</v>
      </c>
    </row>
    <row r="74" ht="15.75" customHeight="1">
      <c r="A74" s="234" t="s">
        <v>1509</v>
      </c>
      <c r="B74" s="234" t="s">
        <v>1510</v>
      </c>
      <c r="C74" s="234" t="s">
        <v>1511</v>
      </c>
      <c r="D74" s="234" t="s">
        <v>1614</v>
      </c>
      <c r="E74" s="235" t="s">
        <v>1620</v>
      </c>
      <c r="F74" s="235" t="s">
        <v>1621</v>
      </c>
      <c r="G74" s="236" t="s">
        <v>1622</v>
      </c>
      <c r="H74" s="236" t="s">
        <v>1623</v>
      </c>
      <c r="I74" s="237" t="s">
        <v>1624</v>
      </c>
      <c r="J74" s="237" t="s">
        <v>1625</v>
      </c>
      <c r="K74" s="238" t="s">
        <v>1626</v>
      </c>
      <c r="L74" s="238" t="s">
        <v>1627</v>
      </c>
      <c r="M74" s="234" t="s">
        <v>1619</v>
      </c>
    </row>
    <row r="75" ht="15.75" customHeight="1">
      <c r="A75" s="248">
        <v>1.0</v>
      </c>
      <c r="B75" s="249" t="s">
        <v>1790</v>
      </c>
      <c r="C75" s="248" t="s">
        <v>1762</v>
      </c>
      <c r="D75" s="270">
        <v>1.0</v>
      </c>
      <c r="E75" s="267"/>
      <c r="F75" s="268" t="str">
        <f t="shared" ref="F75:F76" si="30">IF(E75&lt;&gt;"",D75*E75,"")</f>
        <v/>
      </c>
      <c r="G75" s="186">
        <v>2600000.0</v>
      </c>
      <c r="H75" s="243">
        <f t="shared" ref="H75:H76" si="31">IF(G75&lt;&gt;"",D75*G75,"")</f>
        <v>2600000</v>
      </c>
      <c r="I75" s="188">
        <v>2600000.0</v>
      </c>
      <c r="J75" s="244">
        <f t="shared" ref="J75:J76" si="32">IF(I75&lt;&gt;"",D75*I75,"")</f>
        <v>2600000</v>
      </c>
      <c r="K75" s="245">
        <f t="shared" ref="K75:K77" si="33">IF(J75&lt;&gt;"",IF(H75&lt;&gt;"",J75-H75,IF(F75&lt;&gt;"",J75-F75,"")),"")</f>
        <v>0</v>
      </c>
      <c r="L75" s="246">
        <f t="shared" ref="L75:L77" si="34">IF(K75&lt;&gt;"",IF(H75&lt;&gt;"",IF(H75&lt;&gt;0,K75/H75,""),IF(F75&lt;&gt;"",IF(F75&lt;&gt;0,K75/F75,""),"")),"")</f>
        <v>0</v>
      </c>
      <c r="M75" s="252"/>
    </row>
    <row r="76" ht="15.75" customHeight="1">
      <c r="A76" s="239">
        <v>2.0</v>
      </c>
      <c r="B76" s="249" t="s">
        <v>1790</v>
      </c>
      <c r="C76" s="239" t="s">
        <v>1762</v>
      </c>
      <c r="D76" s="271">
        <v>1.0</v>
      </c>
      <c r="E76" s="267"/>
      <c r="F76" s="268" t="str">
        <f t="shared" si="30"/>
        <v/>
      </c>
      <c r="G76" s="186">
        <v>2600000.0</v>
      </c>
      <c r="H76" s="263">
        <f t="shared" si="31"/>
        <v>2600000</v>
      </c>
      <c r="I76" s="188">
        <v>2600000.0</v>
      </c>
      <c r="J76" s="244">
        <f t="shared" si="32"/>
        <v>2600000</v>
      </c>
      <c r="K76" s="245">
        <f t="shared" si="33"/>
        <v>0</v>
      </c>
      <c r="L76" s="246">
        <f t="shared" si="34"/>
        <v>0</v>
      </c>
      <c r="M76" s="247"/>
    </row>
    <row r="77" ht="15.75" customHeight="1">
      <c r="A77" s="300" t="s">
        <v>1828</v>
      </c>
      <c r="B77" s="206"/>
      <c r="C77" s="206"/>
      <c r="D77" s="174"/>
      <c r="E77" s="257"/>
      <c r="F77" s="258">
        <f>SUMIF(F75:F76,"&lt;&gt;",F75:F76)</f>
        <v>0</v>
      </c>
      <c r="G77" s="259"/>
      <c r="H77" s="260">
        <f>SUMIF(H75:H76,"&lt;&gt;",H75:H76)</f>
        <v>5200000</v>
      </c>
      <c r="I77" s="265"/>
      <c r="J77" s="260">
        <f>SUMIF(J75:J76,"&lt;&gt;",J75:J76)</f>
        <v>5200000</v>
      </c>
      <c r="K77" s="261">
        <f t="shared" si="33"/>
        <v>0</v>
      </c>
      <c r="L77" s="262">
        <f t="shared" si="34"/>
        <v>0</v>
      </c>
      <c r="M77" s="257"/>
    </row>
    <row r="78" ht="15.75" customHeight="1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</row>
    <row r="79" ht="15.75" customHeight="1">
      <c r="A79" s="269"/>
      <c r="C79" s="228" t="s">
        <v>1667</v>
      </c>
      <c r="D79" s="155"/>
      <c r="E79" s="155"/>
      <c r="F79" s="155"/>
      <c r="G79" s="155"/>
      <c r="H79" s="155"/>
      <c r="I79" s="155"/>
      <c r="J79" s="155"/>
      <c r="K79" s="155"/>
      <c r="L79" s="155"/>
      <c r="M79" s="269"/>
    </row>
    <row r="80" ht="15.75" customHeight="1">
      <c r="A80" s="229" t="s">
        <v>1509</v>
      </c>
      <c r="B80" s="229" t="s">
        <v>1510</v>
      </c>
      <c r="C80" s="229" t="s">
        <v>1511</v>
      </c>
      <c r="D80" s="229" t="s">
        <v>1614</v>
      </c>
      <c r="E80" s="230" t="s">
        <v>1615</v>
      </c>
      <c r="F80" s="174"/>
      <c r="G80" s="231" t="s">
        <v>1616</v>
      </c>
      <c r="H80" s="174"/>
      <c r="I80" s="232" t="s">
        <v>1617</v>
      </c>
      <c r="J80" s="174"/>
      <c r="K80" s="233" t="s">
        <v>1618</v>
      </c>
      <c r="L80" s="174"/>
      <c r="M80" s="229" t="s">
        <v>1619</v>
      </c>
    </row>
    <row r="81" ht="15.75" customHeight="1">
      <c r="A81" s="234" t="s">
        <v>1509</v>
      </c>
      <c r="B81" s="234" t="s">
        <v>1510</v>
      </c>
      <c r="C81" s="234" t="s">
        <v>1511</v>
      </c>
      <c r="D81" s="234" t="s">
        <v>1614</v>
      </c>
      <c r="E81" s="235" t="s">
        <v>1620</v>
      </c>
      <c r="F81" s="235" t="s">
        <v>1621</v>
      </c>
      <c r="G81" s="236" t="s">
        <v>1622</v>
      </c>
      <c r="H81" s="236" t="s">
        <v>1623</v>
      </c>
      <c r="I81" s="237" t="s">
        <v>1624</v>
      </c>
      <c r="J81" s="237" t="s">
        <v>1625</v>
      </c>
      <c r="K81" s="238" t="s">
        <v>1626</v>
      </c>
      <c r="L81" s="238" t="s">
        <v>1627</v>
      </c>
      <c r="M81" s="234" t="s">
        <v>1619</v>
      </c>
    </row>
    <row r="82" ht="15.75" customHeight="1">
      <c r="A82" s="248">
        <v>1.0</v>
      </c>
      <c r="B82" s="249" t="s">
        <v>2187</v>
      </c>
      <c r="C82" s="248" t="s">
        <v>1754</v>
      </c>
      <c r="D82" s="270">
        <v>25.0</v>
      </c>
      <c r="E82" s="267"/>
      <c r="F82" s="268" t="str">
        <f>IF(E82&lt;&gt;"",D82*E82,"")</f>
        <v/>
      </c>
      <c r="G82" s="186">
        <v>19200.0</v>
      </c>
      <c r="H82" s="243">
        <f>IF(G82&lt;&gt;"",D82*G82,"")</f>
        <v>480000</v>
      </c>
      <c r="I82" s="188">
        <v>22500.0</v>
      </c>
      <c r="J82" s="244">
        <f>IF(I82&lt;&gt;"",D82*I82,"")</f>
        <v>562500</v>
      </c>
      <c r="K82" s="245">
        <f t="shared" ref="K82:K83" si="35">IF(J82&lt;&gt;"",IF(H82&lt;&gt;"",J82-H82,IF(F82&lt;&gt;"",J82-F82,"")),"")</f>
        <v>82500</v>
      </c>
      <c r="L82" s="246">
        <f t="shared" ref="L82:L83" si="36">IF(K82&lt;&gt;"",IF(H82&lt;&gt;"",IF(H82&lt;&gt;0,K82/H82,""),IF(F82&lt;&gt;"",IF(F82&lt;&gt;0,K82/F82,""),"")),"")</f>
        <v>0.171875</v>
      </c>
      <c r="M82" s="252"/>
    </row>
    <row r="83" ht="15.75" customHeight="1">
      <c r="A83" s="325" t="s">
        <v>1828</v>
      </c>
      <c r="B83" s="206"/>
      <c r="C83" s="206"/>
      <c r="D83" s="174"/>
      <c r="E83" s="257"/>
      <c r="F83" s="258">
        <f>SUMIF(F82,"&lt;&gt;",F82)</f>
        <v>0</v>
      </c>
      <c r="G83" s="259"/>
      <c r="H83" s="260">
        <f>SUMIF(H82,"&lt;&gt;",H82)</f>
        <v>480000</v>
      </c>
      <c r="I83" s="265"/>
      <c r="J83" s="260">
        <f>SUMIF(J82,"&lt;&gt;",J82)</f>
        <v>562500</v>
      </c>
      <c r="K83" s="261">
        <f t="shared" si="35"/>
        <v>82500</v>
      </c>
      <c r="L83" s="262">
        <f t="shared" si="36"/>
        <v>0.171875</v>
      </c>
      <c r="M83" s="257"/>
    </row>
    <row r="84" ht="15.75" customHeight="1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</row>
    <row r="85" ht="15.75" customHeight="1">
      <c r="A85" s="269"/>
      <c r="C85" s="273" t="s">
        <v>2188</v>
      </c>
      <c r="D85" s="155"/>
      <c r="E85" s="155"/>
      <c r="F85" s="155"/>
      <c r="G85" s="155"/>
      <c r="H85" s="155"/>
      <c r="I85" s="155"/>
      <c r="J85" s="155"/>
      <c r="K85" s="155"/>
      <c r="L85" s="155"/>
      <c r="M85" s="269"/>
    </row>
    <row r="86" ht="15.75" customHeight="1">
      <c r="A86" s="229" t="s">
        <v>1509</v>
      </c>
      <c r="B86" s="229" t="s">
        <v>1510</v>
      </c>
      <c r="C86" s="229" t="s">
        <v>1511</v>
      </c>
      <c r="D86" s="229" t="s">
        <v>1614</v>
      </c>
      <c r="E86" s="230" t="s">
        <v>1615</v>
      </c>
      <c r="F86" s="174"/>
      <c r="G86" s="231" t="s">
        <v>1616</v>
      </c>
      <c r="H86" s="174"/>
      <c r="I86" s="232" t="s">
        <v>1617</v>
      </c>
      <c r="J86" s="174"/>
      <c r="K86" s="233" t="s">
        <v>1618</v>
      </c>
      <c r="L86" s="174"/>
      <c r="M86" s="229" t="s">
        <v>1619</v>
      </c>
    </row>
    <row r="87" ht="15.75" customHeight="1">
      <c r="A87" s="234" t="s">
        <v>1509</v>
      </c>
      <c r="B87" s="234" t="s">
        <v>1510</v>
      </c>
      <c r="C87" s="234" t="s">
        <v>1511</v>
      </c>
      <c r="D87" s="234" t="s">
        <v>1614</v>
      </c>
      <c r="E87" s="235" t="s">
        <v>1620</v>
      </c>
      <c r="F87" s="235" t="s">
        <v>1621</v>
      </c>
      <c r="G87" s="236" t="s">
        <v>1622</v>
      </c>
      <c r="H87" s="236" t="s">
        <v>1623</v>
      </c>
      <c r="I87" s="237" t="s">
        <v>1624</v>
      </c>
      <c r="J87" s="237" t="s">
        <v>1625</v>
      </c>
      <c r="K87" s="238" t="s">
        <v>1626</v>
      </c>
      <c r="L87" s="238" t="s">
        <v>1627</v>
      </c>
      <c r="M87" s="234" t="s">
        <v>1619</v>
      </c>
    </row>
    <row r="88" ht="15.75" customHeight="1">
      <c r="A88" s="248">
        <v>1.0</v>
      </c>
      <c r="B88" s="249" t="s">
        <v>1737</v>
      </c>
      <c r="C88" s="248" t="s">
        <v>1176</v>
      </c>
      <c r="D88" s="270">
        <v>1.0</v>
      </c>
      <c r="E88" s="267"/>
      <c r="F88" s="268" t="str">
        <f>IF(E88&lt;&gt;"",D88*E88,"")</f>
        <v/>
      </c>
      <c r="G88" s="186">
        <v>1125000.0</v>
      </c>
      <c r="H88" s="243">
        <f>IF(G88&lt;&gt;"",D88*G88,"")</f>
        <v>1125000</v>
      </c>
      <c r="I88" s="188">
        <v>1250000.0</v>
      </c>
      <c r="J88" s="244">
        <f>IF(I88&lt;&gt;"",D88*I88,"")</f>
        <v>1250000</v>
      </c>
      <c r="K88" s="245">
        <f t="shared" ref="K88:K89" si="37">IF(J88&lt;&gt;"",IF(H88&lt;&gt;"",J88-H88,IF(F88&lt;&gt;"",J88-F88,"")),"")</f>
        <v>125000</v>
      </c>
      <c r="L88" s="246">
        <f t="shared" ref="L88:L89" si="38">IF(K88&lt;&gt;"",IF(H88&lt;&gt;"",IF(H88&lt;&gt;0,K88/H88,""),IF(F88&lt;&gt;"",IF(F88&lt;&gt;0,K88/F88,""),"")),"")</f>
        <v>0.1111111111</v>
      </c>
      <c r="M88" s="252"/>
    </row>
    <row r="89" ht="15.75" customHeight="1">
      <c r="A89" s="325" t="s">
        <v>2189</v>
      </c>
      <c r="B89" s="206"/>
      <c r="C89" s="206"/>
      <c r="D89" s="174"/>
      <c r="E89" s="257"/>
      <c r="F89" s="258">
        <f>SUMIF(F88,"&lt;&gt;",F88)</f>
        <v>0</v>
      </c>
      <c r="G89" s="259"/>
      <c r="H89" s="260">
        <f>SUMIF(H88,"&lt;&gt;",H88)</f>
        <v>1125000</v>
      </c>
      <c r="I89" s="265"/>
      <c r="J89" s="260">
        <f>SUMIF(J88,"&lt;&gt;",J88)</f>
        <v>1250000</v>
      </c>
      <c r="K89" s="261">
        <f t="shared" si="37"/>
        <v>125000</v>
      </c>
      <c r="L89" s="262">
        <f t="shared" si="38"/>
        <v>0.1111111111</v>
      </c>
      <c r="M89" s="257"/>
    </row>
    <row r="90" ht="15.75" customHeight="1"/>
    <row r="91" ht="15.75" customHeight="1">
      <c r="A91" s="273" t="s">
        <v>1943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</row>
    <row r="92" ht="15.75" customHeight="1">
      <c r="A92" s="229" t="s">
        <v>1509</v>
      </c>
      <c r="B92" s="229" t="s">
        <v>1510</v>
      </c>
      <c r="C92" s="229" t="s">
        <v>1511</v>
      </c>
      <c r="D92" s="229" t="s">
        <v>1614</v>
      </c>
      <c r="E92" s="230" t="s">
        <v>1615</v>
      </c>
      <c r="F92" s="174"/>
      <c r="G92" s="231" t="s">
        <v>1616</v>
      </c>
      <c r="H92" s="174"/>
      <c r="I92" s="232" t="s">
        <v>1617</v>
      </c>
      <c r="J92" s="174"/>
      <c r="K92" s="233" t="s">
        <v>1618</v>
      </c>
      <c r="L92" s="174"/>
      <c r="M92" s="229" t="s">
        <v>1619</v>
      </c>
    </row>
    <row r="93" ht="15.75" customHeight="1">
      <c r="A93" s="234" t="s">
        <v>1509</v>
      </c>
      <c r="B93" s="234" t="s">
        <v>1510</v>
      </c>
      <c r="C93" s="234" t="s">
        <v>1511</v>
      </c>
      <c r="D93" s="234" t="s">
        <v>1614</v>
      </c>
      <c r="E93" s="235" t="s">
        <v>1620</v>
      </c>
      <c r="F93" s="235" t="s">
        <v>1621</v>
      </c>
      <c r="G93" s="236" t="s">
        <v>1622</v>
      </c>
      <c r="H93" s="236" t="s">
        <v>1623</v>
      </c>
      <c r="I93" s="237" t="s">
        <v>1624</v>
      </c>
      <c r="J93" s="237" t="s">
        <v>1625</v>
      </c>
      <c r="K93" s="238" t="s">
        <v>1626</v>
      </c>
      <c r="L93" s="238" t="s">
        <v>1627</v>
      </c>
      <c r="M93" s="234" t="s">
        <v>1619</v>
      </c>
    </row>
    <row r="94" ht="15.75" customHeight="1">
      <c r="A94" s="280">
        <v>1.0</v>
      </c>
      <c r="B94" s="276" t="s">
        <v>2168</v>
      </c>
      <c r="C94" s="280" t="s">
        <v>1754</v>
      </c>
      <c r="D94" s="309">
        <v>28.0</v>
      </c>
      <c r="E94" s="267"/>
      <c r="F94" s="268"/>
      <c r="G94" s="199">
        <v>19200.0</v>
      </c>
      <c r="H94" s="243">
        <f t="shared" ref="H94:H95" si="39">IF(G94&lt;&gt;"",D94*G94,"")</f>
        <v>537600</v>
      </c>
      <c r="I94" s="358">
        <v>22500.0</v>
      </c>
      <c r="J94" s="244">
        <f t="shared" ref="J94:J95" si="40">IF(I94&lt;&gt;"",D94*I94,"")</f>
        <v>630000</v>
      </c>
      <c r="K94" s="245">
        <f t="shared" ref="K94:K96" si="41">IF(J94&lt;&gt;"",IF(H94&lt;&gt;"",J94-H94,IF(F94&lt;&gt;"",J94-F94,"")),"")</f>
        <v>92400</v>
      </c>
      <c r="L94" s="246">
        <f t="shared" ref="L94:L96" si="42">IF(K94&lt;&gt;"",IF(H94&lt;&gt;"",IF(H94&lt;&gt;0,K94/H94,""),IF(F94&lt;&gt;"",IF(F94&lt;&gt;0,K94/F94,""),"")),"")</f>
        <v>0.171875</v>
      </c>
      <c r="M94" s="252"/>
    </row>
    <row r="95" ht="15.75" customHeight="1">
      <c r="A95" s="280">
        <v>2.0</v>
      </c>
      <c r="B95" s="249" t="s">
        <v>1737</v>
      </c>
      <c r="C95" s="248" t="s">
        <v>1176</v>
      </c>
      <c r="D95" s="309">
        <v>2.0</v>
      </c>
      <c r="E95" s="267"/>
      <c r="F95" s="428" t="str">
        <f>IF(E95&lt;&gt;"",D95*E95,"")</f>
        <v/>
      </c>
      <c r="G95" s="429">
        <v>1125000.0</v>
      </c>
      <c r="H95" s="263">
        <f t="shared" si="39"/>
        <v>2250000</v>
      </c>
      <c r="I95" s="344">
        <v>1250000.0</v>
      </c>
      <c r="J95" s="264">
        <f t="shared" si="40"/>
        <v>2500000</v>
      </c>
      <c r="K95" s="245">
        <f t="shared" si="41"/>
        <v>250000</v>
      </c>
      <c r="L95" s="246">
        <f t="shared" si="42"/>
        <v>0.1111111111</v>
      </c>
      <c r="M95" s="252"/>
    </row>
    <row r="96" ht="15.75" customHeight="1">
      <c r="A96" s="325" t="s">
        <v>2190</v>
      </c>
      <c r="B96" s="206"/>
      <c r="C96" s="206"/>
      <c r="D96" s="174"/>
      <c r="E96" s="259"/>
      <c r="F96" s="282">
        <f>SUMIF(F94:F95,"&lt;&gt;",F94:F95)</f>
        <v>0</v>
      </c>
      <c r="G96" s="282"/>
      <c r="H96" s="282">
        <f>SUMIF(H94:H95,"&lt;&gt;",H94:H95)</f>
        <v>2787600</v>
      </c>
      <c r="I96" s="282"/>
      <c r="J96" s="282">
        <f>SUMIF(J94:J95,"&lt;&gt;",J94:J95)</f>
        <v>3130000</v>
      </c>
      <c r="K96" s="261">
        <f t="shared" si="41"/>
        <v>342400</v>
      </c>
      <c r="L96" s="262">
        <f t="shared" si="42"/>
        <v>0.1228296743</v>
      </c>
      <c r="M96" s="257"/>
    </row>
    <row r="97" ht="15.75" customHeight="1"/>
    <row r="98" ht="15.75" customHeight="1">
      <c r="A98" s="269"/>
      <c r="C98" s="273" t="s">
        <v>1895</v>
      </c>
      <c r="D98" s="155"/>
      <c r="E98" s="155"/>
      <c r="F98" s="155"/>
      <c r="G98" s="155"/>
      <c r="H98" s="155"/>
      <c r="I98" s="155"/>
      <c r="J98" s="155"/>
      <c r="K98" s="155"/>
      <c r="L98" s="155"/>
      <c r="M98" s="269"/>
    </row>
    <row r="99" ht="15.75" customHeight="1">
      <c r="A99" s="229" t="s">
        <v>1509</v>
      </c>
      <c r="B99" s="229" t="s">
        <v>1510</v>
      </c>
      <c r="C99" s="229" t="s">
        <v>1511</v>
      </c>
      <c r="D99" s="229" t="s">
        <v>1614</v>
      </c>
      <c r="E99" s="230" t="s">
        <v>1615</v>
      </c>
      <c r="F99" s="174"/>
      <c r="G99" s="231" t="s">
        <v>1616</v>
      </c>
      <c r="H99" s="174"/>
      <c r="I99" s="232" t="s">
        <v>1617</v>
      </c>
      <c r="J99" s="174"/>
      <c r="K99" s="233" t="s">
        <v>1618</v>
      </c>
      <c r="L99" s="174"/>
      <c r="M99" s="229" t="s">
        <v>1619</v>
      </c>
    </row>
    <row r="100" ht="15.75" customHeight="1">
      <c r="A100" s="234" t="s">
        <v>1509</v>
      </c>
      <c r="B100" s="234" t="s">
        <v>1510</v>
      </c>
      <c r="C100" s="234" t="s">
        <v>1511</v>
      </c>
      <c r="D100" s="234" t="s">
        <v>1614</v>
      </c>
      <c r="E100" s="235" t="s">
        <v>1620</v>
      </c>
      <c r="F100" s="235" t="s">
        <v>1621</v>
      </c>
      <c r="G100" s="236" t="s">
        <v>1622</v>
      </c>
      <c r="H100" s="236" t="s">
        <v>1623</v>
      </c>
      <c r="I100" s="237" t="s">
        <v>1624</v>
      </c>
      <c r="J100" s="237" t="s">
        <v>1625</v>
      </c>
      <c r="K100" s="238" t="s">
        <v>1626</v>
      </c>
      <c r="L100" s="238" t="s">
        <v>1627</v>
      </c>
      <c r="M100" s="234" t="s">
        <v>1619</v>
      </c>
    </row>
    <row r="101" ht="15.75" customHeight="1">
      <c r="A101" s="248">
        <v>1.0</v>
      </c>
      <c r="B101" s="276" t="s">
        <v>2191</v>
      </c>
      <c r="C101" s="280" t="s">
        <v>1583</v>
      </c>
      <c r="D101" s="309">
        <v>15.0</v>
      </c>
      <c r="E101" s="267"/>
      <c r="F101" s="268" t="str">
        <f>IF(E101&lt;&gt;"",D101*E101,"")</f>
        <v/>
      </c>
      <c r="G101" s="199">
        <v>11400.0</v>
      </c>
      <c r="H101" s="243">
        <f>IF(G101&lt;&gt;"",D101*G101,"")</f>
        <v>171000</v>
      </c>
      <c r="I101" s="200">
        <v>15500.0</v>
      </c>
      <c r="J101" s="244">
        <f>IF(I101&lt;&gt;"",D101*I101,"")</f>
        <v>232500</v>
      </c>
      <c r="K101" s="245">
        <f t="shared" ref="K101:K102" si="43">IF(J101&lt;&gt;"",IF(H101&lt;&gt;"",J101-H101,IF(F101&lt;&gt;"",J101-F101,"")),"")</f>
        <v>61500</v>
      </c>
      <c r="L101" s="246">
        <f t="shared" ref="L101:L102" si="44">IF(K101&lt;&gt;"",IF(H101&lt;&gt;"",IF(H101&lt;&gt;0,K101/H101,""),IF(F101&lt;&gt;"",IF(F101&lt;&gt;0,K101/F101,""),"")),"")</f>
        <v>0.3596491228</v>
      </c>
      <c r="M101" s="252"/>
    </row>
    <row r="102" ht="15.75" customHeight="1">
      <c r="A102" s="325" t="s">
        <v>2004</v>
      </c>
      <c r="B102" s="206"/>
      <c r="C102" s="206"/>
      <c r="D102" s="174"/>
      <c r="E102" s="257"/>
      <c r="F102" s="258">
        <f>SUMIF(F101,"&lt;&gt;",F101)</f>
        <v>0</v>
      </c>
      <c r="G102" s="259"/>
      <c r="H102" s="260">
        <f>SUMIF(H101,"&lt;&gt;",H101)</f>
        <v>171000</v>
      </c>
      <c r="I102" s="265"/>
      <c r="J102" s="260">
        <f>SUMIF(J101,"&lt;&gt;",J101)</f>
        <v>232500</v>
      </c>
      <c r="K102" s="261">
        <f t="shared" si="43"/>
        <v>61500</v>
      </c>
      <c r="L102" s="262">
        <f t="shared" si="44"/>
        <v>0.3596491228</v>
      </c>
      <c r="M102" s="257"/>
    </row>
    <row r="103" ht="15.75" customHeight="1"/>
    <row r="104" ht="15.75" customHeight="1">
      <c r="A104" s="273" t="s">
        <v>1951</v>
      </c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</row>
    <row r="105" ht="15.75" customHeight="1">
      <c r="A105" s="229" t="s">
        <v>1509</v>
      </c>
      <c r="B105" s="229" t="s">
        <v>1510</v>
      </c>
      <c r="C105" s="229" t="s">
        <v>1511</v>
      </c>
      <c r="D105" s="229" t="s">
        <v>1614</v>
      </c>
      <c r="E105" s="230" t="s">
        <v>1615</v>
      </c>
      <c r="F105" s="174"/>
      <c r="G105" s="231" t="s">
        <v>1616</v>
      </c>
      <c r="H105" s="174"/>
      <c r="I105" s="232" t="s">
        <v>1617</v>
      </c>
      <c r="J105" s="174"/>
      <c r="K105" s="233" t="s">
        <v>1618</v>
      </c>
      <c r="L105" s="174"/>
      <c r="M105" s="229" t="s">
        <v>1619</v>
      </c>
    </row>
    <row r="106" ht="15.75" customHeight="1">
      <c r="A106" s="234" t="s">
        <v>1509</v>
      </c>
      <c r="B106" s="234" t="s">
        <v>1510</v>
      </c>
      <c r="C106" s="234" t="s">
        <v>1511</v>
      </c>
      <c r="D106" s="234" t="s">
        <v>1614</v>
      </c>
      <c r="E106" s="235" t="s">
        <v>1620</v>
      </c>
      <c r="F106" s="235" t="s">
        <v>1621</v>
      </c>
      <c r="G106" s="236" t="s">
        <v>1622</v>
      </c>
      <c r="H106" s="236" t="s">
        <v>1623</v>
      </c>
      <c r="I106" s="237" t="s">
        <v>1624</v>
      </c>
      <c r="J106" s="237" t="s">
        <v>1625</v>
      </c>
      <c r="K106" s="238" t="s">
        <v>1626</v>
      </c>
      <c r="L106" s="238" t="s">
        <v>1627</v>
      </c>
      <c r="M106" s="234" t="s">
        <v>1619</v>
      </c>
    </row>
    <row r="107" ht="15.75" customHeight="1">
      <c r="A107" s="280">
        <v>1.0</v>
      </c>
      <c r="B107" s="276" t="s">
        <v>1737</v>
      </c>
      <c r="C107" s="280" t="s">
        <v>1176</v>
      </c>
      <c r="D107" s="309">
        <v>2.0</v>
      </c>
      <c r="E107" s="267"/>
      <c r="F107" s="268"/>
      <c r="G107" s="199">
        <v>1125000.0</v>
      </c>
      <c r="H107" s="243">
        <f t="shared" ref="H107:H109" si="45">IF(G107&lt;&gt;"",D107*G107,"")</f>
        <v>2250000</v>
      </c>
      <c r="I107" s="358">
        <v>1250000.0</v>
      </c>
      <c r="J107" s="244">
        <f t="shared" ref="J107:J109" si="46">IF(I107&lt;&gt;"",D107*I107,"")</f>
        <v>2500000</v>
      </c>
      <c r="K107" s="245">
        <f t="shared" ref="K107:K110" si="47">IF(J107&lt;&gt;"",IF(H107&lt;&gt;"",J107-H107,IF(F107&lt;&gt;"",J107-F107,"")),"")</f>
        <v>250000</v>
      </c>
      <c r="L107" s="246">
        <f t="shared" ref="L107:L110" si="48">IF(K107&lt;&gt;"",IF(H107&lt;&gt;"",IF(H107&lt;&gt;0,K107/H107,""),IF(F107&lt;&gt;"",IF(F107&lt;&gt;0,K107/F107,""),"")),"")</f>
        <v>0.1111111111</v>
      </c>
      <c r="M107" s="252"/>
    </row>
    <row r="108" ht="15.75" customHeight="1">
      <c r="A108" s="280">
        <v>2.0</v>
      </c>
      <c r="B108" s="276" t="s">
        <v>1889</v>
      </c>
      <c r="C108" s="280" t="s">
        <v>1176</v>
      </c>
      <c r="D108" s="309">
        <v>2.0</v>
      </c>
      <c r="E108" s="267"/>
      <c r="F108" s="268"/>
      <c r="G108" s="199">
        <v>255000.0</v>
      </c>
      <c r="H108" s="243">
        <f t="shared" si="45"/>
        <v>510000</v>
      </c>
      <c r="I108" s="200">
        <v>295000.0</v>
      </c>
      <c r="J108" s="244">
        <f t="shared" si="46"/>
        <v>590000</v>
      </c>
      <c r="K108" s="245">
        <f t="shared" si="47"/>
        <v>80000</v>
      </c>
      <c r="L108" s="246">
        <f t="shared" si="48"/>
        <v>0.1568627451</v>
      </c>
      <c r="M108" s="252"/>
    </row>
    <row r="109" ht="15.75" customHeight="1">
      <c r="A109" s="280">
        <v>3.0</v>
      </c>
      <c r="B109" s="276" t="s">
        <v>1742</v>
      </c>
      <c r="C109" s="280" t="s">
        <v>1676</v>
      </c>
      <c r="D109" s="309">
        <v>15.0</v>
      </c>
      <c r="E109" s="267"/>
      <c r="F109" s="428" t="str">
        <f>IF(E109&lt;&gt;"",D109*E109,"")</f>
        <v/>
      </c>
      <c r="G109" s="430">
        <v>65000.0</v>
      </c>
      <c r="H109" s="263">
        <f t="shared" si="45"/>
        <v>975000</v>
      </c>
      <c r="I109" s="281">
        <v>75000.0</v>
      </c>
      <c r="J109" s="264">
        <f t="shared" si="46"/>
        <v>1125000</v>
      </c>
      <c r="K109" s="245">
        <f t="shared" si="47"/>
        <v>150000</v>
      </c>
      <c r="L109" s="246">
        <f t="shared" si="48"/>
        <v>0.1538461538</v>
      </c>
      <c r="M109" s="252"/>
    </row>
    <row r="110" ht="15.75" customHeight="1">
      <c r="A110" s="325" t="s">
        <v>2007</v>
      </c>
      <c r="B110" s="206"/>
      <c r="C110" s="206"/>
      <c r="D110" s="174"/>
      <c r="E110" s="259"/>
      <c r="F110" s="282">
        <f>SUMIF(F107:F109,"&lt;&gt;",F107:F109)</f>
        <v>0</v>
      </c>
      <c r="G110" s="282"/>
      <c r="H110" s="282">
        <f>SUMIF(H107:H109,"&lt;&gt;",H107:H109)</f>
        <v>3735000</v>
      </c>
      <c r="I110" s="282"/>
      <c r="J110" s="282">
        <f>SUMIF(J107:J109,"&lt;&gt;",J107:J109)</f>
        <v>4215000</v>
      </c>
      <c r="K110" s="261">
        <f t="shared" si="47"/>
        <v>480000</v>
      </c>
      <c r="L110" s="262">
        <f t="shared" si="48"/>
        <v>0.1285140562</v>
      </c>
      <c r="M110" s="257"/>
    </row>
    <row r="111" ht="15.75" customHeight="1"/>
    <row r="112" ht="15.75" customHeight="1">
      <c r="A112" s="273" t="s">
        <v>1914</v>
      </c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</row>
    <row r="113" ht="15.75" customHeight="1">
      <c r="A113" s="229" t="s">
        <v>1509</v>
      </c>
      <c r="B113" s="229" t="s">
        <v>1510</v>
      </c>
      <c r="C113" s="229" t="s">
        <v>1511</v>
      </c>
      <c r="D113" s="229" t="s">
        <v>1614</v>
      </c>
      <c r="E113" s="230" t="s">
        <v>1615</v>
      </c>
      <c r="F113" s="174"/>
      <c r="G113" s="231" t="s">
        <v>1616</v>
      </c>
      <c r="H113" s="174"/>
      <c r="I113" s="232" t="s">
        <v>1617</v>
      </c>
      <c r="J113" s="174"/>
      <c r="K113" s="233" t="s">
        <v>1618</v>
      </c>
      <c r="L113" s="174"/>
      <c r="M113" s="229" t="s">
        <v>1619</v>
      </c>
    </row>
    <row r="114" ht="15.75" customHeight="1">
      <c r="A114" s="234" t="s">
        <v>1509</v>
      </c>
      <c r="B114" s="234" t="s">
        <v>1510</v>
      </c>
      <c r="C114" s="234" t="s">
        <v>1511</v>
      </c>
      <c r="D114" s="234" t="s">
        <v>1614</v>
      </c>
      <c r="E114" s="235" t="s">
        <v>1620</v>
      </c>
      <c r="F114" s="235" t="s">
        <v>1621</v>
      </c>
      <c r="G114" s="236" t="s">
        <v>1622</v>
      </c>
      <c r="H114" s="236" t="s">
        <v>1623</v>
      </c>
      <c r="I114" s="237" t="s">
        <v>1624</v>
      </c>
      <c r="J114" s="237" t="s">
        <v>1625</v>
      </c>
      <c r="K114" s="238" t="s">
        <v>1626</v>
      </c>
      <c r="L114" s="238" t="s">
        <v>1627</v>
      </c>
      <c r="M114" s="234" t="s">
        <v>1619</v>
      </c>
    </row>
    <row r="115" ht="15.75" customHeight="1">
      <c r="A115" s="280">
        <v>1.0</v>
      </c>
      <c r="B115" s="276" t="s">
        <v>1737</v>
      </c>
      <c r="C115" s="280" t="s">
        <v>1176</v>
      </c>
      <c r="D115" s="309">
        <v>1.0</v>
      </c>
      <c r="E115" s="267"/>
      <c r="F115" s="268"/>
      <c r="G115" s="199">
        <v>1125000.0</v>
      </c>
      <c r="H115" s="243">
        <f t="shared" ref="H115:H117" si="49">IF(G115&lt;&gt;"",D115*G115,"")</f>
        <v>1125000</v>
      </c>
      <c r="I115" s="358">
        <v>1250000.0</v>
      </c>
      <c r="J115" s="244">
        <f t="shared" ref="J115:J117" si="50">IF(I115&lt;&gt;"",D115*I115,"")</f>
        <v>1250000</v>
      </c>
      <c r="K115" s="245">
        <f t="shared" ref="K115:K118" si="51">IF(J115&lt;&gt;"",IF(H115&lt;&gt;"",J115-H115,IF(F115&lt;&gt;"",J115-F115,"")),"")</f>
        <v>125000</v>
      </c>
      <c r="L115" s="246">
        <f t="shared" ref="L115:L118" si="52">IF(K115&lt;&gt;"",IF(H115&lt;&gt;"",IF(H115&lt;&gt;0,K115/H115,""),IF(F115&lt;&gt;"",IF(F115&lt;&gt;0,K115/F115,""),"")),"")</f>
        <v>0.1111111111</v>
      </c>
      <c r="M115" s="252"/>
    </row>
    <row r="116" ht="15.75" customHeight="1">
      <c r="A116" s="280">
        <v>2.0</v>
      </c>
      <c r="B116" s="276" t="s">
        <v>2192</v>
      </c>
      <c r="C116" s="280" t="s">
        <v>1583</v>
      </c>
      <c r="D116" s="309">
        <v>20.0</v>
      </c>
      <c r="E116" s="267"/>
      <c r="F116" s="268"/>
      <c r="G116" s="199">
        <v>9500.0</v>
      </c>
      <c r="H116" s="243">
        <f t="shared" si="49"/>
        <v>190000</v>
      </c>
      <c r="I116" s="200">
        <v>13000.0</v>
      </c>
      <c r="J116" s="244">
        <f t="shared" si="50"/>
        <v>260000</v>
      </c>
      <c r="K116" s="245">
        <f t="shared" si="51"/>
        <v>70000</v>
      </c>
      <c r="L116" s="246">
        <f t="shared" si="52"/>
        <v>0.3684210526</v>
      </c>
      <c r="M116" s="252"/>
    </row>
    <row r="117" ht="15.75" customHeight="1">
      <c r="A117" s="280">
        <v>3.0</v>
      </c>
      <c r="B117" s="276" t="s">
        <v>2193</v>
      </c>
      <c r="C117" s="280" t="s">
        <v>1583</v>
      </c>
      <c r="D117" s="309">
        <v>11.0</v>
      </c>
      <c r="E117" s="267"/>
      <c r="F117" s="428" t="str">
        <f>IF(E117&lt;&gt;"",D117*E117,"")</f>
        <v/>
      </c>
      <c r="G117" s="430">
        <v>11000.0</v>
      </c>
      <c r="H117" s="263">
        <f t="shared" si="49"/>
        <v>121000</v>
      </c>
      <c r="I117" s="281">
        <v>14000.0</v>
      </c>
      <c r="J117" s="264">
        <f t="shared" si="50"/>
        <v>154000</v>
      </c>
      <c r="K117" s="245">
        <f t="shared" si="51"/>
        <v>33000</v>
      </c>
      <c r="L117" s="246">
        <f t="shared" si="52"/>
        <v>0.2727272727</v>
      </c>
      <c r="M117" s="252"/>
    </row>
    <row r="118" ht="15.75" customHeight="1">
      <c r="A118" s="325" t="s">
        <v>2011</v>
      </c>
      <c r="B118" s="206"/>
      <c r="C118" s="206"/>
      <c r="D118" s="174"/>
      <c r="E118" s="259"/>
      <c r="F118" s="282">
        <f>SUMIF(F115:F117,"&lt;&gt;",F115:F117)</f>
        <v>0</v>
      </c>
      <c r="G118" s="282"/>
      <c r="H118" s="282">
        <f>SUMIF(H115:H117,"&lt;&gt;",H115:H117)</f>
        <v>1436000</v>
      </c>
      <c r="I118" s="282"/>
      <c r="J118" s="282">
        <f>SUMIF(J115:J117,"&lt;&gt;",J115:J117)</f>
        <v>1664000</v>
      </c>
      <c r="K118" s="261">
        <f t="shared" si="51"/>
        <v>228000</v>
      </c>
      <c r="L118" s="262">
        <f t="shared" si="52"/>
        <v>0.1587743733</v>
      </c>
      <c r="M118" s="257"/>
    </row>
    <row r="119" ht="15.75" customHeight="1"/>
    <row r="120" ht="15.75" customHeight="1">
      <c r="A120" s="273" t="s">
        <v>1702</v>
      </c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</row>
    <row r="121" ht="15.75" customHeight="1">
      <c r="A121" s="229" t="s">
        <v>1509</v>
      </c>
      <c r="B121" s="229" t="s">
        <v>1510</v>
      </c>
      <c r="C121" s="229" t="s">
        <v>1511</v>
      </c>
      <c r="D121" s="229" t="s">
        <v>1614</v>
      </c>
      <c r="E121" s="230" t="s">
        <v>1615</v>
      </c>
      <c r="F121" s="174"/>
      <c r="G121" s="231" t="s">
        <v>1616</v>
      </c>
      <c r="H121" s="174"/>
      <c r="I121" s="232" t="s">
        <v>1617</v>
      </c>
      <c r="J121" s="174"/>
      <c r="K121" s="233" t="s">
        <v>1618</v>
      </c>
      <c r="L121" s="174"/>
      <c r="M121" s="229" t="s">
        <v>1619</v>
      </c>
    </row>
    <row r="122" ht="15.75" customHeight="1">
      <c r="A122" s="234" t="s">
        <v>1509</v>
      </c>
      <c r="B122" s="234" t="s">
        <v>1510</v>
      </c>
      <c r="C122" s="234" t="s">
        <v>1511</v>
      </c>
      <c r="D122" s="234" t="s">
        <v>1614</v>
      </c>
      <c r="E122" s="235" t="s">
        <v>1620</v>
      </c>
      <c r="F122" s="235" t="s">
        <v>1621</v>
      </c>
      <c r="G122" s="236" t="s">
        <v>1622</v>
      </c>
      <c r="H122" s="236" t="s">
        <v>1623</v>
      </c>
      <c r="I122" s="237" t="s">
        <v>1624</v>
      </c>
      <c r="J122" s="237" t="s">
        <v>1625</v>
      </c>
      <c r="K122" s="238" t="s">
        <v>1626</v>
      </c>
      <c r="L122" s="238" t="s">
        <v>1627</v>
      </c>
      <c r="M122" s="234" t="s">
        <v>1619</v>
      </c>
    </row>
    <row r="123" ht="15.75" customHeight="1">
      <c r="A123" s="280">
        <v>1.0</v>
      </c>
      <c r="B123" s="276" t="s">
        <v>2168</v>
      </c>
      <c r="C123" s="280" t="s">
        <v>1754</v>
      </c>
      <c r="D123" s="309">
        <v>37.0</v>
      </c>
      <c r="E123" s="267"/>
      <c r="F123" s="268"/>
      <c r="G123" s="199">
        <v>19200.0</v>
      </c>
      <c r="H123" s="243">
        <f t="shared" ref="H123:H124" si="53">IF(G123&lt;&gt;"",D123*G123,"")</f>
        <v>710400</v>
      </c>
      <c r="I123" s="358">
        <v>22500.0</v>
      </c>
      <c r="J123" s="244">
        <f t="shared" ref="J123:J124" si="54">IF(I123&lt;&gt;"",D123*I123,"")</f>
        <v>832500</v>
      </c>
      <c r="K123" s="245">
        <f t="shared" ref="K123:K125" si="55">IF(J123&lt;&gt;"",IF(H123&lt;&gt;"",J123-H123,IF(F123&lt;&gt;"",J123-F123,"")),"")</f>
        <v>122100</v>
      </c>
      <c r="L123" s="246">
        <f t="shared" ref="L123:L125" si="56">IF(K123&lt;&gt;"",IF(H123&lt;&gt;"",IF(H123&lt;&gt;0,K123/H123,""),IF(F123&lt;&gt;"",IF(F123&lt;&gt;0,K123/F123,""),"")),"")</f>
        <v>0.171875</v>
      </c>
      <c r="M123" s="252"/>
    </row>
    <row r="124" ht="15.75" customHeight="1">
      <c r="A124" s="280">
        <v>2.0</v>
      </c>
      <c r="B124" s="249" t="s">
        <v>1737</v>
      </c>
      <c r="C124" s="248" t="s">
        <v>1176</v>
      </c>
      <c r="D124" s="309">
        <v>1.0</v>
      </c>
      <c r="E124" s="267"/>
      <c r="F124" s="428" t="str">
        <f>IF(E124&lt;&gt;"",D124*E124,"")</f>
        <v/>
      </c>
      <c r="G124" s="429">
        <v>1125000.0</v>
      </c>
      <c r="H124" s="263">
        <f t="shared" si="53"/>
        <v>1125000</v>
      </c>
      <c r="I124" s="344">
        <v>1250000.0</v>
      </c>
      <c r="J124" s="264">
        <f t="shared" si="54"/>
        <v>1250000</v>
      </c>
      <c r="K124" s="245">
        <f t="shared" si="55"/>
        <v>125000</v>
      </c>
      <c r="L124" s="246">
        <f t="shared" si="56"/>
        <v>0.1111111111</v>
      </c>
      <c r="M124" s="252"/>
    </row>
    <row r="125" ht="15.75" customHeight="1">
      <c r="A125" s="325" t="s">
        <v>2194</v>
      </c>
      <c r="B125" s="206"/>
      <c r="C125" s="206"/>
      <c r="D125" s="174"/>
      <c r="E125" s="259"/>
      <c r="F125" s="282">
        <f>SUMIF(F123:F124,"&lt;&gt;",F123:F124)</f>
        <v>0</v>
      </c>
      <c r="G125" s="282"/>
      <c r="H125" s="282">
        <f>SUMIF(H123:H124,"&lt;&gt;",H123:H124)</f>
        <v>1835400</v>
      </c>
      <c r="I125" s="282"/>
      <c r="J125" s="282">
        <f>SUMIF(J123:J124,"&lt;&gt;",J123:J124)</f>
        <v>2082500</v>
      </c>
      <c r="K125" s="261">
        <f t="shared" si="55"/>
        <v>247100</v>
      </c>
      <c r="L125" s="262">
        <f t="shared" si="56"/>
        <v>0.1346300534</v>
      </c>
      <c r="M125" s="257"/>
    </row>
    <row r="126" ht="15.75" customHeight="1"/>
    <row r="127" ht="15.75" customHeight="1">
      <c r="A127" s="273" t="s">
        <v>1963</v>
      </c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</row>
    <row r="128" ht="15.75" customHeight="1">
      <c r="A128" s="229" t="s">
        <v>1509</v>
      </c>
      <c r="B128" s="229" t="s">
        <v>1510</v>
      </c>
      <c r="C128" s="229" t="s">
        <v>1511</v>
      </c>
      <c r="D128" s="229" t="s">
        <v>1614</v>
      </c>
      <c r="E128" s="230" t="s">
        <v>1615</v>
      </c>
      <c r="F128" s="174"/>
      <c r="G128" s="231" t="s">
        <v>1616</v>
      </c>
      <c r="H128" s="174"/>
      <c r="I128" s="232" t="s">
        <v>1617</v>
      </c>
      <c r="J128" s="174"/>
      <c r="K128" s="233" t="s">
        <v>1618</v>
      </c>
      <c r="L128" s="174"/>
      <c r="M128" s="229" t="s">
        <v>1619</v>
      </c>
    </row>
    <row r="129" ht="15.75" customHeight="1">
      <c r="A129" s="234" t="s">
        <v>1509</v>
      </c>
      <c r="B129" s="234" t="s">
        <v>1510</v>
      </c>
      <c r="C129" s="234" t="s">
        <v>1511</v>
      </c>
      <c r="D129" s="234" t="s">
        <v>1614</v>
      </c>
      <c r="E129" s="235" t="s">
        <v>1620</v>
      </c>
      <c r="F129" s="235" t="s">
        <v>1621</v>
      </c>
      <c r="G129" s="236" t="s">
        <v>1622</v>
      </c>
      <c r="H129" s="236" t="s">
        <v>1623</v>
      </c>
      <c r="I129" s="237" t="s">
        <v>1624</v>
      </c>
      <c r="J129" s="237" t="s">
        <v>1625</v>
      </c>
      <c r="K129" s="238" t="s">
        <v>1626</v>
      </c>
      <c r="L129" s="238" t="s">
        <v>1627</v>
      </c>
      <c r="M129" s="234" t="s">
        <v>1619</v>
      </c>
    </row>
    <row r="130" ht="15.75" customHeight="1">
      <c r="A130" s="280">
        <v>1.0</v>
      </c>
      <c r="B130" s="249" t="s">
        <v>1737</v>
      </c>
      <c r="C130" s="248" t="s">
        <v>1176</v>
      </c>
      <c r="D130" s="309">
        <v>2.0</v>
      </c>
      <c r="E130" s="267"/>
      <c r="F130" s="428" t="str">
        <f>IF(E130&lt;&gt;"",D130*E130,"")</f>
        <v/>
      </c>
      <c r="G130" s="429">
        <v>1125000.0</v>
      </c>
      <c r="H130" s="263">
        <f>IF(G130&lt;&gt;"",D130*G130,"")</f>
        <v>2250000</v>
      </c>
      <c r="I130" s="281">
        <v>1350000.0</v>
      </c>
      <c r="J130" s="264">
        <f>IF(I130&lt;&gt;"",D130*I130,"")</f>
        <v>2700000</v>
      </c>
      <c r="K130" s="245">
        <f t="shared" ref="K130:K131" si="57">IF(J130&lt;&gt;"",IF(H130&lt;&gt;"",J130-H130,IF(F130&lt;&gt;"",J130-F130,"")),"")</f>
        <v>450000</v>
      </c>
      <c r="L130" s="246">
        <f t="shared" ref="L130:L131" si="58">IF(K130&lt;&gt;"",IF(H130&lt;&gt;"",IF(H130&lt;&gt;0,K130/H130,""),IF(F130&lt;&gt;"",IF(F130&lt;&gt;0,K130/F130,""),"")),"")</f>
        <v>0.2</v>
      </c>
      <c r="M130" s="252"/>
    </row>
    <row r="131" ht="15.75" customHeight="1">
      <c r="A131" s="325" t="s">
        <v>2016</v>
      </c>
      <c r="B131" s="206"/>
      <c r="C131" s="206"/>
      <c r="D131" s="174"/>
      <c r="E131" s="259"/>
      <c r="F131" s="282">
        <f>SUMIF(F130,"&lt;&gt;",F130)</f>
        <v>0</v>
      </c>
      <c r="G131" s="282"/>
      <c r="H131" s="282">
        <f>SUMIF(H130,"&lt;&gt;",H130)</f>
        <v>2250000</v>
      </c>
      <c r="I131" s="282"/>
      <c r="J131" s="282">
        <f>SUMIF(J130,"&lt;&gt;",J130)</f>
        <v>2700000</v>
      </c>
      <c r="K131" s="261">
        <f t="shared" si="57"/>
        <v>450000</v>
      </c>
      <c r="L131" s="262">
        <f t="shared" si="58"/>
        <v>0.2</v>
      </c>
      <c r="M131" s="257"/>
    </row>
    <row r="132" ht="15.75" customHeight="1"/>
    <row r="133" ht="15.75" customHeight="1">
      <c r="A133" s="363" t="s">
        <v>1789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</row>
    <row r="134" ht="15.75" customHeight="1">
      <c r="A134" s="364" t="s">
        <v>1509</v>
      </c>
      <c r="B134" s="364" t="s">
        <v>1510</v>
      </c>
      <c r="C134" s="364" t="s">
        <v>1511</v>
      </c>
      <c r="D134" s="364" t="s">
        <v>1614</v>
      </c>
      <c r="E134" s="365" t="s">
        <v>1615</v>
      </c>
      <c r="F134" s="174"/>
      <c r="G134" s="366" t="s">
        <v>1616</v>
      </c>
      <c r="H134" s="174"/>
      <c r="I134" s="367" t="s">
        <v>1617</v>
      </c>
      <c r="J134" s="174"/>
      <c r="K134" s="368" t="s">
        <v>1618</v>
      </c>
      <c r="L134" s="174"/>
      <c r="M134" s="364" t="s">
        <v>1619</v>
      </c>
    </row>
    <row r="135" ht="15.75" customHeight="1">
      <c r="A135" s="369" t="s">
        <v>1509</v>
      </c>
      <c r="B135" s="369" t="s">
        <v>1510</v>
      </c>
      <c r="C135" s="369" t="s">
        <v>1511</v>
      </c>
      <c r="D135" s="369" t="s">
        <v>1614</v>
      </c>
      <c r="E135" s="370" t="s">
        <v>1620</v>
      </c>
      <c r="F135" s="370" t="s">
        <v>1621</v>
      </c>
      <c r="G135" s="371" t="s">
        <v>1622</v>
      </c>
      <c r="H135" s="371" t="s">
        <v>1623</v>
      </c>
      <c r="I135" s="372" t="s">
        <v>1624</v>
      </c>
      <c r="J135" s="372" t="s">
        <v>1625</v>
      </c>
      <c r="K135" s="373" t="s">
        <v>1626</v>
      </c>
      <c r="L135" s="373" t="s">
        <v>1627</v>
      </c>
      <c r="M135" s="369" t="s">
        <v>1619</v>
      </c>
    </row>
    <row r="136" ht="15.75" customHeight="1">
      <c r="A136" s="374">
        <v>1.0</v>
      </c>
      <c r="B136" s="375" t="s">
        <v>1790</v>
      </c>
      <c r="C136" s="374" t="s">
        <v>1762</v>
      </c>
      <c r="D136" s="376">
        <v>1.0</v>
      </c>
      <c r="E136" s="377"/>
      <c r="F136" s="378" t="str">
        <f t="shared" ref="F136:F137" si="59">IF(E136&lt;&gt;"",D136*E136,"")</f>
        <v/>
      </c>
      <c r="G136" s="379">
        <v>2600000.0</v>
      </c>
      <c r="H136" s="380">
        <f t="shared" ref="H136:H137" si="60">IF(G136&lt;&gt;"",D136*G136,"")</f>
        <v>2600000</v>
      </c>
      <c r="I136" s="381">
        <v>2600000.0</v>
      </c>
      <c r="J136" s="382">
        <f t="shared" ref="J136:J137" si="61">IF(I136&lt;&gt;"",D136*I136,"")</f>
        <v>2600000</v>
      </c>
      <c r="K136" s="383">
        <f t="shared" ref="K136:K138" si="62">IF(J136&lt;&gt;"",IF(H136&lt;&gt;"",J136-H136,IF(F136&lt;&gt;"",J136-F136,"")),"")</f>
        <v>0</v>
      </c>
      <c r="L136" s="384">
        <f t="shared" ref="L136:L138" si="63">IF(K136&lt;&gt;"",IF(H136&lt;&gt;"",IF(H136&lt;&gt;0,K136/H136,""),IF(F136&lt;&gt;"",IF(F136&lt;&gt;0,K136/F136,""),"")),"")</f>
        <v>0</v>
      </c>
      <c r="M136" s="385"/>
    </row>
    <row r="137" ht="15.75" customHeight="1">
      <c r="A137" s="386">
        <v>2.0</v>
      </c>
      <c r="B137" s="387" t="s">
        <v>1790</v>
      </c>
      <c r="C137" s="386" t="s">
        <v>1762</v>
      </c>
      <c r="D137" s="388">
        <v>1.0</v>
      </c>
      <c r="E137" s="377"/>
      <c r="F137" s="378" t="str">
        <f t="shared" si="59"/>
        <v/>
      </c>
      <c r="G137" s="379">
        <v>2600000.0</v>
      </c>
      <c r="H137" s="389">
        <f t="shared" si="60"/>
        <v>2600000</v>
      </c>
      <c r="I137" s="381">
        <v>2600000.0</v>
      </c>
      <c r="J137" s="382">
        <f t="shared" si="61"/>
        <v>2600000</v>
      </c>
      <c r="K137" s="383">
        <f t="shared" si="62"/>
        <v>0</v>
      </c>
      <c r="L137" s="384">
        <f t="shared" si="63"/>
        <v>0</v>
      </c>
      <c r="M137" s="390"/>
    </row>
    <row r="138" ht="15.75" customHeight="1">
      <c r="A138" s="391" t="s">
        <v>1791</v>
      </c>
      <c r="B138" s="206"/>
      <c r="C138" s="206"/>
      <c r="D138" s="174"/>
      <c r="E138" s="257"/>
      <c r="F138" s="392">
        <f>SUMIF(F136:F137,"&lt;&gt;",F136:F137)</f>
        <v>0</v>
      </c>
      <c r="G138" s="259"/>
      <c r="H138" s="393">
        <f>SUMIF(H136:H137,"&lt;&gt;",H136:H137)</f>
        <v>5200000</v>
      </c>
      <c r="I138" s="265"/>
      <c r="J138" s="393">
        <f>SUMIF(J136:J137,"&lt;&gt;",J136:J137)</f>
        <v>5200000</v>
      </c>
      <c r="K138" s="394">
        <f t="shared" si="62"/>
        <v>0</v>
      </c>
      <c r="L138" s="395">
        <f t="shared" si="63"/>
        <v>0</v>
      </c>
      <c r="M138" s="257"/>
    </row>
    <row r="139" ht="15.75" customHeight="1"/>
    <row r="140" ht="15.75" customHeight="1">
      <c r="A140" s="363" t="s">
        <v>1789</v>
      </c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</row>
    <row r="141" ht="15.75" customHeight="1">
      <c r="A141" s="364" t="s">
        <v>1509</v>
      </c>
      <c r="B141" s="364" t="s">
        <v>1510</v>
      </c>
      <c r="C141" s="364" t="s">
        <v>1511</v>
      </c>
      <c r="D141" s="364" t="s">
        <v>1614</v>
      </c>
      <c r="E141" s="365" t="s">
        <v>1615</v>
      </c>
      <c r="F141" s="174"/>
      <c r="G141" s="366" t="s">
        <v>1616</v>
      </c>
      <c r="H141" s="174"/>
      <c r="I141" s="367" t="s">
        <v>1617</v>
      </c>
      <c r="J141" s="174"/>
      <c r="K141" s="368" t="s">
        <v>1618</v>
      </c>
      <c r="L141" s="174"/>
      <c r="M141" s="364" t="s">
        <v>1619</v>
      </c>
    </row>
    <row r="142" ht="15.75" customHeight="1">
      <c r="A142" s="369" t="s">
        <v>1509</v>
      </c>
      <c r="B142" s="369" t="s">
        <v>1510</v>
      </c>
      <c r="C142" s="369" t="s">
        <v>1511</v>
      </c>
      <c r="D142" s="369" t="s">
        <v>1614</v>
      </c>
      <c r="E142" s="370" t="s">
        <v>1620</v>
      </c>
      <c r="F142" s="370" t="s">
        <v>1621</v>
      </c>
      <c r="G142" s="371" t="s">
        <v>1622</v>
      </c>
      <c r="H142" s="371" t="s">
        <v>1623</v>
      </c>
      <c r="I142" s="372" t="s">
        <v>1624</v>
      </c>
      <c r="J142" s="372" t="s">
        <v>1625</v>
      </c>
      <c r="K142" s="373" t="s">
        <v>1626</v>
      </c>
      <c r="L142" s="373" t="s">
        <v>1627</v>
      </c>
      <c r="M142" s="369" t="s">
        <v>1619</v>
      </c>
    </row>
    <row r="143" ht="15.75" customHeight="1">
      <c r="A143" s="374">
        <v>1.0</v>
      </c>
      <c r="B143" s="387" t="s">
        <v>1737</v>
      </c>
      <c r="C143" s="411" t="s">
        <v>1176</v>
      </c>
      <c r="D143" s="412">
        <v>2.0</v>
      </c>
      <c r="E143" s="377"/>
      <c r="F143" s="378" t="str">
        <f>IF(E143&lt;&gt;"",D143*E143,"")</f>
        <v/>
      </c>
      <c r="G143" s="379">
        <v>1190000.0</v>
      </c>
      <c r="H143" s="380">
        <f t="shared" ref="H143:H150" si="64">IF(G143&lt;&gt;"",D143*G143,"")</f>
        <v>2380000</v>
      </c>
      <c r="I143" s="381">
        <v>1350000.0</v>
      </c>
      <c r="J143" s="382">
        <f t="shared" ref="J143:J150" si="65">IF(I143&lt;&gt;"",D143*I143,"")</f>
        <v>2700000</v>
      </c>
      <c r="K143" s="383">
        <f t="shared" ref="K143:K151" si="66">IF(J143&lt;&gt;"",IF(H143&lt;&gt;"",J143-H143,IF(F143&lt;&gt;"",J143-F143,"")),"")</f>
        <v>320000</v>
      </c>
      <c r="L143" s="384">
        <f t="shared" ref="L143:L151" si="67">IF(K143&lt;&gt;"",IF(H143&lt;&gt;"",IF(H143&lt;&gt;0,K143/H143,""),IF(F143&lt;&gt;"",IF(F143&lt;&gt;0,K143/F143,""),"")),"")</f>
        <v>0.1344537815</v>
      </c>
      <c r="M143" s="385"/>
    </row>
    <row r="144" ht="15.75" customHeight="1">
      <c r="A144" s="413">
        <v>2.0</v>
      </c>
      <c r="B144" s="387" t="s">
        <v>1889</v>
      </c>
      <c r="C144" s="413" t="s">
        <v>1176</v>
      </c>
      <c r="D144" s="414">
        <v>1.0</v>
      </c>
      <c r="E144" s="377"/>
      <c r="F144" s="378"/>
      <c r="G144" s="379">
        <v>255000.0</v>
      </c>
      <c r="H144" s="380">
        <f t="shared" si="64"/>
        <v>255000</v>
      </c>
      <c r="I144" s="381">
        <v>300000.0</v>
      </c>
      <c r="J144" s="382">
        <f t="shared" si="65"/>
        <v>300000</v>
      </c>
      <c r="K144" s="383">
        <f t="shared" si="66"/>
        <v>45000</v>
      </c>
      <c r="L144" s="384">
        <f t="shared" si="67"/>
        <v>0.1764705882</v>
      </c>
      <c r="M144" s="390"/>
    </row>
    <row r="145" ht="15.75" customHeight="1">
      <c r="A145" s="413">
        <v>3.0</v>
      </c>
      <c r="B145" s="387" t="s">
        <v>2195</v>
      </c>
      <c r="C145" s="413" t="s">
        <v>69</v>
      </c>
      <c r="D145" s="414">
        <v>10.0</v>
      </c>
      <c r="E145" s="377"/>
      <c r="F145" s="378"/>
      <c r="G145" s="379">
        <v>2000.0</v>
      </c>
      <c r="H145" s="380">
        <f t="shared" si="64"/>
        <v>20000</v>
      </c>
      <c r="I145" s="381">
        <v>3500.0</v>
      </c>
      <c r="J145" s="382">
        <f t="shared" si="65"/>
        <v>35000</v>
      </c>
      <c r="K145" s="383">
        <f t="shared" si="66"/>
        <v>15000</v>
      </c>
      <c r="L145" s="384">
        <f t="shared" si="67"/>
        <v>0.75</v>
      </c>
      <c r="M145" s="390"/>
    </row>
    <row r="146" ht="15.75" customHeight="1">
      <c r="A146" s="413">
        <v>4.0</v>
      </c>
      <c r="B146" s="387" t="s">
        <v>2196</v>
      </c>
      <c r="C146" s="413" t="s">
        <v>1583</v>
      </c>
      <c r="D146" s="414">
        <v>15.0</v>
      </c>
      <c r="E146" s="377"/>
      <c r="F146" s="378"/>
      <c r="G146" s="379">
        <v>9000.0</v>
      </c>
      <c r="H146" s="380">
        <f t="shared" si="64"/>
        <v>135000</v>
      </c>
      <c r="I146" s="381">
        <v>12000.0</v>
      </c>
      <c r="J146" s="382">
        <f t="shared" si="65"/>
        <v>180000</v>
      </c>
      <c r="K146" s="383">
        <f t="shared" si="66"/>
        <v>45000</v>
      </c>
      <c r="L146" s="384">
        <f t="shared" si="67"/>
        <v>0.3333333333</v>
      </c>
      <c r="M146" s="390"/>
    </row>
    <row r="147" ht="15.75" customHeight="1">
      <c r="A147" s="413">
        <v>5.0</v>
      </c>
      <c r="B147" s="387" t="s">
        <v>1868</v>
      </c>
      <c r="C147" s="413" t="s">
        <v>1583</v>
      </c>
      <c r="D147" s="414">
        <v>6.0</v>
      </c>
      <c r="E147" s="377"/>
      <c r="F147" s="378"/>
      <c r="G147" s="379">
        <v>14900.0</v>
      </c>
      <c r="H147" s="380">
        <f t="shared" si="64"/>
        <v>89400</v>
      </c>
      <c r="I147" s="381">
        <v>17500.0</v>
      </c>
      <c r="J147" s="382">
        <f t="shared" si="65"/>
        <v>105000</v>
      </c>
      <c r="K147" s="383">
        <f t="shared" si="66"/>
        <v>15600</v>
      </c>
      <c r="L147" s="384">
        <f t="shared" si="67"/>
        <v>0.1744966443</v>
      </c>
      <c r="M147" s="390"/>
    </row>
    <row r="148" ht="15.75" customHeight="1">
      <c r="A148" s="413">
        <v>6.0</v>
      </c>
      <c r="B148" s="387" t="s">
        <v>2197</v>
      </c>
      <c r="C148" s="413" t="s">
        <v>69</v>
      </c>
      <c r="D148" s="414">
        <v>5.0</v>
      </c>
      <c r="E148" s="377"/>
      <c r="F148" s="378"/>
      <c r="G148" s="379">
        <v>2000.0</v>
      </c>
      <c r="H148" s="380">
        <f t="shared" si="64"/>
        <v>10000</v>
      </c>
      <c r="I148" s="381">
        <v>4500.0</v>
      </c>
      <c r="J148" s="382">
        <f t="shared" si="65"/>
        <v>22500</v>
      </c>
      <c r="K148" s="383">
        <f t="shared" si="66"/>
        <v>12500</v>
      </c>
      <c r="L148" s="384">
        <f t="shared" si="67"/>
        <v>1.25</v>
      </c>
      <c r="M148" s="390"/>
    </row>
    <row r="149" ht="15.75" customHeight="1">
      <c r="A149" s="413">
        <v>7.0</v>
      </c>
      <c r="B149" s="387" t="s">
        <v>2198</v>
      </c>
      <c r="C149" s="413" t="s">
        <v>1583</v>
      </c>
      <c r="D149" s="414">
        <v>10.0</v>
      </c>
      <c r="E149" s="377"/>
      <c r="F149" s="378"/>
      <c r="G149" s="379">
        <v>73000.0</v>
      </c>
      <c r="H149" s="380">
        <f t="shared" si="64"/>
        <v>730000</v>
      </c>
      <c r="I149" s="381">
        <v>85000.0</v>
      </c>
      <c r="J149" s="382">
        <f t="shared" si="65"/>
        <v>850000</v>
      </c>
      <c r="K149" s="383">
        <f t="shared" si="66"/>
        <v>120000</v>
      </c>
      <c r="L149" s="384">
        <f t="shared" si="67"/>
        <v>0.1643835616</v>
      </c>
      <c r="M149" s="390"/>
    </row>
    <row r="150" ht="15.75" customHeight="1">
      <c r="A150" s="413">
        <v>8.0</v>
      </c>
      <c r="B150" s="387" t="s">
        <v>2199</v>
      </c>
      <c r="C150" s="413" t="s">
        <v>1583</v>
      </c>
      <c r="D150" s="414">
        <v>5.0</v>
      </c>
      <c r="E150" s="377"/>
      <c r="F150" s="378" t="str">
        <f>IF(E150&lt;&gt;"",D150*E150,"")</f>
        <v/>
      </c>
      <c r="G150" s="379">
        <v>15000.0</v>
      </c>
      <c r="H150" s="389">
        <f t="shared" si="64"/>
        <v>75000</v>
      </c>
      <c r="I150" s="381">
        <v>15000.0</v>
      </c>
      <c r="J150" s="382">
        <f t="shared" si="65"/>
        <v>75000</v>
      </c>
      <c r="K150" s="383">
        <f t="shared" si="66"/>
        <v>0</v>
      </c>
      <c r="L150" s="384">
        <f t="shared" si="67"/>
        <v>0</v>
      </c>
      <c r="M150" s="390"/>
    </row>
    <row r="151" ht="15.75" customHeight="1">
      <c r="A151" s="391" t="s">
        <v>1791</v>
      </c>
      <c r="B151" s="206"/>
      <c r="C151" s="206"/>
      <c r="D151" s="174"/>
      <c r="E151" s="257"/>
      <c r="F151" s="392">
        <f>SUMIF(F143:F150,"&lt;&gt;",F143:F150)</f>
        <v>0</v>
      </c>
      <c r="G151" s="259"/>
      <c r="H151" s="393">
        <f>SUMIF(H143:H150,"&lt;&gt;",H143:H150)</f>
        <v>3694400</v>
      </c>
      <c r="I151" s="265"/>
      <c r="J151" s="393">
        <f>SUMIF(J143:J150,"&lt;&gt;",J143:J150)</f>
        <v>4267500</v>
      </c>
      <c r="K151" s="394">
        <f t="shared" si="66"/>
        <v>573100</v>
      </c>
      <c r="L151" s="395">
        <f t="shared" si="67"/>
        <v>0.1551266782</v>
      </c>
      <c r="M151" s="257"/>
    </row>
    <row r="152" ht="15.75" customHeight="1"/>
    <row r="153" ht="15.75" customHeight="1">
      <c r="A153" s="273" t="s">
        <v>2200</v>
      </c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</row>
    <row r="154" ht="15.75" customHeight="1">
      <c r="A154" s="229" t="s">
        <v>1509</v>
      </c>
      <c r="B154" s="229" t="s">
        <v>1510</v>
      </c>
      <c r="C154" s="229" t="s">
        <v>1511</v>
      </c>
      <c r="D154" s="229" t="s">
        <v>1614</v>
      </c>
      <c r="E154" s="230" t="s">
        <v>1615</v>
      </c>
      <c r="F154" s="174"/>
      <c r="G154" s="231" t="s">
        <v>1616</v>
      </c>
      <c r="H154" s="174"/>
      <c r="I154" s="232" t="s">
        <v>1617</v>
      </c>
      <c r="J154" s="174"/>
      <c r="K154" s="233" t="s">
        <v>1618</v>
      </c>
      <c r="L154" s="174"/>
      <c r="M154" s="229" t="s">
        <v>1619</v>
      </c>
    </row>
    <row r="155" ht="15.75" customHeight="1">
      <c r="A155" s="234" t="s">
        <v>1509</v>
      </c>
      <c r="B155" s="234" t="s">
        <v>1510</v>
      </c>
      <c r="C155" s="234" t="s">
        <v>1511</v>
      </c>
      <c r="D155" s="234" t="s">
        <v>1614</v>
      </c>
      <c r="E155" s="235" t="s">
        <v>1620</v>
      </c>
      <c r="F155" s="235" t="s">
        <v>1621</v>
      </c>
      <c r="G155" s="236" t="s">
        <v>1622</v>
      </c>
      <c r="H155" s="236" t="s">
        <v>1623</v>
      </c>
      <c r="I155" s="237" t="s">
        <v>1624</v>
      </c>
      <c r="J155" s="237" t="s">
        <v>1625</v>
      </c>
      <c r="K155" s="238" t="s">
        <v>1626</v>
      </c>
      <c r="L155" s="238" t="s">
        <v>1627</v>
      </c>
      <c r="M155" s="234" t="s">
        <v>1619</v>
      </c>
    </row>
    <row r="156" ht="15.75" customHeight="1">
      <c r="A156" s="280">
        <v>1.0</v>
      </c>
      <c r="B156" s="276" t="s">
        <v>1754</v>
      </c>
      <c r="C156" s="280" t="s">
        <v>1754</v>
      </c>
      <c r="D156" s="309">
        <v>28.0</v>
      </c>
      <c r="E156" s="267"/>
      <c r="F156" s="428" t="str">
        <f>IF(E156&lt;&gt;"",D156*E156,"")</f>
        <v/>
      </c>
      <c r="G156" s="430">
        <v>19200.0</v>
      </c>
      <c r="H156" s="263">
        <f>IF(G156&lt;&gt;"",D156*G156,"")</f>
        <v>537600</v>
      </c>
      <c r="I156" s="281">
        <v>22500.0</v>
      </c>
      <c r="J156" s="264">
        <f>IF(I156&lt;&gt;"",D156*I156,"")</f>
        <v>630000</v>
      </c>
      <c r="K156" s="245">
        <f t="shared" ref="K156:K157" si="68">IF(J156&lt;&gt;"",IF(H156&lt;&gt;"",J156-H156,IF(F156&lt;&gt;"",J156-F156,"")),"")</f>
        <v>92400</v>
      </c>
      <c r="L156" s="246">
        <f t="shared" ref="L156:L157" si="69">IF(K156&lt;&gt;"",IF(H156&lt;&gt;"",IF(H156&lt;&gt;0,K156/H156,""),IF(F156&lt;&gt;"",IF(F156&lt;&gt;0,K156/F156,""),"")),"")</f>
        <v>0.171875</v>
      </c>
      <c r="M156" s="252"/>
    </row>
    <row r="157" ht="15.75" customHeight="1">
      <c r="A157" s="325" t="s">
        <v>2201</v>
      </c>
      <c r="B157" s="206"/>
      <c r="C157" s="206"/>
      <c r="D157" s="174"/>
      <c r="E157" s="259"/>
      <c r="F157" s="282">
        <f>SUMIF(F156,"&lt;&gt;",F156)</f>
        <v>0</v>
      </c>
      <c r="G157" s="282"/>
      <c r="H157" s="282">
        <f>SUMIF(H156,"&lt;&gt;",H156)</f>
        <v>537600</v>
      </c>
      <c r="I157" s="282"/>
      <c r="J157" s="282">
        <f>SUMIF(J156,"&lt;&gt;",J156)</f>
        <v>630000</v>
      </c>
      <c r="K157" s="261">
        <f t="shared" si="68"/>
        <v>92400</v>
      </c>
      <c r="L157" s="262">
        <f t="shared" si="69"/>
        <v>0.171875</v>
      </c>
      <c r="M157" s="257"/>
    </row>
    <row r="158" ht="15.75" customHeight="1"/>
    <row r="159" ht="15.75" customHeight="1"/>
    <row r="160" ht="27.75" customHeight="1">
      <c r="A160" s="328" t="s">
        <v>2161</v>
      </c>
      <c r="B160" s="285"/>
      <c r="C160" s="285"/>
      <c r="D160" s="286"/>
      <c r="E160" s="287"/>
      <c r="F160" s="288">
        <f>F13+F28+F34+F40+F50+F57+F70+F77+F83+F89+F96+F102+F110+F118+F125+F131+F138+F151+F157</f>
        <v>0</v>
      </c>
      <c r="G160" s="288"/>
      <c r="H160" s="288">
        <f>H13+H28+H34+H40+H50+H57+H70+H77+H83+H89+H96+H102+H110+H118+H125+H131+H138+H151+H157</f>
        <v>42938350</v>
      </c>
      <c r="I160" s="288"/>
      <c r="J160" s="288">
        <f>J13+J28+J34+J40+J50+J57+J70+J77+J83+J89+J96+J102+J110+J118+J125+J131+J138+J151+J157</f>
        <v>47771000</v>
      </c>
      <c r="K160" s="289">
        <f>IF(J160&lt;&gt;"",IF(H160&lt;&gt;0,J160-H160,J160-F160),"")</f>
        <v>4832650</v>
      </c>
      <c r="L160" s="290">
        <f>IF(K160&lt;&gt;"",IF(H160&lt;&gt;0,K160/H160,IF(F160&lt;&gt;0,K160/F160,"")),"")</f>
        <v>0.1125485725</v>
      </c>
      <c r="M160" s="287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</sheetData>
  <mergeCells count="125">
    <mergeCell ref="G43:H43"/>
    <mergeCell ref="I43:J43"/>
    <mergeCell ref="A50:D50"/>
    <mergeCell ref="A52:B52"/>
    <mergeCell ref="C52:L52"/>
    <mergeCell ref="E53:F53"/>
    <mergeCell ref="G53:H53"/>
    <mergeCell ref="A57:D57"/>
    <mergeCell ref="A59:B59"/>
    <mergeCell ref="C59:L59"/>
    <mergeCell ref="E60:F60"/>
    <mergeCell ref="G60:H60"/>
    <mergeCell ref="I60:J60"/>
    <mergeCell ref="K60:L60"/>
    <mergeCell ref="A70:D70"/>
    <mergeCell ref="A72:B72"/>
    <mergeCell ref="C72:L72"/>
    <mergeCell ref="E73:F73"/>
    <mergeCell ref="G73:H73"/>
    <mergeCell ref="I73:J73"/>
    <mergeCell ref="K73:L73"/>
    <mergeCell ref="A77:D77"/>
    <mergeCell ref="A79:B79"/>
    <mergeCell ref="C79:L79"/>
    <mergeCell ref="E80:F80"/>
    <mergeCell ref="G80:H80"/>
    <mergeCell ref="I80:J80"/>
    <mergeCell ref="K80:L80"/>
    <mergeCell ref="A1:M1"/>
    <mergeCell ref="A2:M2"/>
    <mergeCell ref="A3:M3"/>
    <mergeCell ref="A4:M4"/>
    <mergeCell ref="G5:H5"/>
    <mergeCell ref="I5:J5"/>
    <mergeCell ref="K5:L5"/>
    <mergeCell ref="E5:F5"/>
    <mergeCell ref="A13:D13"/>
    <mergeCell ref="A15:M15"/>
    <mergeCell ref="E16:F16"/>
    <mergeCell ref="G16:H16"/>
    <mergeCell ref="I16:J16"/>
    <mergeCell ref="K16:L16"/>
    <mergeCell ref="E31:F31"/>
    <mergeCell ref="E37:F37"/>
    <mergeCell ref="A28:D28"/>
    <mergeCell ref="A30:M30"/>
    <mergeCell ref="G31:H31"/>
    <mergeCell ref="I31:J31"/>
    <mergeCell ref="K31:L31"/>
    <mergeCell ref="A34:D34"/>
    <mergeCell ref="A36:M36"/>
    <mergeCell ref="G37:H37"/>
    <mergeCell ref="I37:J37"/>
    <mergeCell ref="K37:L37"/>
    <mergeCell ref="A40:D40"/>
    <mergeCell ref="A42:B42"/>
    <mergeCell ref="C42:L42"/>
    <mergeCell ref="E43:F43"/>
    <mergeCell ref="K43:L43"/>
    <mergeCell ref="I53:J53"/>
    <mergeCell ref="K53:L53"/>
    <mergeCell ref="A83:D83"/>
    <mergeCell ref="A85:B85"/>
    <mergeCell ref="C85:L85"/>
    <mergeCell ref="E86:F86"/>
    <mergeCell ref="G86:H86"/>
    <mergeCell ref="I86:J86"/>
    <mergeCell ref="K86:L86"/>
    <mergeCell ref="G154:H154"/>
    <mergeCell ref="I154:J154"/>
    <mergeCell ref="A157:D157"/>
    <mergeCell ref="A160:D160"/>
    <mergeCell ref="A140:M140"/>
    <mergeCell ref="E141:F141"/>
    <mergeCell ref="G141:H141"/>
    <mergeCell ref="I141:J141"/>
    <mergeCell ref="K141:L141"/>
    <mergeCell ref="A153:M153"/>
    <mergeCell ref="E154:F154"/>
    <mergeCell ref="K154:L154"/>
    <mergeCell ref="A89:D89"/>
    <mergeCell ref="A91:M91"/>
    <mergeCell ref="E92:F92"/>
    <mergeCell ref="G92:H92"/>
    <mergeCell ref="I92:J92"/>
    <mergeCell ref="K92:L92"/>
    <mergeCell ref="A96:D96"/>
    <mergeCell ref="E99:F99"/>
    <mergeCell ref="E105:F105"/>
    <mergeCell ref="A110:D110"/>
    <mergeCell ref="A118:D118"/>
    <mergeCell ref="A125:D125"/>
    <mergeCell ref="A131:D131"/>
    <mergeCell ref="A138:D138"/>
    <mergeCell ref="A151:D151"/>
    <mergeCell ref="A98:B98"/>
    <mergeCell ref="C98:L98"/>
    <mergeCell ref="G99:H99"/>
    <mergeCell ref="I99:J99"/>
    <mergeCell ref="K99:L99"/>
    <mergeCell ref="A102:D102"/>
    <mergeCell ref="A104:M104"/>
    <mergeCell ref="G105:H105"/>
    <mergeCell ref="I105:J105"/>
    <mergeCell ref="K105:L105"/>
    <mergeCell ref="A112:M112"/>
    <mergeCell ref="E113:F113"/>
    <mergeCell ref="G113:H113"/>
    <mergeCell ref="I113:J113"/>
    <mergeCell ref="K113:L113"/>
    <mergeCell ref="A120:M120"/>
    <mergeCell ref="E121:F121"/>
    <mergeCell ref="G121:H121"/>
    <mergeCell ref="I121:J121"/>
    <mergeCell ref="K121:L121"/>
    <mergeCell ref="A127:M127"/>
    <mergeCell ref="I134:J134"/>
    <mergeCell ref="K134:L134"/>
    <mergeCell ref="E128:F128"/>
    <mergeCell ref="G128:H128"/>
    <mergeCell ref="I128:J128"/>
    <mergeCell ref="K128:L128"/>
    <mergeCell ref="A133:M133"/>
    <mergeCell ref="E134:F134"/>
    <mergeCell ref="G134:H134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2202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171" t="s">
        <v>1613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331" t="s">
        <v>1527</v>
      </c>
      <c r="C7" s="332" t="s">
        <v>109</v>
      </c>
      <c r="D7" s="213">
        <v>125.0</v>
      </c>
      <c r="E7" s="267"/>
      <c r="F7" s="268" t="str">
        <f t="shared" ref="F7:F24" si="1">IF(E7&lt;&gt;"",D7*E7,"")</f>
        <v/>
      </c>
      <c r="G7" s="186">
        <v>14500.0</v>
      </c>
      <c r="H7" s="243">
        <f t="shared" ref="H7:H25" si="2">IF(G7&lt;&gt;"",D7*G7,"")</f>
        <v>1812500</v>
      </c>
      <c r="I7" s="188">
        <v>15500.0</v>
      </c>
      <c r="J7" s="244">
        <f t="shared" ref="J7:J25" si="3">IF(I7&lt;&gt;"",D7*I7,"")</f>
        <v>1937500</v>
      </c>
      <c r="K7" s="245">
        <f t="shared" ref="K7:K26" si="4">IF(J7&lt;&gt;"",IF(H7&lt;&gt;"",J7-H7,IF(F7&lt;&gt;"",J7-F7,"")),"")</f>
        <v>125000</v>
      </c>
      <c r="L7" s="246">
        <f t="shared" ref="L7:L25" si="5">IF(K7&lt;&gt;"",IF(H7&lt;&gt;"",IF(H7&lt;&gt;0,K7/H7,""),IF(F7&lt;&gt;"",IF(F7&lt;&gt;0,K7/F7,""),"")),"")</f>
        <v>0.06896551724</v>
      </c>
      <c r="M7" s="192"/>
    </row>
    <row r="8" ht="15.75" customHeight="1">
      <c r="A8" s="164">
        <v>2.0</v>
      </c>
      <c r="B8" s="297" t="s">
        <v>1600</v>
      </c>
      <c r="C8" s="332" t="s">
        <v>109</v>
      </c>
      <c r="D8" s="216">
        <v>147.9</v>
      </c>
      <c r="E8" s="267"/>
      <c r="F8" s="268" t="str">
        <f t="shared" si="1"/>
        <v/>
      </c>
      <c r="G8" s="186">
        <v>25500.0</v>
      </c>
      <c r="H8" s="243">
        <f t="shared" si="2"/>
        <v>3771450</v>
      </c>
      <c r="I8" s="188">
        <v>28000.0</v>
      </c>
      <c r="J8" s="244">
        <f t="shared" si="3"/>
        <v>4141200</v>
      </c>
      <c r="K8" s="250">
        <f t="shared" si="4"/>
        <v>369750</v>
      </c>
      <c r="L8" s="251">
        <f t="shared" si="5"/>
        <v>0.09803921569</v>
      </c>
      <c r="M8" s="396"/>
    </row>
    <row r="9" ht="15.75" customHeight="1">
      <c r="A9" s="159">
        <v>3.0</v>
      </c>
      <c r="B9" s="331" t="s">
        <v>1674</v>
      </c>
      <c r="C9" s="332" t="s">
        <v>109</v>
      </c>
      <c r="D9" s="213">
        <v>1.0</v>
      </c>
      <c r="E9" s="267"/>
      <c r="F9" s="268" t="str">
        <f t="shared" si="1"/>
        <v/>
      </c>
      <c r="G9" s="186">
        <v>70000.0</v>
      </c>
      <c r="H9" s="243">
        <f t="shared" si="2"/>
        <v>70000</v>
      </c>
      <c r="I9" s="188">
        <v>75000.0</v>
      </c>
      <c r="J9" s="244">
        <f t="shared" si="3"/>
        <v>75000</v>
      </c>
      <c r="K9" s="245">
        <f t="shared" si="4"/>
        <v>5000</v>
      </c>
      <c r="L9" s="246">
        <f t="shared" si="5"/>
        <v>0.07142857143</v>
      </c>
      <c r="M9" s="397"/>
    </row>
    <row r="10" ht="15.75" customHeight="1">
      <c r="A10" s="164">
        <v>4.0</v>
      </c>
      <c r="B10" s="333" t="s">
        <v>2203</v>
      </c>
      <c r="C10" s="332" t="s">
        <v>109</v>
      </c>
      <c r="D10" s="216">
        <v>2.0</v>
      </c>
      <c r="E10" s="267"/>
      <c r="F10" s="268" t="str">
        <f t="shared" si="1"/>
        <v/>
      </c>
      <c r="G10" s="186">
        <v>90000.0</v>
      </c>
      <c r="H10" s="243">
        <f t="shared" si="2"/>
        <v>180000</v>
      </c>
      <c r="I10" s="188">
        <v>95000.0</v>
      </c>
      <c r="J10" s="244">
        <f t="shared" si="3"/>
        <v>190000</v>
      </c>
      <c r="K10" s="250">
        <f t="shared" si="4"/>
        <v>10000</v>
      </c>
      <c r="L10" s="251">
        <f t="shared" si="5"/>
        <v>0.05555555556</v>
      </c>
      <c r="M10" s="396"/>
    </row>
    <row r="11" ht="15.75" customHeight="1">
      <c r="A11" s="159">
        <v>5.0</v>
      </c>
      <c r="B11" s="331" t="s">
        <v>1934</v>
      </c>
      <c r="C11" s="332" t="s">
        <v>109</v>
      </c>
      <c r="D11" s="213">
        <v>2.0</v>
      </c>
      <c r="E11" s="267"/>
      <c r="F11" s="268" t="str">
        <f t="shared" si="1"/>
        <v/>
      </c>
      <c r="G11" s="186">
        <v>36000.0</v>
      </c>
      <c r="H11" s="243">
        <f t="shared" si="2"/>
        <v>72000</v>
      </c>
      <c r="I11" s="188">
        <v>38000.0</v>
      </c>
      <c r="J11" s="244">
        <f t="shared" si="3"/>
        <v>76000</v>
      </c>
      <c r="K11" s="245">
        <f t="shared" si="4"/>
        <v>4000</v>
      </c>
      <c r="L11" s="246">
        <f t="shared" si="5"/>
        <v>0.05555555556</v>
      </c>
      <c r="M11" s="192"/>
    </row>
    <row r="12" ht="15.75" customHeight="1">
      <c r="A12" s="164">
        <v>6.0</v>
      </c>
      <c r="B12" s="333" t="s">
        <v>1935</v>
      </c>
      <c r="C12" s="332" t="s">
        <v>109</v>
      </c>
      <c r="D12" s="216">
        <v>3.05</v>
      </c>
      <c r="E12" s="267"/>
      <c r="F12" s="268" t="str">
        <f t="shared" si="1"/>
        <v/>
      </c>
      <c r="G12" s="186">
        <v>30000.0</v>
      </c>
      <c r="H12" s="243">
        <f t="shared" si="2"/>
        <v>91500</v>
      </c>
      <c r="I12" s="188">
        <v>36000.0</v>
      </c>
      <c r="J12" s="244">
        <f t="shared" si="3"/>
        <v>109800</v>
      </c>
      <c r="K12" s="250">
        <f t="shared" si="4"/>
        <v>18300</v>
      </c>
      <c r="L12" s="251">
        <f t="shared" si="5"/>
        <v>0.2</v>
      </c>
      <c r="M12" s="196"/>
    </row>
    <row r="13" ht="15.75" customHeight="1">
      <c r="A13" s="159">
        <v>7.0</v>
      </c>
      <c r="B13" s="331" t="s">
        <v>1522</v>
      </c>
      <c r="C13" s="332" t="s">
        <v>109</v>
      </c>
      <c r="D13" s="213">
        <v>2.1</v>
      </c>
      <c r="E13" s="267"/>
      <c r="F13" s="268" t="str">
        <f t="shared" si="1"/>
        <v/>
      </c>
      <c r="G13" s="186">
        <v>19000.0</v>
      </c>
      <c r="H13" s="243">
        <f t="shared" si="2"/>
        <v>39900</v>
      </c>
      <c r="I13" s="188">
        <v>35000.0</v>
      </c>
      <c r="J13" s="244">
        <f t="shared" si="3"/>
        <v>73500</v>
      </c>
      <c r="K13" s="245">
        <f t="shared" si="4"/>
        <v>33600</v>
      </c>
      <c r="L13" s="246">
        <f t="shared" si="5"/>
        <v>0.8421052632</v>
      </c>
      <c r="M13" s="192"/>
    </row>
    <row r="14" ht="15.75" customHeight="1">
      <c r="A14" s="164">
        <v>8.0</v>
      </c>
      <c r="B14" s="333" t="s">
        <v>1574</v>
      </c>
      <c r="C14" s="332" t="s">
        <v>109</v>
      </c>
      <c r="D14" s="216">
        <v>1.0</v>
      </c>
      <c r="E14" s="267"/>
      <c r="F14" s="268" t="str">
        <f t="shared" si="1"/>
        <v/>
      </c>
      <c r="G14" s="186">
        <v>12000.0</v>
      </c>
      <c r="H14" s="243">
        <f t="shared" si="2"/>
        <v>12000</v>
      </c>
      <c r="I14" s="188">
        <v>13000.0</v>
      </c>
      <c r="J14" s="244">
        <f t="shared" si="3"/>
        <v>13000</v>
      </c>
      <c r="K14" s="250">
        <f t="shared" si="4"/>
        <v>1000</v>
      </c>
      <c r="L14" s="251">
        <f t="shared" si="5"/>
        <v>0.08333333333</v>
      </c>
      <c r="M14" s="196"/>
    </row>
    <row r="15" ht="15.75" customHeight="1">
      <c r="A15" s="159">
        <v>9.0</v>
      </c>
      <c r="B15" s="331" t="s">
        <v>1548</v>
      </c>
      <c r="C15" s="332" t="s">
        <v>109</v>
      </c>
      <c r="D15" s="213">
        <v>1.1</v>
      </c>
      <c r="E15" s="267"/>
      <c r="F15" s="268" t="str">
        <f t="shared" si="1"/>
        <v/>
      </c>
      <c r="G15" s="186">
        <v>20000.0</v>
      </c>
      <c r="H15" s="243">
        <f t="shared" si="2"/>
        <v>22000</v>
      </c>
      <c r="I15" s="200">
        <v>26000.0</v>
      </c>
      <c r="J15" s="244">
        <f t="shared" si="3"/>
        <v>28600</v>
      </c>
      <c r="K15" s="245">
        <f t="shared" si="4"/>
        <v>6600</v>
      </c>
      <c r="L15" s="246">
        <f t="shared" si="5"/>
        <v>0.3</v>
      </c>
      <c r="M15" s="192"/>
    </row>
    <row r="16" ht="15.75" customHeight="1">
      <c r="A16" s="164">
        <v>10.0</v>
      </c>
      <c r="B16" s="333" t="s">
        <v>1605</v>
      </c>
      <c r="C16" s="332" t="s">
        <v>109</v>
      </c>
      <c r="D16" s="216">
        <v>50.0</v>
      </c>
      <c r="E16" s="267"/>
      <c r="F16" s="268" t="str">
        <f t="shared" si="1"/>
        <v/>
      </c>
      <c r="G16" s="186">
        <v>11500.0</v>
      </c>
      <c r="H16" s="243">
        <f t="shared" si="2"/>
        <v>575000</v>
      </c>
      <c r="I16" s="188">
        <v>12000.0</v>
      </c>
      <c r="J16" s="244">
        <f t="shared" si="3"/>
        <v>600000</v>
      </c>
      <c r="K16" s="250">
        <f t="shared" si="4"/>
        <v>25000</v>
      </c>
      <c r="L16" s="251">
        <f t="shared" si="5"/>
        <v>0.04347826087</v>
      </c>
      <c r="M16" s="196"/>
    </row>
    <row r="17" ht="15.75" customHeight="1">
      <c r="A17" s="159">
        <v>11.0</v>
      </c>
      <c r="B17" s="331" t="s">
        <v>1818</v>
      </c>
      <c r="C17" s="332" t="s">
        <v>109</v>
      </c>
      <c r="D17" s="213">
        <v>2.0</v>
      </c>
      <c r="E17" s="267"/>
      <c r="F17" s="268" t="str">
        <f t="shared" si="1"/>
        <v/>
      </c>
      <c r="G17" s="186">
        <v>24000.0</v>
      </c>
      <c r="H17" s="243">
        <f t="shared" si="2"/>
        <v>48000</v>
      </c>
      <c r="I17" s="188">
        <v>24000.0</v>
      </c>
      <c r="J17" s="244">
        <f t="shared" si="3"/>
        <v>48000</v>
      </c>
      <c r="K17" s="245">
        <f t="shared" si="4"/>
        <v>0</v>
      </c>
      <c r="L17" s="246">
        <f t="shared" si="5"/>
        <v>0</v>
      </c>
      <c r="M17" s="397"/>
    </row>
    <row r="18" ht="15.75" customHeight="1">
      <c r="A18" s="164">
        <v>12.0</v>
      </c>
      <c r="B18" s="333" t="s">
        <v>1542</v>
      </c>
      <c r="C18" s="332" t="s">
        <v>109</v>
      </c>
      <c r="D18" s="216">
        <v>0.3</v>
      </c>
      <c r="E18" s="267"/>
      <c r="F18" s="268" t="str">
        <f t="shared" si="1"/>
        <v/>
      </c>
      <c r="G18" s="186">
        <v>13000.0</v>
      </c>
      <c r="H18" s="243">
        <f t="shared" si="2"/>
        <v>3900</v>
      </c>
      <c r="I18" s="188">
        <v>13000.0</v>
      </c>
      <c r="J18" s="244">
        <f t="shared" si="3"/>
        <v>3900</v>
      </c>
      <c r="K18" s="250">
        <f t="shared" si="4"/>
        <v>0</v>
      </c>
      <c r="L18" s="251">
        <f t="shared" si="5"/>
        <v>0</v>
      </c>
      <c r="M18" s="196"/>
    </row>
    <row r="19" ht="15.75" customHeight="1">
      <c r="A19" s="159">
        <v>13.0</v>
      </c>
      <c r="B19" s="331" t="s">
        <v>1642</v>
      </c>
      <c r="C19" s="332" t="s">
        <v>109</v>
      </c>
      <c r="D19" s="213">
        <v>2.1</v>
      </c>
      <c r="E19" s="267"/>
      <c r="F19" s="268" t="str">
        <f t="shared" si="1"/>
        <v/>
      </c>
      <c r="G19" s="199">
        <v>12000.0</v>
      </c>
      <c r="H19" s="243">
        <f t="shared" si="2"/>
        <v>25200</v>
      </c>
      <c r="I19" s="188">
        <v>12000.0</v>
      </c>
      <c r="J19" s="244">
        <f t="shared" si="3"/>
        <v>25200</v>
      </c>
      <c r="K19" s="431">
        <f t="shared" si="4"/>
        <v>0</v>
      </c>
      <c r="L19" s="405">
        <f t="shared" si="5"/>
        <v>0</v>
      </c>
      <c r="M19" s="397"/>
    </row>
    <row r="20" ht="15.75" customHeight="1">
      <c r="A20" s="164">
        <v>14.0</v>
      </c>
      <c r="B20" s="333" t="s">
        <v>1712</v>
      </c>
      <c r="C20" s="332" t="s">
        <v>109</v>
      </c>
      <c r="D20" s="216">
        <v>98.1</v>
      </c>
      <c r="E20" s="267"/>
      <c r="F20" s="268" t="str">
        <f t="shared" si="1"/>
        <v/>
      </c>
      <c r="G20" s="186">
        <v>10000.0</v>
      </c>
      <c r="H20" s="243">
        <f t="shared" si="2"/>
        <v>981000</v>
      </c>
      <c r="I20" s="188">
        <v>12000.0</v>
      </c>
      <c r="J20" s="244">
        <f t="shared" si="3"/>
        <v>1177200</v>
      </c>
      <c r="K20" s="250">
        <f t="shared" si="4"/>
        <v>196200</v>
      </c>
      <c r="L20" s="251">
        <f t="shared" si="5"/>
        <v>0.2</v>
      </c>
      <c r="M20" s="196"/>
    </row>
    <row r="21" ht="15.75" customHeight="1">
      <c r="A21" s="159">
        <v>15.0</v>
      </c>
      <c r="B21" s="331" t="s">
        <v>1601</v>
      </c>
      <c r="C21" s="332" t="s">
        <v>67</v>
      </c>
      <c r="D21" s="213">
        <v>90.0</v>
      </c>
      <c r="E21" s="267"/>
      <c r="F21" s="268" t="str">
        <f t="shared" si="1"/>
        <v/>
      </c>
      <c r="G21" s="186">
        <v>12000.0</v>
      </c>
      <c r="H21" s="243">
        <f t="shared" si="2"/>
        <v>1080000</v>
      </c>
      <c r="I21" s="188">
        <v>13000.0</v>
      </c>
      <c r="J21" s="244">
        <f t="shared" si="3"/>
        <v>1170000</v>
      </c>
      <c r="K21" s="245">
        <f t="shared" si="4"/>
        <v>90000</v>
      </c>
      <c r="L21" s="246">
        <f t="shared" si="5"/>
        <v>0.08333333333</v>
      </c>
      <c r="M21" s="192"/>
    </row>
    <row r="22" ht="15.75" customHeight="1">
      <c r="A22" s="164">
        <v>16.0</v>
      </c>
      <c r="B22" s="333" t="s">
        <v>2204</v>
      </c>
      <c r="C22" s="332" t="s">
        <v>261</v>
      </c>
      <c r="D22" s="216">
        <v>3.0</v>
      </c>
      <c r="E22" s="267"/>
      <c r="F22" s="268" t="str">
        <f t="shared" si="1"/>
        <v/>
      </c>
      <c r="G22" s="186">
        <v>264000.0</v>
      </c>
      <c r="H22" s="243">
        <f t="shared" si="2"/>
        <v>792000</v>
      </c>
      <c r="I22" s="188">
        <v>264000.0</v>
      </c>
      <c r="J22" s="244">
        <f t="shared" si="3"/>
        <v>792000</v>
      </c>
      <c r="K22" s="250">
        <f t="shared" si="4"/>
        <v>0</v>
      </c>
      <c r="L22" s="251">
        <f t="shared" si="5"/>
        <v>0</v>
      </c>
      <c r="M22" s="192"/>
    </row>
    <row r="23" ht="15.75" customHeight="1">
      <c r="A23" s="159">
        <v>17.0</v>
      </c>
      <c r="B23" s="331" t="s">
        <v>1543</v>
      </c>
      <c r="C23" s="332" t="s">
        <v>109</v>
      </c>
      <c r="D23" s="213">
        <v>5.0</v>
      </c>
      <c r="E23" s="267"/>
      <c r="F23" s="268" t="str">
        <f t="shared" si="1"/>
        <v/>
      </c>
      <c r="G23" s="186">
        <v>7000.0</v>
      </c>
      <c r="H23" s="243">
        <f t="shared" si="2"/>
        <v>35000</v>
      </c>
      <c r="I23" s="188">
        <v>10000.0</v>
      </c>
      <c r="J23" s="244">
        <f t="shared" si="3"/>
        <v>50000</v>
      </c>
      <c r="K23" s="245">
        <f t="shared" si="4"/>
        <v>15000</v>
      </c>
      <c r="L23" s="246">
        <f t="shared" si="5"/>
        <v>0.4285714286</v>
      </c>
      <c r="M23" s="192"/>
    </row>
    <row r="24" ht="15.75" customHeight="1">
      <c r="A24" s="164">
        <v>18.0</v>
      </c>
      <c r="B24" s="333" t="s">
        <v>2205</v>
      </c>
      <c r="C24" s="332" t="s">
        <v>109</v>
      </c>
      <c r="D24" s="216">
        <v>1.0</v>
      </c>
      <c r="E24" s="267"/>
      <c r="F24" s="268" t="str">
        <f t="shared" si="1"/>
        <v/>
      </c>
      <c r="G24" s="186">
        <v>94000.0</v>
      </c>
      <c r="H24" s="243">
        <f t="shared" si="2"/>
        <v>94000</v>
      </c>
      <c r="I24" s="188">
        <v>95000.0</v>
      </c>
      <c r="J24" s="244">
        <f t="shared" si="3"/>
        <v>95000</v>
      </c>
      <c r="K24" s="250">
        <f t="shared" si="4"/>
        <v>1000</v>
      </c>
      <c r="L24" s="251">
        <f t="shared" si="5"/>
        <v>0.01063829787</v>
      </c>
      <c r="M24" s="192"/>
    </row>
    <row r="25" ht="15.75" customHeight="1">
      <c r="A25" s="159">
        <v>19.0</v>
      </c>
      <c r="B25" s="217" t="s">
        <v>1634</v>
      </c>
      <c r="C25" s="332" t="s">
        <v>69</v>
      </c>
      <c r="D25" s="218">
        <v>2158.0</v>
      </c>
      <c r="E25" s="267"/>
      <c r="F25" s="268"/>
      <c r="G25" s="199">
        <v>1650.0</v>
      </c>
      <c r="H25" s="243">
        <f t="shared" si="2"/>
        <v>3560700</v>
      </c>
      <c r="I25" s="188">
        <v>2000.0</v>
      </c>
      <c r="J25" s="264">
        <f t="shared" si="3"/>
        <v>4316000</v>
      </c>
      <c r="K25" s="250">
        <f t="shared" si="4"/>
        <v>755300</v>
      </c>
      <c r="L25" s="251">
        <f t="shared" si="5"/>
        <v>0.2121212121</v>
      </c>
      <c r="M25" s="192"/>
    </row>
    <row r="26" ht="19.5" customHeight="1">
      <c r="A26" s="205" t="s">
        <v>1628</v>
      </c>
      <c r="B26" s="206"/>
      <c r="C26" s="206"/>
      <c r="D26" s="174"/>
      <c r="E26" s="207"/>
      <c r="F26" s="208">
        <f>SUMIF(F7:F25,"&lt;&gt;",F7:F25)</f>
        <v>0</v>
      </c>
      <c r="G26" s="207"/>
      <c r="H26" s="208">
        <f>SUMIF(H7:H25,"&lt;&gt;",H7:H25)</f>
        <v>13266150</v>
      </c>
      <c r="I26" s="209"/>
      <c r="J26" s="210">
        <f>SUMIF(J7:J25,"&lt;&gt;",J7:J25)</f>
        <v>14921900</v>
      </c>
      <c r="K26" s="211">
        <f t="shared" si="4"/>
        <v>1655750</v>
      </c>
      <c r="L26" s="212">
        <f>IF(K26&lt;&gt;"",IF(H26&lt;&gt;"",IF(H26&lt;&gt;0,K26/H26,""),IF(F26&lt;&gt;"",IF(F26&lt;&gt;0,K26/F26,""),"")),"")</f>
        <v>0.1248101371</v>
      </c>
      <c r="M26" s="207"/>
    </row>
    <row r="27" ht="15.75" customHeight="1"/>
    <row r="28" ht="21.75" customHeight="1">
      <c r="A28" s="171" t="s">
        <v>1629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ht="19.5" customHeight="1">
      <c r="A29" s="172" t="s">
        <v>1509</v>
      </c>
      <c r="B29" s="172" t="s">
        <v>1510</v>
      </c>
      <c r="C29" s="172" t="s">
        <v>1511</v>
      </c>
      <c r="D29" s="172" t="s">
        <v>1614</v>
      </c>
      <c r="E29" s="173" t="s">
        <v>1615</v>
      </c>
      <c r="F29" s="174"/>
      <c r="G29" s="175" t="s">
        <v>1616</v>
      </c>
      <c r="H29" s="174"/>
      <c r="I29" s="176" t="s">
        <v>1617</v>
      </c>
      <c r="J29" s="174"/>
      <c r="K29" s="177" t="s">
        <v>1618</v>
      </c>
      <c r="L29" s="174"/>
      <c r="M29" s="172" t="s">
        <v>1619</v>
      </c>
    </row>
    <row r="30" ht="27.75" customHeight="1">
      <c r="A30" s="178" t="s">
        <v>1509</v>
      </c>
      <c r="B30" s="178" t="s">
        <v>1510</v>
      </c>
      <c r="C30" s="178" t="s">
        <v>1511</v>
      </c>
      <c r="D30" s="178" t="s">
        <v>1614</v>
      </c>
      <c r="E30" s="179" t="s">
        <v>1620</v>
      </c>
      <c r="F30" s="179" t="s">
        <v>1621</v>
      </c>
      <c r="G30" s="180" t="s">
        <v>1622</v>
      </c>
      <c r="H30" s="180" t="s">
        <v>1623</v>
      </c>
      <c r="I30" s="181" t="s">
        <v>1624</v>
      </c>
      <c r="J30" s="181" t="s">
        <v>1625</v>
      </c>
      <c r="K30" s="182" t="s">
        <v>1626</v>
      </c>
      <c r="L30" s="182" t="s">
        <v>1627</v>
      </c>
      <c r="M30" s="178" t="s">
        <v>1619</v>
      </c>
    </row>
    <row r="31" ht="15.75" customHeight="1">
      <c r="A31" s="159">
        <v>1.0</v>
      </c>
      <c r="B31" s="331" t="s">
        <v>1527</v>
      </c>
      <c r="C31" s="332" t="s">
        <v>109</v>
      </c>
      <c r="D31" s="218">
        <v>125.0</v>
      </c>
      <c r="E31" s="184"/>
      <c r="F31" s="185" t="str">
        <f t="shared" ref="F31:F46" si="6">IF(E31&lt;&gt;"",D31*E31,"")</f>
        <v/>
      </c>
      <c r="G31" s="186">
        <v>14500.0</v>
      </c>
      <c r="H31" s="243">
        <f t="shared" ref="H31:H50" si="7">IF(G31&lt;&gt;"",D31*G31,"")</f>
        <v>1812500</v>
      </c>
      <c r="I31" s="188">
        <v>15500.0</v>
      </c>
      <c r="J31" s="244">
        <f t="shared" ref="J31:J50" si="8">IF(I31&lt;&gt;"",D31*I31,"")</f>
        <v>1937500</v>
      </c>
      <c r="K31" s="190">
        <f t="shared" ref="K31:K54" si="9">IF(J31&lt;&gt;"",IF(H31&lt;&gt;"",J31-H31,IF(F31&lt;&gt;"",J31-F31,"")),"")</f>
        <v>125000</v>
      </c>
      <c r="L31" s="191">
        <f t="shared" ref="L31:L54" si="10">IF(K31&lt;&gt;"",IF(H31&lt;&gt;"",IF(H31&lt;&gt;0,K31/H31,""),IF(F31&lt;&gt;"",IF(F31&lt;&gt;0,K31/F31,""),"")),"")</f>
        <v>0.06896551724</v>
      </c>
      <c r="M31" s="192"/>
    </row>
    <row r="32" ht="15.75" customHeight="1">
      <c r="A32" s="164">
        <v>2.0</v>
      </c>
      <c r="B32" s="333" t="s">
        <v>1952</v>
      </c>
      <c r="C32" s="332" t="s">
        <v>109</v>
      </c>
      <c r="D32" s="218">
        <v>266.6</v>
      </c>
      <c r="E32" s="184"/>
      <c r="F32" s="185" t="str">
        <f t="shared" si="6"/>
        <v/>
      </c>
      <c r="G32" s="186">
        <v>32000.0</v>
      </c>
      <c r="H32" s="243">
        <f t="shared" si="7"/>
        <v>8531200</v>
      </c>
      <c r="I32" s="188">
        <v>38000.0</v>
      </c>
      <c r="J32" s="244">
        <f t="shared" si="8"/>
        <v>10130800</v>
      </c>
      <c r="K32" s="194">
        <f t="shared" si="9"/>
        <v>1599600</v>
      </c>
      <c r="L32" s="195">
        <f t="shared" si="10"/>
        <v>0.1875</v>
      </c>
      <c r="M32" s="196"/>
    </row>
    <row r="33" ht="15.75" customHeight="1">
      <c r="A33" s="159">
        <v>3.0</v>
      </c>
      <c r="B33" s="331" t="s">
        <v>1575</v>
      </c>
      <c r="C33" s="332" t="s">
        <v>109</v>
      </c>
      <c r="D33" s="218">
        <v>2.0</v>
      </c>
      <c r="E33" s="184"/>
      <c r="F33" s="185" t="str">
        <f t="shared" si="6"/>
        <v/>
      </c>
      <c r="G33" s="186">
        <v>24000.0</v>
      </c>
      <c r="H33" s="243">
        <f t="shared" si="7"/>
        <v>48000</v>
      </c>
      <c r="I33" s="188">
        <v>25000.0</v>
      </c>
      <c r="J33" s="244">
        <f t="shared" si="8"/>
        <v>50000</v>
      </c>
      <c r="K33" s="190">
        <f t="shared" si="9"/>
        <v>2000</v>
      </c>
      <c r="L33" s="191">
        <f t="shared" si="10"/>
        <v>0.04166666667</v>
      </c>
      <c r="M33" s="192"/>
    </row>
    <row r="34" ht="15.75" customHeight="1">
      <c r="A34" s="164">
        <v>4.0</v>
      </c>
      <c r="B34" s="333" t="s">
        <v>1934</v>
      </c>
      <c r="C34" s="332" t="s">
        <v>109</v>
      </c>
      <c r="D34" s="218">
        <v>2.05</v>
      </c>
      <c r="E34" s="184"/>
      <c r="F34" s="185" t="str">
        <f t="shared" si="6"/>
        <v/>
      </c>
      <c r="G34" s="186">
        <v>34000.0</v>
      </c>
      <c r="H34" s="243">
        <f t="shared" si="7"/>
        <v>69700</v>
      </c>
      <c r="I34" s="188">
        <v>38000.0</v>
      </c>
      <c r="J34" s="244">
        <f t="shared" si="8"/>
        <v>77900</v>
      </c>
      <c r="K34" s="194">
        <f t="shared" si="9"/>
        <v>8200</v>
      </c>
      <c r="L34" s="195">
        <f t="shared" si="10"/>
        <v>0.1176470588</v>
      </c>
      <c r="M34" s="196"/>
    </row>
    <row r="35" ht="15.75" customHeight="1">
      <c r="A35" s="159">
        <v>5.0</v>
      </c>
      <c r="B35" s="331" t="s">
        <v>1935</v>
      </c>
      <c r="C35" s="332" t="s">
        <v>109</v>
      </c>
      <c r="D35" s="218">
        <v>2.0</v>
      </c>
      <c r="E35" s="184"/>
      <c r="F35" s="185" t="str">
        <f t="shared" si="6"/>
        <v/>
      </c>
      <c r="G35" s="186">
        <v>30000.0</v>
      </c>
      <c r="H35" s="243">
        <f t="shared" si="7"/>
        <v>60000</v>
      </c>
      <c r="I35" s="188">
        <v>36000.0</v>
      </c>
      <c r="J35" s="244">
        <f t="shared" si="8"/>
        <v>72000</v>
      </c>
      <c r="K35" s="190">
        <f t="shared" si="9"/>
        <v>12000</v>
      </c>
      <c r="L35" s="191">
        <f t="shared" si="10"/>
        <v>0.2</v>
      </c>
      <c r="M35" s="192"/>
    </row>
    <row r="36" ht="15.75" customHeight="1">
      <c r="A36" s="159">
        <v>7.0</v>
      </c>
      <c r="B36" s="331" t="s">
        <v>1604</v>
      </c>
      <c r="C36" s="332" t="s">
        <v>109</v>
      </c>
      <c r="D36" s="218">
        <v>3.0</v>
      </c>
      <c r="E36" s="184"/>
      <c r="F36" s="185" t="str">
        <f t="shared" si="6"/>
        <v/>
      </c>
      <c r="G36" s="186">
        <v>13000.0</v>
      </c>
      <c r="H36" s="243">
        <f t="shared" si="7"/>
        <v>39000</v>
      </c>
      <c r="I36" s="188">
        <v>14000.0</v>
      </c>
      <c r="J36" s="244">
        <f t="shared" si="8"/>
        <v>42000</v>
      </c>
      <c r="K36" s="190">
        <f t="shared" si="9"/>
        <v>3000</v>
      </c>
      <c r="L36" s="191">
        <f t="shared" si="10"/>
        <v>0.07692307692</v>
      </c>
      <c r="M36" s="192"/>
    </row>
    <row r="37" ht="15.75" customHeight="1">
      <c r="A37" s="164">
        <v>8.0</v>
      </c>
      <c r="B37" s="333" t="s">
        <v>1859</v>
      </c>
      <c r="C37" s="332" t="s">
        <v>109</v>
      </c>
      <c r="D37" s="218">
        <v>2.0</v>
      </c>
      <c r="E37" s="184"/>
      <c r="F37" s="185" t="str">
        <f t="shared" si="6"/>
        <v/>
      </c>
      <c r="G37" s="186">
        <v>16500.0</v>
      </c>
      <c r="H37" s="243">
        <f t="shared" si="7"/>
        <v>33000</v>
      </c>
      <c r="I37" s="188">
        <v>18000.0</v>
      </c>
      <c r="J37" s="244">
        <f t="shared" si="8"/>
        <v>36000</v>
      </c>
      <c r="K37" s="194">
        <f t="shared" si="9"/>
        <v>3000</v>
      </c>
      <c r="L37" s="195">
        <f t="shared" si="10"/>
        <v>0.09090909091</v>
      </c>
      <c r="M37" s="196"/>
    </row>
    <row r="38" ht="15.75" customHeight="1">
      <c r="A38" s="159">
        <v>9.0</v>
      </c>
      <c r="B38" s="331" t="s">
        <v>1677</v>
      </c>
      <c r="C38" s="332" t="s">
        <v>1676</v>
      </c>
      <c r="D38" s="218">
        <v>1.0</v>
      </c>
      <c r="E38" s="184"/>
      <c r="F38" s="185" t="str">
        <f t="shared" si="6"/>
        <v/>
      </c>
      <c r="G38" s="186">
        <v>190000.0</v>
      </c>
      <c r="H38" s="243">
        <f t="shared" si="7"/>
        <v>190000</v>
      </c>
      <c r="I38" s="188">
        <v>190000.0</v>
      </c>
      <c r="J38" s="244">
        <f t="shared" si="8"/>
        <v>190000</v>
      </c>
      <c r="K38" s="190">
        <f t="shared" si="9"/>
        <v>0</v>
      </c>
      <c r="L38" s="191">
        <f t="shared" si="10"/>
        <v>0</v>
      </c>
      <c r="M38" s="192"/>
    </row>
    <row r="39" ht="15.75" customHeight="1">
      <c r="A39" s="164">
        <v>10.0</v>
      </c>
      <c r="B39" s="333" t="s">
        <v>1657</v>
      </c>
      <c r="C39" s="332" t="s">
        <v>1557</v>
      </c>
      <c r="D39" s="218">
        <v>1.0</v>
      </c>
      <c r="E39" s="184"/>
      <c r="F39" s="185" t="str">
        <f t="shared" si="6"/>
        <v/>
      </c>
      <c r="G39" s="186">
        <v>48000.0</v>
      </c>
      <c r="H39" s="243">
        <f t="shared" si="7"/>
        <v>48000</v>
      </c>
      <c r="I39" s="188">
        <v>55000.0</v>
      </c>
      <c r="J39" s="244">
        <f t="shared" si="8"/>
        <v>55000</v>
      </c>
      <c r="K39" s="194">
        <f t="shared" si="9"/>
        <v>7000</v>
      </c>
      <c r="L39" s="195">
        <f t="shared" si="10"/>
        <v>0.1458333333</v>
      </c>
      <c r="M39" s="196"/>
    </row>
    <row r="40" ht="15.75" customHeight="1">
      <c r="A40" s="159">
        <v>11.0</v>
      </c>
      <c r="B40" s="331" t="s">
        <v>1650</v>
      </c>
      <c r="C40" s="332" t="s">
        <v>109</v>
      </c>
      <c r="D40" s="218">
        <v>1.0</v>
      </c>
      <c r="E40" s="184"/>
      <c r="F40" s="185" t="str">
        <f t="shared" si="6"/>
        <v/>
      </c>
      <c r="G40" s="186">
        <v>140000.0</v>
      </c>
      <c r="H40" s="243">
        <f t="shared" si="7"/>
        <v>140000</v>
      </c>
      <c r="I40" s="188">
        <v>170000.0</v>
      </c>
      <c r="J40" s="244">
        <f t="shared" si="8"/>
        <v>170000</v>
      </c>
      <c r="K40" s="190">
        <f t="shared" si="9"/>
        <v>30000</v>
      </c>
      <c r="L40" s="191">
        <f t="shared" si="10"/>
        <v>0.2142857143</v>
      </c>
      <c r="M40" s="192"/>
    </row>
    <row r="41" ht="15.75" customHeight="1">
      <c r="A41" s="164">
        <v>12.0</v>
      </c>
      <c r="B41" s="333" t="s">
        <v>1642</v>
      </c>
      <c r="C41" s="332" t="s">
        <v>109</v>
      </c>
      <c r="D41" s="218">
        <v>4.1</v>
      </c>
      <c r="E41" s="184"/>
      <c r="F41" s="185" t="str">
        <f t="shared" si="6"/>
        <v/>
      </c>
      <c r="G41" s="186">
        <v>15000.0</v>
      </c>
      <c r="H41" s="243">
        <f t="shared" si="7"/>
        <v>61500</v>
      </c>
      <c r="I41" s="200">
        <v>15000.0</v>
      </c>
      <c r="J41" s="244">
        <f t="shared" si="8"/>
        <v>61500</v>
      </c>
      <c r="K41" s="194">
        <f t="shared" si="9"/>
        <v>0</v>
      </c>
      <c r="L41" s="195">
        <f t="shared" si="10"/>
        <v>0</v>
      </c>
      <c r="M41" s="196"/>
    </row>
    <row r="42" ht="15.75" customHeight="1">
      <c r="A42" s="159">
        <v>13.0</v>
      </c>
      <c r="B42" s="331" t="s">
        <v>1690</v>
      </c>
      <c r="C42" s="332" t="s">
        <v>109</v>
      </c>
      <c r="D42" s="218">
        <v>20.6</v>
      </c>
      <c r="E42" s="184"/>
      <c r="F42" s="185" t="str">
        <f t="shared" si="6"/>
        <v/>
      </c>
      <c r="G42" s="186">
        <v>10000.0</v>
      </c>
      <c r="H42" s="243">
        <f t="shared" si="7"/>
        <v>206000</v>
      </c>
      <c r="I42" s="188">
        <v>12000.0</v>
      </c>
      <c r="J42" s="244">
        <f t="shared" si="8"/>
        <v>247200</v>
      </c>
      <c r="K42" s="190">
        <f t="shared" si="9"/>
        <v>41200</v>
      </c>
      <c r="L42" s="191">
        <f t="shared" si="10"/>
        <v>0.2</v>
      </c>
      <c r="M42" s="192"/>
    </row>
    <row r="43" ht="15.75" customHeight="1">
      <c r="A43" s="164">
        <v>14.0</v>
      </c>
      <c r="B43" s="333" t="s">
        <v>1609</v>
      </c>
      <c r="C43" s="332" t="s">
        <v>109</v>
      </c>
      <c r="D43" s="218">
        <v>40.75</v>
      </c>
      <c r="E43" s="184"/>
      <c r="F43" s="185" t="str">
        <f t="shared" si="6"/>
        <v/>
      </c>
      <c r="G43" s="186">
        <v>12000.0</v>
      </c>
      <c r="H43" s="243">
        <f t="shared" si="7"/>
        <v>489000</v>
      </c>
      <c r="I43" s="188">
        <v>12000.0</v>
      </c>
      <c r="J43" s="244">
        <f t="shared" si="8"/>
        <v>489000</v>
      </c>
      <c r="K43" s="194">
        <f t="shared" si="9"/>
        <v>0</v>
      </c>
      <c r="L43" s="195">
        <f t="shared" si="10"/>
        <v>0</v>
      </c>
      <c r="M43" s="196"/>
    </row>
    <row r="44" ht="15.75" customHeight="1">
      <c r="A44" s="159">
        <v>15.0</v>
      </c>
      <c r="B44" s="217" t="s">
        <v>1844</v>
      </c>
      <c r="C44" s="332" t="s">
        <v>109</v>
      </c>
      <c r="D44" s="218">
        <v>2.0</v>
      </c>
      <c r="E44" s="184"/>
      <c r="F44" s="185" t="str">
        <f t="shared" si="6"/>
        <v/>
      </c>
      <c r="G44" s="186">
        <v>70000.0</v>
      </c>
      <c r="H44" s="243">
        <f t="shared" si="7"/>
        <v>140000</v>
      </c>
      <c r="I44" s="188">
        <v>70000.0</v>
      </c>
      <c r="J44" s="244">
        <f t="shared" si="8"/>
        <v>140000</v>
      </c>
      <c r="K44" s="190">
        <f t="shared" si="9"/>
        <v>0</v>
      </c>
      <c r="L44" s="191">
        <f t="shared" si="10"/>
        <v>0</v>
      </c>
      <c r="M44" s="192"/>
    </row>
    <row r="45" ht="15.75" customHeight="1">
      <c r="A45" s="164">
        <v>16.0</v>
      </c>
      <c r="B45" s="217" t="s">
        <v>1230</v>
      </c>
      <c r="C45" s="332" t="s">
        <v>109</v>
      </c>
      <c r="D45" s="218">
        <v>2.15</v>
      </c>
      <c r="E45" s="184"/>
      <c r="F45" s="185" t="str">
        <f t="shared" si="6"/>
        <v/>
      </c>
      <c r="G45" s="186">
        <v>18000.0</v>
      </c>
      <c r="H45" s="243">
        <f t="shared" si="7"/>
        <v>38700</v>
      </c>
      <c r="I45" s="188">
        <v>18000.0</v>
      </c>
      <c r="J45" s="244">
        <f t="shared" si="8"/>
        <v>38700</v>
      </c>
      <c r="K45" s="194">
        <f t="shared" si="9"/>
        <v>0</v>
      </c>
      <c r="L45" s="195">
        <f t="shared" si="10"/>
        <v>0</v>
      </c>
      <c r="M45" s="196"/>
    </row>
    <row r="46" ht="15.75" customHeight="1">
      <c r="A46" s="159">
        <v>17.0</v>
      </c>
      <c r="B46" s="217" t="s">
        <v>1234</v>
      </c>
      <c r="C46" s="332" t="s">
        <v>109</v>
      </c>
      <c r="D46" s="432">
        <v>133.9</v>
      </c>
      <c r="E46" s="184"/>
      <c r="F46" s="185" t="str">
        <f t="shared" si="6"/>
        <v/>
      </c>
      <c r="G46" s="199">
        <v>11000.0</v>
      </c>
      <c r="H46" s="243">
        <f t="shared" si="7"/>
        <v>1472900</v>
      </c>
      <c r="I46" s="188">
        <v>13000.0</v>
      </c>
      <c r="J46" s="244">
        <f t="shared" si="8"/>
        <v>1740700</v>
      </c>
      <c r="K46" s="194">
        <f t="shared" si="9"/>
        <v>267800</v>
      </c>
      <c r="L46" s="195">
        <f t="shared" si="10"/>
        <v>0.1818181818</v>
      </c>
      <c r="M46" s="192"/>
    </row>
    <row r="47" ht="15.75" customHeight="1">
      <c r="A47" s="299">
        <v>18.0</v>
      </c>
      <c r="B47" s="217" t="s">
        <v>2204</v>
      </c>
      <c r="C47" s="332" t="s">
        <v>261</v>
      </c>
      <c r="D47" s="218">
        <v>2.0</v>
      </c>
      <c r="E47" s="184"/>
      <c r="F47" s="185"/>
      <c r="G47" s="186">
        <v>264000.0</v>
      </c>
      <c r="H47" s="243">
        <f t="shared" si="7"/>
        <v>528000</v>
      </c>
      <c r="I47" s="188">
        <v>264000.0</v>
      </c>
      <c r="J47" s="244">
        <f t="shared" si="8"/>
        <v>528000</v>
      </c>
      <c r="K47" s="194">
        <f t="shared" si="9"/>
        <v>0</v>
      </c>
      <c r="L47" s="195">
        <f t="shared" si="10"/>
        <v>0</v>
      </c>
      <c r="M47" s="192"/>
    </row>
    <row r="48" ht="15.75" customHeight="1">
      <c r="A48" s="299">
        <v>19.0</v>
      </c>
      <c r="B48" s="217" t="s">
        <v>1634</v>
      </c>
      <c r="C48" s="332" t="s">
        <v>69</v>
      </c>
      <c r="D48" s="218">
        <v>400.0</v>
      </c>
      <c r="E48" s="184"/>
      <c r="F48" s="185"/>
      <c r="G48" s="199">
        <v>1650.0</v>
      </c>
      <c r="H48" s="243">
        <f t="shared" si="7"/>
        <v>660000</v>
      </c>
      <c r="I48" s="188">
        <v>2000.0</v>
      </c>
      <c r="J48" s="244">
        <f t="shared" si="8"/>
        <v>800000</v>
      </c>
      <c r="K48" s="194">
        <f t="shared" si="9"/>
        <v>140000</v>
      </c>
      <c r="L48" s="195">
        <f t="shared" si="10"/>
        <v>0.2121212121</v>
      </c>
      <c r="M48" s="192"/>
    </row>
    <row r="49" ht="15.75" customHeight="1">
      <c r="A49" s="299">
        <v>20.0</v>
      </c>
      <c r="B49" s="217" t="s">
        <v>2206</v>
      </c>
      <c r="C49" s="332" t="s">
        <v>109</v>
      </c>
      <c r="D49" s="432">
        <v>5.25</v>
      </c>
      <c r="E49" s="184"/>
      <c r="F49" s="185"/>
      <c r="G49" s="199">
        <v>22000.0</v>
      </c>
      <c r="H49" s="243">
        <f t="shared" si="7"/>
        <v>115500</v>
      </c>
      <c r="I49" s="188">
        <v>22000.0</v>
      </c>
      <c r="J49" s="244">
        <f t="shared" si="8"/>
        <v>115500</v>
      </c>
      <c r="K49" s="194">
        <f t="shared" si="9"/>
        <v>0</v>
      </c>
      <c r="L49" s="195">
        <f t="shared" si="10"/>
        <v>0</v>
      </c>
      <c r="M49" s="192"/>
    </row>
    <row r="50" ht="15.75" customHeight="1">
      <c r="A50" s="299">
        <v>21.0</v>
      </c>
      <c r="B50" s="217" t="s">
        <v>2137</v>
      </c>
      <c r="C50" s="332" t="s">
        <v>109</v>
      </c>
      <c r="D50" s="218">
        <v>1.0</v>
      </c>
      <c r="E50" s="184"/>
      <c r="F50" s="185"/>
      <c r="G50" s="186">
        <v>20000.0</v>
      </c>
      <c r="H50" s="243">
        <f t="shared" si="7"/>
        <v>20000</v>
      </c>
      <c r="I50" s="188">
        <v>20000.0</v>
      </c>
      <c r="J50" s="244">
        <f t="shared" si="8"/>
        <v>20000</v>
      </c>
      <c r="K50" s="194">
        <f t="shared" si="9"/>
        <v>0</v>
      </c>
      <c r="L50" s="195">
        <f t="shared" si="10"/>
        <v>0</v>
      </c>
      <c r="M50" s="192"/>
    </row>
    <row r="51" ht="15.75" customHeight="1">
      <c r="A51" s="299">
        <v>22.0</v>
      </c>
      <c r="B51" s="217" t="s">
        <v>2207</v>
      </c>
      <c r="C51" s="332" t="s">
        <v>109</v>
      </c>
      <c r="D51" s="218">
        <v>3.3</v>
      </c>
      <c r="E51" s="184"/>
      <c r="F51" s="185"/>
      <c r="G51" s="186">
        <v>12200.0</v>
      </c>
      <c r="H51" s="243">
        <v>40000.0</v>
      </c>
      <c r="I51" s="188">
        <v>12200.0</v>
      </c>
      <c r="J51" s="358">
        <v>40000.0</v>
      </c>
      <c r="K51" s="194">
        <f t="shared" si="9"/>
        <v>0</v>
      </c>
      <c r="L51" s="195">
        <f t="shared" si="10"/>
        <v>0</v>
      </c>
      <c r="M51" s="192"/>
    </row>
    <row r="52" ht="15.75" customHeight="1">
      <c r="A52" s="299">
        <v>23.0</v>
      </c>
      <c r="B52" s="217" t="s">
        <v>2208</v>
      </c>
      <c r="C52" s="332" t="s">
        <v>109</v>
      </c>
      <c r="D52" s="218">
        <v>5.0</v>
      </c>
      <c r="E52" s="184"/>
      <c r="F52" s="185"/>
      <c r="G52" s="186">
        <v>16000.0</v>
      </c>
      <c r="H52" s="243">
        <f>IF(G52&lt;&gt;"",D52*G52,"")</f>
        <v>80000</v>
      </c>
      <c r="I52" s="188">
        <v>16000.0</v>
      </c>
      <c r="J52" s="244">
        <f>IF(I52&lt;&gt;"",D52*I52,"")</f>
        <v>80000</v>
      </c>
      <c r="K52" s="194">
        <f t="shared" si="9"/>
        <v>0</v>
      </c>
      <c r="L52" s="195">
        <f t="shared" si="10"/>
        <v>0</v>
      </c>
      <c r="M52" s="192"/>
    </row>
    <row r="53" ht="15.75" customHeight="1">
      <c r="A53" s="299">
        <v>24.0</v>
      </c>
      <c r="B53" s="217" t="s">
        <v>2209</v>
      </c>
      <c r="C53" s="332" t="s">
        <v>109</v>
      </c>
      <c r="D53" s="218">
        <v>3.45</v>
      </c>
      <c r="E53" s="184"/>
      <c r="F53" s="185"/>
      <c r="G53" s="186">
        <v>30000.0</v>
      </c>
      <c r="H53" s="243">
        <v>90000.0</v>
      </c>
      <c r="I53" s="188">
        <v>30000.0</v>
      </c>
      <c r="J53" s="264">
        <v>90000.0</v>
      </c>
      <c r="K53" s="194">
        <f t="shared" si="9"/>
        <v>0</v>
      </c>
      <c r="L53" s="195">
        <f t="shared" si="10"/>
        <v>0</v>
      </c>
      <c r="M53" s="192"/>
    </row>
    <row r="54" ht="19.5" customHeight="1">
      <c r="A54" s="205" t="s">
        <v>1632</v>
      </c>
      <c r="B54" s="206"/>
      <c r="C54" s="206"/>
      <c r="D54" s="174"/>
      <c r="E54" s="207"/>
      <c r="F54" s="208">
        <f>SUMIF(F31:F46,"&lt;&gt;",F31:F46)</f>
        <v>0</v>
      </c>
      <c r="G54" s="207"/>
      <c r="H54" s="208">
        <f>SUMIF(H31:H53,"&lt;&gt;",H31:H53)</f>
        <v>14913000</v>
      </c>
      <c r="I54" s="209"/>
      <c r="J54" s="210">
        <f>SUMIF(J31:J53,"&lt;&gt;",J31:J53)</f>
        <v>17151800</v>
      </c>
      <c r="K54" s="211">
        <f t="shared" si="9"/>
        <v>2238800</v>
      </c>
      <c r="L54" s="212">
        <f t="shared" si="10"/>
        <v>0.1501240528</v>
      </c>
      <c r="M54" s="207"/>
    </row>
    <row r="55" ht="15.75" customHeight="1"/>
    <row r="56" ht="21.75" customHeight="1">
      <c r="A56" s="171" t="s">
        <v>1633</v>
      </c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6"/>
    </row>
    <row r="57" ht="19.5" customHeight="1">
      <c r="A57" s="172" t="s">
        <v>1509</v>
      </c>
      <c r="B57" s="172" t="s">
        <v>1510</v>
      </c>
      <c r="C57" s="172" t="s">
        <v>1511</v>
      </c>
      <c r="D57" s="172" t="s">
        <v>1614</v>
      </c>
      <c r="E57" s="173" t="s">
        <v>1615</v>
      </c>
      <c r="F57" s="174"/>
      <c r="G57" s="175" t="s">
        <v>1616</v>
      </c>
      <c r="H57" s="174"/>
      <c r="I57" s="176" t="s">
        <v>1617</v>
      </c>
      <c r="J57" s="174"/>
      <c r="K57" s="177" t="s">
        <v>1618</v>
      </c>
      <c r="L57" s="174"/>
      <c r="M57" s="172" t="s">
        <v>1619</v>
      </c>
    </row>
    <row r="58" ht="27.75" customHeight="1">
      <c r="A58" s="178" t="s">
        <v>1509</v>
      </c>
      <c r="B58" s="178" t="s">
        <v>1510</v>
      </c>
      <c r="C58" s="178" t="s">
        <v>1511</v>
      </c>
      <c r="D58" s="178" t="s">
        <v>1614</v>
      </c>
      <c r="E58" s="179" t="s">
        <v>1620</v>
      </c>
      <c r="F58" s="179" t="s">
        <v>1621</v>
      </c>
      <c r="G58" s="180" t="s">
        <v>1622</v>
      </c>
      <c r="H58" s="180" t="s">
        <v>1623</v>
      </c>
      <c r="I58" s="181" t="s">
        <v>1624</v>
      </c>
      <c r="J58" s="181" t="s">
        <v>1625</v>
      </c>
      <c r="K58" s="182" t="s">
        <v>1626</v>
      </c>
      <c r="L58" s="182" t="s">
        <v>1627</v>
      </c>
      <c r="M58" s="178" t="s">
        <v>1619</v>
      </c>
    </row>
    <row r="59" ht="15.75" customHeight="1">
      <c r="A59" s="159">
        <v>1.0</v>
      </c>
      <c r="B59" s="226" t="s">
        <v>1527</v>
      </c>
      <c r="C59" s="223" t="s">
        <v>109</v>
      </c>
      <c r="D59" s="227">
        <v>100.0</v>
      </c>
      <c r="E59" s="184"/>
      <c r="F59" s="185" t="str">
        <f t="shared" ref="F59:F73" si="11">IF(E59&lt;&gt;"",D59*E59,"")</f>
        <v/>
      </c>
      <c r="G59" s="221">
        <v>14500.0</v>
      </c>
      <c r="H59" s="187">
        <f t="shared" ref="H59:H75" si="12">IF(G59&lt;&gt;"",D59*G59,"")</f>
        <v>1450000</v>
      </c>
      <c r="I59" s="222">
        <v>15500.0</v>
      </c>
      <c r="J59" s="215">
        <f t="shared" ref="J59:J75" si="13">IF(I59&lt;&gt;"",D59*I59,"")</f>
        <v>1550000</v>
      </c>
      <c r="K59" s="190">
        <f t="shared" ref="K59:K76" si="14">IF(J59&lt;&gt;"",IF(H59&lt;&gt;"",J59-H59,IF(F59&lt;&gt;"",J59-F59,"")),"")</f>
        <v>100000</v>
      </c>
      <c r="L59" s="191">
        <f t="shared" ref="L59:L76" si="15">IF(K59&lt;&gt;"",IF(H59&lt;&gt;"",IF(H59&lt;&gt;0,K59/H59,""),IF(F59&lt;&gt;"",IF(F59&lt;&gt;0,K59/F59,""),"")),"")</f>
        <v>0.06896551724</v>
      </c>
      <c r="M59" s="192"/>
    </row>
    <row r="60" ht="15.75" customHeight="1">
      <c r="A60" s="164">
        <v>2.0</v>
      </c>
      <c r="B60" s="197" t="s">
        <v>1601</v>
      </c>
      <c r="C60" s="220" t="s">
        <v>67</v>
      </c>
      <c r="D60" s="198">
        <v>75.0</v>
      </c>
      <c r="E60" s="184"/>
      <c r="F60" s="185" t="str">
        <f t="shared" si="11"/>
        <v/>
      </c>
      <c r="G60" s="221">
        <v>12000.0</v>
      </c>
      <c r="H60" s="187">
        <f t="shared" si="12"/>
        <v>900000</v>
      </c>
      <c r="I60" s="222">
        <v>13000.0</v>
      </c>
      <c r="J60" s="215">
        <f t="shared" si="13"/>
        <v>975000</v>
      </c>
      <c r="K60" s="194">
        <f t="shared" si="14"/>
        <v>75000</v>
      </c>
      <c r="L60" s="195">
        <f t="shared" si="15"/>
        <v>0.08333333333</v>
      </c>
      <c r="M60" s="196"/>
    </row>
    <row r="61" ht="15.75" customHeight="1">
      <c r="A61" s="159">
        <v>3.0</v>
      </c>
      <c r="B61" s="226" t="s">
        <v>1605</v>
      </c>
      <c r="C61" s="223" t="s">
        <v>1724</v>
      </c>
      <c r="D61" s="227">
        <v>25.0</v>
      </c>
      <c r="E61" s="184"/>
      <c r="F61" s="185" t="str">
        <f t="shared" si="11"/>
        <v/>
      </c>
      <c r="G61" s="221">
        <v>11500.0</v>
      </c>
      <c r="H61" s="187">
        <f t="shared" si="12"/>
        <v>287500</v>
      </c>
      <c r="I61" s="222">
        <v>12000.0</v>
      </c>
      <c r="J61" s="215">
        <f t="shared" si="13"/>
        <v>300000</v>
      </c>
      <c r="K61" s="190">
        <f t="shared" si="14"/>
        <v>12500</v>
      </c>
      <c r="L61" s="191">
        <f t="shared" si="15"/>
        <v>0.04347826087</v>
      </c>
      <c r="M61" s="192"/>
    </row>
    <row r="62" ht="15.75" customHeight="1">
      <c r="A62" s="164">
        <v>4.0</v>
      </c>
      <c r="B62" s="197" t="s">
        <v>2204</v>
      </c>
      <c r="C62" s="220" t="s">
        <v>261</v>
      </c>
      <c r="D62" s="198">
        <v>2.0</v>
      </c>
      <c r="E62" s="184"/>
      <c r="F62" s="185" t="str">
        <f t="shared" si="11"/>
        <v/>
      </c>
      <c r="G62" s="221">
        <v>264000.0</v>
      </c>
      <c r="H62" s="187">
        <f t="shared" si="12"/>
        <v>528000</v>
      </c>
      <c r="I62" s="222">
        <v>264000.0</v>
      </c>
      <c r="J62" s="215">
        <f t="shared" si="13"/>
        <v>528000</v>
      </c>
      <c r="K62" s="194">
        <f t="shared" si="14"/>
        <v>0</v>
      </c>
      <c r="L62" s="195">
        <f t="shared" si="15"/>
        <v>0</v>
      </c>
      <c r="M62" s="196"/>
    </row>
    <row r="63" ht="15.75" customHeight="1">
      <c r="A63" s="159">
        <v>5.0</v>
      </c>
      <c r="B63" s="226" t="s">
        <v>1934</v>
      </c>
      <c r="C63" s="223" t="s">
        <v>109</v>
      </c>
      <c r="D63" s="227">
        <v>2.0</v>
      </c>
      <c r="E63" s="184"/>
      <c r="F63" s="185" t="str">
        <f t="shared" si="11"/>
        <v/>
      </c>
      <c r="G63" s="221">
        <v>32000.0</v>
      </c>
      <c r="H63" s="187">
        <f t="shared" si="12"/>
        <v>64000</v>
      </c>
      <c r="I63" s="222">
        <v>36000.0</v>
      </c>
      <c r="J63" s="215">
        <f t="shared" si="13"/>
        <v>72000</v>
      </c>
      <c r="K63" s="190">
        <f t="shared" si="14"/>
        <v>8000</v>
      </c>
      <c r="L63" s="191">
        <f t="shared" si="15"/>
        <v>0.125</v>
      </c>
      <c r="M63" s="192"/>
    </row>
    <row r="64" ht="15.75" customHeight="1">
      <c r="A64" s="164">
        <v>6.0</v>
      </c>
      <c r="B64" s="197" t="s">
        <v>2210</v>
      </c>
      <c r="C64" s="223" t="s">
        <v>109</v>
      </c>
      <c r="D64" s="198">
        <v>2.1</v>
      </c>
      <c r="E64" s="184"/>
      <c r="F64" s="185" t="str">
        <f t="shared" si="11"/>
        <v/>
      </c>
      <c r="G64" s="221">
        <v>30000.0</v>
      </c>
      <c r="H64" s="187">
        <f t="shared" si="12"/>
        <v>63000</v>
      </c>
      <c r="I64" s="222">
        <v>32000.0</v>
      </c>
      <c r="J64" s="215">
        <f t="shared" si="13"/>
        <v>67200</v>
      </c>
      <c r="K64" s="194">
        <f t="shared" si="14"/>
        <v>4200</v>
      </c>
      <c r="L64" s="195">
        <f t="shared" si="15"/>
        <v>0.06666666667</v>
      </c>
      <c r="M64" s="196"/>
    </row>
    <row r="65" ht="15.75" customHeight="1">
      <c r="A65" s="159">
        <v>7.0</v>
      </c>
      <c r="B65" s="226" t="s">
        <v>1935</v>
      </c>
      <c r="C65" s="223" t="s">
        <v>109</v>
      </c>
      <c r="D65" s="227">
        <v>1.05</v>
      </c>
      <c r="E65" s="184"/>
      <c r="F65" s="185" t="str">
        <f t="shared" si="11"/>
        <v/>
      </c>
      <c r="G65" s="221">
        <v>30000.0</v>
      </c>
      <c r="H65" s="187">
        <f t="shared" si="12"/>
        <v>31500</v>
      </c>
      <c r="I65" s="222">
        <v>38000.0</v>
      </c>
      <c r="J65" s="215">
        <f t="shared" si="13"/>
        <v>39900</v>
      </c>
      <c r="K65" s="190">
        <f t="shared" si="14"/>
        <v>8400</v>
      </c>
      <c r="L65" s="191">
        <f t="shared" si="15"/>
        <v>0.2666666667</v>
      </c>
      <c r="M65" s="192"/>
    </row>
    <row r="66" ht="15.75" customHeight="1">
      <c r="A66" s="164">
        <v>8.0</v>
      </c>
      <c r="B66" s="197" t="s">
        <v>1566</v>
      </c>
      <c r="C66" s="223" t="s">
        <v>109</v>
      </c>
      <c r="D66" s="198">
        <v>1.0</v>
      </c>
      <c r="E66" s="184"/>
      <c r="F66" s="185" t="str">
        <f t="shared" si="11"/>
        <v/>
      </c>
      <c r="G66" s="221">
        <v>94000.0</v>
      </c>
      <c r="H66" s="187">
        <f t="shared" si="12"/>
        <v>94000</v>
      </c>
      <c r="I66" s="222">
        <v>95000.0</v>
      </c>
      <c r="J66" s="215">
        <f t="shared" si="13"/>
        <v>95000</v>
      </c>
      <c r="K66" s="194">
        <f t="shared" si="14"/>
        <v>1000</v>
      </c>
      <c r="L66" s="195">
        <f t="shared" si="15"/>
        <v>0.01063829787</v>
      </c>
      <c r="M66" s="196"/>
    </row>
    <row r="67" ht="15.75" customHeight="1">
      <c r="A67" s="159">
        <v>9.0</v>
      </c>
      <c r="B67" s="226" t="s">
        <v>2211</v>
      </c>
      <c r="C67" s="223" t="s">
        <v>109</v>
      </c>
      <c r="D67" s="227">
        <v>35.0</v>
      </c>
      <c r="E67" s="184"/>
      <c r="F67" s="185" t="str">
        <f t="shared" si="11"/>
        <v/>
      </c>
      <c r="G67" s="221">
        <v>42000.0</v>
      </c>
      <c r="H67" s="187">
        <f t="shared" si="12"/>
        <v>1470000</v>
      </c>
      <c r="I67" s="222">
        <v>47000.0</v>
      </c>
      <c r="J67" s="215">
        <f t="shared" si="13"/>
        <v>1645000</v>
      </c>
      <c r="K67" s="190">
        <f t="shared" si="14"/>
        <v>175000</v>
      </c>
      <c r="L67" s="191">
        <f t="shared" si="15"/>
        <v>0.119047619</v>
      </c>
      <c r="M67" s="192"/>
    </row>
    <row r="68" ht="15.75" customHeight="1">
      <c r="A68" s="164">
        <v>10.0</v>
      </c>
      <c r="B68" s="197" t="s">
        <v>1609</v>
      </c>
      <c r="C68" s="223" t="s">
        <v>109</v>
      </c>
      <c r="D68" s="198">
        <v>6.85</v>
      </c>
      <c r="E68" s="184"/>
      <c r="F68" s="185" t="str">
        <f t="shared" si="11"/>
        <v/>
      </c>
      <c r="G68" s="221">
        <v>9000.0</v>
      </c>
      <c r="H68" s="187">
        <f t="shared" si="12"/>
        <v>61650</v>
      </c>
      <c r="I68" s="222">
        <v>12000.0</v>
      </c>
      <c r="J68" s="215">
        <f t="shared" si="13"/>
        <v>82200</v>
      </c>
      <c r="K68" s="194">
        <f t="shared" si="14"/>
        <v>20550</v>
      </c>
      <c r="L68" s="195">
        <f t="shared" si="15"/>
        <v>0.3333333333</v>
      </c>
      <c r="M68" s="196"/>
    </row>
    <row r="69" ht="15.75" customHeight="1">
      <c r="A69" s="159">
        <v>11.0</v>
      </c>
      <c r="B69" s="226" t="s">
        <v>1838</v>
      </c>
      <c r="C69" s="223" t="s">
        <v>109</v>
      </c>
      <c r="D69" s="227">
        <v>80.0</v>
      </c>
      <c r="E69" s="184"/>
      <c r="F69" s="185" t="str">
        <f t="shared" si="11"/>
        <v/>
      </c>
      <c r="G69" s="221">
        <v>46500.0</v>
      </c>
      <c r="H69" s="187">
        <f t="shared" si="12"/>
        <v>3720000</v>
      </c>
      <c r="I69" s="222">
        <v>48000.0</v>
      </c>
      <c r="J69" s="215">
        <f t="shared" si="13"/>
        <v>3840000</v>
      </c>
      <c r="K69" s="190">
        <f t="shared" si="14"/>
        <v>120000</v>
      </c>
      <c r="L69" s="191">
        <f t="shared" si="15"/>
        <v>0.03225806452</v>
      </c>
      <c r="M69" s="192"/>
    </row>
    <row r="70" ht="15.75" customHeight="1">
      <c r="A70" s="164">
        <v>12.0</v>
      </c>
      <c r="B70" s="197" t="s">
        <v>2212</v>
      </c>
      <c r="C70" s="223" t="s">
        <v>109</v>
      </c>
      <c r="D70" s="198">
        <v>12.0</v>
      </c>
      <c r="E70" s="184"/>
      <c r="F70" s="185" t="str">
        <f t="shared" si="11"/>
        <v/>
      </c>
      <c r="G70" s="221">
        <v>22000.0</v>
      </c>
      <c r="H70" s="187">
        <f t="shared" si="12"/>
        <v>264000</v>
      </c>
      <c r="I70" s="222">
        <v>24000.0</v>
      </c>
      <c r="J70" s="215">
        <f t="shared" si="13"/>
        <v>288000</v>
      </c>
      <c r="K70" s="194">
        <f t="shared" si="14"/>
        <v>24000</v>
      </c>
      <c r="L70" s="195">
        <f t="shared" si="15"/>
        <v>0.09090909091</v>
      </c>
      <c r="M70" s="196"/>
    </row>
    <row r="71" ht="15.75" customHeight="1">
      <c r="A71" s="159">
        <v>13.0</v>
      </c>
      <c r="B71" s="226" t="s">
        <v>2124</v>
      </c>
      <c r="C71" s="223" t="s">
        <v>109</v>
      </c>
      <c r="D71" s="227">
        <v>94.05</v>
      </c>
      <c r="E71" s="184"/>
      <c r="F71" s="185" t="str">
        <f t="shared" si="11"/>
        <v/>
      </c>
      <c r="G71" s="221">
        <v>65000.0</v>
      </c>
      <c r="H71" s="187">
        <f t="shared" si="12"/>
        <v>6113250</v>
      </c>
      <c r="I71" s="222">
        <v>65000.0</v>
      </c>
      <c r="J71" s="215">
        <f t="shared" si="13"/>
        <v>6113250</v>
      </c>
      <c r="K71" s="190">
        <f t="shared" si="14"/>
        <v>0</v>
      </c>
      <c r="L71" s="191">
        <f t="shared" si="15"/>
        <v>0</v>
      </c>
      <c r="M71" s="192"/>
    </row>
    <row r="72" ht="15.75" customHeight="1">
      <c r="A72" s="164">
        <v>14.0</v>
      </c>
      <c r="B72" s="197" t="s">
        <v>1223</v>
      </c>
      <c r="C72" s="223" t="s">
        <v>109</v>
      </c>
      <c r="D72" s="198">
        <v>19.9</v>
      </c>
      <c r="E72" s="184"/>
      <c r="F72" s="185" t="str">
        <f t="shared" si="11"/>
        <v/>
      </c>
      <c r="G72" s="221">
        <v>23000.0</v>
      </c>
      <c r="H72" s="187">
        <f t="shared" si="12"/>
        <v>457700</v>
      </c>
      <c r="I72" s="222">
        <v>23000.0</v>
      </c>
      <c r="J72" s="215">
        <f t="shared" si="13"/>
        <v>457700</v>
      </c>
      <c r="K72" s="194">
        <f t="shared" si="14"/>
        <v>0</v>
      </c>
      <c r="L72" s="195">
        <f t="shared" si="15"/>
        <v>0</v>
      </c>
      <c r="M72" s="196"/>
    </row>
    <row r="73" ht="15.75" customHeight="1">
      <c r="A73" s="159">
        <v>15.0</v>
      </c>
      <c r="B73" s="226" t="s">
        <v>2025</v>
      </c>
      <c r="C73" s="223" t="s">
        <v>109</v>
      </c>
      <c r="D73" s="227">
        <v>81.05</v>
      </c>
      <c r="E73" s="184"/>
      <c r="F73" s="185" t="str">
        <f t="shared" si="11"/>
        <v/>
      </c>
      <c r="G73" s="221">
        <v>24000.0</v>
      </c>
      <c r="H73" s="187">
        <f t="shared" si="12"/>
        <v>1945200</v>
      </c>
      <c r="I73" s="222">
        <v>26000.0</v>
      </c>
      <c r="J73" s="215">
        <f t="shared" si="13"/>
        <v>2107300</v>
      </c>
      <c r="K73" s="190">
        <f t="shared" si="14"/>
        <v>162100</v>
      </c>
      <c r="L73" s="191">
        <f t="shared" si="15"/>
        <v>0.08333333333</v>
      </c>
      <c r="M73" s="192"/>
    </row>
    <row r="74" ht="15.75" customHeight="1">
      <c r="A74" s="299">
        <v>16.0</v>
      </c>
      <c r="B74" s="401" t="s">
        <v>2213</v>
      </c>
      <c r="C74" s="299" t="s">
        <v>109</v>
      </c>
      <c r="D74" s="402">
        <v>10.0</v>
      </c>
      <c r="E74" s="184"/>
      <c r="F74" s="185"/>
      <c r="G74" s="221">
        <v>15500.0</v>
      </c>
      <c r="H74" s="187">
        <f t="shared" si="12"/>
        <v>155000</v>
      </c>
      <c r="I74" s="222">
        <v>15500.0</v>
      </c>
      <c r="J74" s="215">
        <f t="shared" si="13"/>
        <v>155000</v>
      </c>
      <c r="K74" s="190">
        <f t="shared" si="14"/>
        <v>0</v>
      </c>
      <c r="L74" s="191">
        <f t="shared" si="15"/>
        <v>0</v>
      </c>
      <c r="M74" s="192"/>
    </row>
    <row r="75" ht="15.75" customHeight="1">
      <c r="A75" s="299">
        <v>17.0</v>
      </c>
      <c r="B75" s="401" t="s">
        <v>2137</v>
      </c>
      <c r="C75" s="299" t="s">
        <v>1390</v>
      </c>
      <c r="D75" s="402">
        <v>2.0</v>
      </c>
      <c r="E75" s="184"/>
      <c r="F75" s="185"/>
      <c r="G75" s="221">
        <v>3000.0</v>
      </c>
      <c r="H75" s="187">
        <f t="shared" si="12"/>
        <v>6000</v>
      </c>
      <c r="I75" s="222">
        <v>3000.0</v>
      </c>
      <c r="J75" s="219">
        <f t="shared" si="13"/>
        <v>6000</v>
      </c>
      <c r="K75" s="190">
        <f t="shared" si="14"/>
        <v>0</v>
      </c>
      <c r="L75" s="191">
        <f t="shared" si="15"/>
        <v>0</v>
      </c>
      <c r="M75" s="192"/>
    </row>
    <row r="76" ht="19.5" customHeight="1">
      <c r="A76" s="205" t="s">
        <v>1635</v>
      </c>
      <c r="B76" s="206"/>
      <c r="C76" s="206"/>
      <c r="D76" s="174"/>
      <c r="E76" s="207"/>
      <c r="F76" s="208">
        <f>SUMIF(F59:F75,"&lt;&gt;",F59:F75)</f>
        <v>0</v>
      </c>
      <c r="G76" s="207"/>
      <c r="H76" s="208">
        <f>SUMIF(H59:H75,"&lt;&gt;",H59:H75)</f>
        <v>17610800</v>
      </c>
      <c r="I76" s="209"/>
      <c r="J76" s="210">
        <f>SUMIF(J59:J75,"&lt;&gt;",J59:J75)</f>
        <v>18321550</v>
      </c>
      <c r="K76" s="211">
        <f t="shared" si="14"/>
        <v>710750</v>
      </c>
      <c r="L76" s="212">
        <f t="shared" si="15"/>
        <v>0.04035875713</v>
      </c>
      <c r="M76" s="207"/>
    </row>
    <row r="77" ht="15.75" customHeight="1"/>
    <row r="78" ht="15.75" customHeight="1"/>
    <row r="79" ht="15.75" customHeight="1">
      <c r="A79" s="225" t="s">
        <v>1876</v>
      </c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6"/>
    </row>
    <row r="80" ht="15.75" customHeight="1">
      <c r="A80" s="172" t="s">
        <v>1509</v>
      </c>
      <c r="B80" s="172" t="s">
        <v>1510</v>
      </c>
      <c r="C80" s="172" t="s">
        <v>1511</v>
      </c>
      <c r="D80" s="172" t="s">
        <v>1614</v>
      </c>
      <c r="E80" s="173" t="s">
        <v>1615</v>
      </c>
      <c r="F80" s="174"/>
      <c r="G80" s="175" t="s">
        <v>1616</v>
      </c>
      <c r="H80" s="174"/>
      <c r="I80" s="176" t="s">
        <v>1617</v>
      </c>
      <c r="J80" s="174"/>
      <c r="K80" s="177" t="s">
        <v>1618</v>
      </c>
      <c r="L80" s="174"/>
      <c r="M80" s="172" t="s">
        <v>1619</v>
      </c>
    </row>
    <row r="81" ht="15.75" customHeight="1">
      <c r="A81" s="178" t="s">
        <v>1509</v>
      </c>
      <c r="B81" s="178" t="s">
        <v>1510</v>
      </c>
      <c r="C81" s="178" t="s">
        <v>1511</v>
      </c>
      <c r="D81" s="178" t="s">
        <v>1614</v>
      </c>
      <c r="E81" s="179" t="s">
        <v>1620</v>
      </c>
      <c r="F81" s="179" t="s">
        <v>1621</v>
      </c>
      <c r="G81" s="180" t="s">
        <v>1622</v>
      </c>
      <c r="H81" s="180" t="s">
        <v>1623</v>
      </c>
      <c r="I81" s="181" t="s">
        <v>1624</v>
      </c>
      <c r="J81" s="181" t="s">
        <v>1625</v>
      </c>
      <c r="K81" s="182" t="s">
        <v>1626</v>
      </c>
      <c r="L81" s="182" t="s">
        <v>1627</v>
      </c>
      <c r="M81" s="178" t="s">
        <v>1619</v>
      </c>
    </row>
    <row r="82" ht="15.75" customHeight="1">
      <c r="A82" s="159">
        <v>1.0</v>
      </c>
      <c r="B82" s="226" t="s">
        <v>1527</v>
      </c>
      <c r="C82" s="223" t="s">
        <v>109</v>
      </c>
      <c r="D82" s="227">
        <v>125.0</v>
      </c>
      <c r="E82" s="184"/>
      <c r="F82" s="185" t="str">
        <f t="shared" ref="F82:F96" si="16">IF(E82&lt;&gt;"",D82*E82,"")</f>
        <v/>
      </c>
      <c r="G82" s="221">
        <v>14500.0</v>
      </c>
      <c r="H82" s="187">
        <f t="shared" ref="H82:H96" si="17">IF(G82&lt;&gt;"",D82*G82,"")</f>
        <v>1812500</v>
      </c>
      <c r="I82" s="222">
        <v>15500.0</v>
      </c>
      <c r="J82" s="215">
        <f t="shared" ref="J82:J96" si="18">IF(I82&lt;&gt;"",D82*I82,"")</f>
        <v>1937500</v>
      </c>
      <c r="K82" s="190">
        <f t="shared" ref="K82:K97" si="19">IF(J82&lt;&gt;"",IF(H82&lt;&gt;"",J82-H82,IF(F82&lt;&gt;"",J82-F82,"")),"")</f>
        <v>125000</v>
      </c>
      <c r="L82" s="191">
        <f t="shared" ref="L82:L97" si="20">IF(K82&lt;&gt;"",IF(H82&lt;&gt;"",IF(H82&lt;&gt;0,K82/H82,""),IF(F82&lt;&gt;"",IF(F82&lt;&gt;0,K82/F82,""),"")),"")</f>
        <v>0.06896551724</v>
      </c>
      <c r="M82" s="192"/>
    </row>
    <row r="83" ht="15.75" customHeight="1">
      <c r="A83" s="164">
        <v>2.0</v>
      </c>
      <c r="B83" s="197" t="s">
        <v>1600</v>
      </c>
      <c r="C83" s="220" t="s">
        <v>67</v>
      </c>
      <c r="D83" s="198">
        <v>141.05</v>
      </c>
      <c r="E83" s="184"/>
      <c r="F83" s="185" t="str">
        <f t="shared" si="16"/>
        <v/>
      </c>
      <c r="G83" s="221">
        <v>25500.0</v>
      </c>
      <c r="H83" s="187">
        <f t="shared" si="17"/>
        <v>3596775</v>
      </c>
      <c r="I83" s="222">
        <v>28000.0</v>
      </c>
      <c r="J83" s="215">
        <f t="shared" si="18"/>
        <v>3949400</v>
      </c>
      <c r="K83" s="194">
        <f t="shared" si="19"/>
        <v>352625</v>
      </c>
      <c r="L83" s="195">
        <f t="shared" si="20"/>
        <v>0.09803921569</v>
      </c>
      <c r="M83" s="196"/>
    </row>
    <row r="84" ht="15.75" customHeight="1">
      <c r="A84" s="159">
        <v>3.0</v>
      </c>
      <c r="B84" s="226" t="s">
        <v>1934</v>
      </c>
      <c r="C84" s="223" t="s">
        <v>1724</v>
      </c>
      <c r="D84" s="227">
        <v>2.1</v>
      </c>
      <c r="E84" s="184"/>
      <c r="F84" s="185" t="str">
        <f t="shared" si="16"/>
        <v/>
      </c>
      <c r="G84" s="221">
        <v>32000.0</v>
      </c>
      <c r="H84" s="187">
        <f t="shared" si="17"/>
        <v>67200</v>
      </c>
      <c r="I84" s="222">
        <v>36000.0</v>
      </c>
      <c r="J84" s="215">
        <f t="shared" si="18"/>
        <v>75600</v>
      </c>
      <c r="K84" s="190">
        <f t="shared" si="19"/>
        <v>8400</v>
      </c>
      <c r="L84" s="191">
        <f t="shared" si="20"/>
        <v>0.125</v>
      </c>
      <c r="M84" s="192"/>
    </row>
    <row r="85" ht="15.75" customHeight="1">
      <c r="A85" s="164">
        <v>4.0</v>
      </c>
      <c r="B85" s="197" t="s">
        <v>1935</v>
      </c>
      <c r="C85" s="220" t="s">
        <v>261</v>
      </c>
      <c r="D85" s="198">
        <v>2.0</v>
      </c>
      <c r="E85" s="184"/>
      <c r="F85" s="185" t="str">
        <f t="shared" si="16"/>
        <v/>
      </c>
      <c r="G85" s="221">
        <v>30000.0</v>
      </c>
      <c r="H85" s="187">
        <f t="shared" si="17"/>
        <v>60000</v>
      </c>
      <c r="I85" s="222">
        <v>38000.0</v>
      </c>
      <c r="J85" s="215">
        <f t="shared" si="18"/>
        <v>76000</v>
      </c>
      <c r="K85" s="194">
        <f t="shared" si="19"/>
        <v>16000</v>
      </c>
      <c r="L85" s="195">
        <f t="shared" si="20"/>
        <v>0.2666666667</v>
      </c>
      <c r="M85" s="196"/>
    </row>
    <row r="86" ht="15.75" customHeight="1">
      <c r="A86" s="159">
        <v>5.0</v>
      </c>
      <c r="B86" s="226" t="s">
        <v>1637</v>
      </c>
      <c r="C86" s="223" t="s">
        <v>109</v>
      </c>
      <c r="D86" s="227">
        <v>2.0</v>
      </c>
      <c r="E86" s="184"/>
      <c r="F86" s="185" t="str">
        <f t="shared" si="16"/>
        <v/>
      </c>
      <c r="G86" s="221">
        <v>18000.0</v>
      </c>
      <c r="H86" s="187">
        <f t="shared" si="17"/>
        <v>36000</v>
      </c>
      <c r="I86" s="222">
        <v>18000.0</v>
      </c>
      <c r="J86" s="215">
        <f t="shared" si="18"/>
        <v>36000</v>
      </c>
      <c r="K86" s="190">
        <f t="shared" si="19"/>
        <v>0</v>
      </c>
      <c r="L86" s="191">
        <f t="shared" si="20"/>
        <v>0</v>
      </c>
      <c r="M86" s="192"/>
    </row>
    <row r="87" ht="15.75" customHeight="1">
      <c r="A87" s="164">
        <v>6.0</v>
      </c>
      <c r="B87" s="197" t="s">
        <v>1522</v>
      </c>
      <c r="C87" s="223" t="s">
        <v>109</v>
      </c>
      <c r="D87" s="198">
        <v>2.05</v>
      </c>
      <c r="E87" s="184"/>
      <c r="F87" s="185" t="str">
        <f t="shared" si="16"/>
        <v/>
      </c>
      <c r="G87" s="221">
        <v>28000.0</v>
      </c>
      <c r="H87" s="187">
        <f t="shared" si="17"/>
        <v>57400</v>
      </c>
      <c r="I87" s="222">
        <v>35000.0</v>
      </c>
      <c r="J87" s="215">
        <f t="shared" si="18"/>
        <v>71750</v>
      </c>
      <c r="K87" s="194">
        <f t="shared" si="19"/>
        <v>14350</v>
      </c>
      <c r="L87" s="195">
        <f t="shared" si="20"/>
        <v>0.25</v>
      </c>
      <c r="M87" s="196"/>
    </row>
    <row r="88" ht="15.75" customHeight="1">
      <c r="A88" s="159">
        <v>7.0</v>
      </c>
      <c r="B88" s="226" t="s">
        <v>1534</v>
      </c>
      <c r="C88" s="223" t="s">
        <v>109</v>
      </c>
      <c r="D88" s="227">
        <v>30.25</v>
      </c>
      <c r="E88" s="184"/>
      <c r="F88" s="185" t="str">
        <f t="shared" si="16"/>
        <v/>
      </c>
      <c r="G88" s="221">
        <v>17000.0</v>
      </c>
      <c r="H88" s="187">
        <f t="shared" si="17"/>
        <v>514250</v>
      </c>
      <c r="I88" s="222">
        <v>20000.0</v>
      </c>
      <c r="J88" s="215">
        <f t="shared" si="18"/>
        <v>605000</v>
      </c>
      <c r="K88" s="190">
        <f t="shared" si="19"/>
        <v>90750</v>
      </c>
      <c r="L88" s="191">
        <f t="shared" si="20"/>
        <v>0.1764705882</v>
      </c>
      <c r="M88" s="192"/>
    </row>
    <row r="89" ht="15.75" customHeight="1">
      <c r="A89" s="164">
        <v>8.0</v>
      </c>
      <c r="B89" s="197" t="s">
        <v>1609</v>
      </c>
      <c r="C89" s="223" t="s">
        <v>109</v>
      </c>
      <c r="D89" s="198">
        <v>40.4</v>
      </c>
      <c r="E89" s="184"/>
      <c r="F89" s="185" t="str">
        <f t="shared" si="16"/>
        <v/>
      </c>
      <c r="G89" s="221">
        <v>16000.0</v>
      </c>
      <c r="H89" s="187">
        <f t="shared" si="17"/>
        <v>646400</v>
      </c>
      <c r="I89" s="222">
        <v>16000.0</v>
      </c>
      <c r="J89" s="215">
        <f t="shared" si="18"/>
        <v>646400</v>
      </c>
      <c r="K89" s="194">
        <f t="shared" si="19"/>
        <v>0</v>
      </c>
      <c r="L89" s="195">
        <f t="shared" si="20"/>
        <v>0</v>
      </c>
      <c r="M89" s="196"/>
    </row>
    <row r="90" ht="15.75" customHeight="1">
      <c r="A90" s="159">
        <v>9.0</v>
      </c>
      <c r="B90" s="226" t="s">
        <v>1818</v>
      </c>
      <c r="C90" s="223" t="s">
        <v>109</v>
      </c>
      <c r="D90" s="227">
        <v>2.0</v>
      </c>
      <c r="E90" s="184"/>
      <c r="F90" s="185" t="str">
        <f t="shared" si="16"/>
        <v/>
      </c>
      <c r="G90" s="221">
        <v>24000.0</v>
      </c>
      <c r="H90" s="187">
        <f t="shared" si="17"/>
        <v>48000</v>
      </c>
      <c r="I90" s="222">
        <v>24000.0</v>
      </c>
      <c r="J90" s="215">
        <f t="shared" si="18"/>
        <v>48000</v>
      </c>
      <c r="K90" s="190">
        <f t="shared" si="19"/>
        <v>0</v>
      </c>
      <c r="L90" s="191">
        <f t="shared" si="20"/>
        <v>0</v>
      </c>
      <c r="M90" s="192"/>
    </row>
    <row r="91" ht="15.75" customHeight="1">
      <c r="A91" s="164">
        <v>10.0</v>
      </c>
      <c r="B91" s="197" t="s">
        <v>1655</v>
      </c>
      <c r="C91" s="223" t="s">
        <v>109</v>
      </c>
      <c r="D91" s="198">
        <v>6.8</v>
      </c>
      <c r="E91" s="184"/>
      <c r="F91" s="185" t="str">
        <f t="shared" si="16"/>
        <v/>
      </c>
      <c r="G91" s="221">
        <v>18500.0</v>
      </c>
      <c r="H91" s="187">
        <f t="shared" si="17"/>
        <v>125800</v>
      </c>
      <c r="I91" s="222">
        <v>19000.0</v>
      </c>
      <c r="J91" s="215">
        <f t="shared" si="18"/>
        <v>129200</v>
      </c>
      <c r="K91" s="194">
        <f t="shared" si="19"/>
        <v>3400</v>
      </c>
      <c r="L91" s="195">
        <f t="shared" si="20"/>
        <v>0.02702702703</v>
      </c>
      <c r="M91" s="196"/>
    </row>
    <row r="92" ht="15.75" customHeight="1">
      <c r="A92" s="159">
        <v>11.0</v>
      </c>
      <c r="B92" s="226" t="s">
        <v>2214</v>
      </c>
      <c r="C92" s="223" t="s">
        <v>109</v>
      </c>
      <c r="D92" s="227">
        <v>2.0</v>
      </c>
      <c r="E92" s="184"/>
      <c r="F92" s="185" t="str">
        <f t="shared" si="16"/>
        <v/>
      </c>
      <c r="G92" s="221">
        <v>258000.0</v>
      </c>
      <c r="H92" s="187">
        <f t="shared" si="17"/>
        <v>516000</v>
      </c>
      <c r="I92" s="222">
        <v>260000.0</v>
      </c>
      <c r="J92" s="215">
        <f t="shared" si="18"/>
        <v>520000</v>
      </c>
      <c r="K92" s="190">
        <f t="shared" si="19"/>
        <v>4000</v>
      </c>
      <c r="L92" s="191">
        <f t="shared" si="20"/>
        <v>0.007751937984</v>
      </c>
      <c r="M92" s="192"/>
    </row>
    <row r="93" ht="15.75" customHeight="1">
      <c r="A93" s="164">
        <v>12.0</v>
      </c>
      <c r="B93" s="197" t="s">
        <v>2215</v>
      </c>
      <c r="C93" s="223" t="s">
        <v>109</v>
      </c>
      <c r="D93" s="198">
        <v>97.15</v>
      </c>
      <c r="E93" s="184"/>
      <c r="F93" s="185" t="str">
        <f t="shared" si="16"/>
        <v/>
      </c>
      <c r="G93" s="221">
        <v>70000.0</v>
      </c>
      <c r="H93" s="187">
        <f t="shared" si="17"/>
        <v>6800500</v>
      </c>
      <c r="I93" s="222">
        <v>74000.0</v>
      </c>
      <c r="J93" s="215">
        <f t="shared" si="18"/>
        <v>7189100</v>
      </c>
      <c r="K93" s="194">
        <f t="shared" si="19"/>
        <v>388600</v>
      </c>
      <c r="L93" s="195">
        <f t="shared" si="20"/>
        <v>0.05714285714</v>
      </c>
      <c r="M93" s="196"/>
    </row>
    <row r="94" ht="15.75" customHeight="1">
      <c r="A94" s="159">
        <v>13.0</v>
      </c>
      <c r="B94" s="226" t="s">
        <v>1543</v>
      </c>
      <c r="C94" s="223" t="s">
        <v>1390</v>
      </c>
      <c r="D94" s="227">
        <v>20.0</v>
      </c>
      <c r="E94" s="184"/>
      <c r="F94" s="185" t="str">
        <f t="shared" si="16"/>
        <v/>
      </c>
      <c r="G94" s="221">
        <v>2250.0</v>
      </c>
      <c r="H94" s="187">
        <f t="shared" si="17"/>
        <v>45000</v>
      </c>
      <c r="I94" s="222">
        <v>2500.0</v>
      </c>
      <c r="J94" s="215">
        <f t="shared" si="18"/>
        <v>50000</v>
      </c>
      <c r="K94" s="190">
        <f t="shared" si="19"/>
        <v>5000</v>
      </c>
      <c r="L94" s="191">
        <f t="shared" si="20"/>
        <v>0.1111111111</v>
      </c>
      <c r="M94" s="192"/>
    </row>
    <row r="95" ht="15.75" customHeight="1">
      <c r="A95" s="164">
        <v>14.0</v>
      </c>
      <c r="B95" s="197" t="s">
        <v>2216</v>
      </c>
      <c r="C95" s="223" t="s">
        <v>109</v>
      </c>
      <c r="D95" s="198">
        <v>2.0</v>
      </c>
      <c r="E95" s="184"/>
      <c r="F95" s="185" t="str">
        <f t="shared" si="16"/>
        <v/>
      </c>
      <c r="G95" s="221">
        <v>75500.0</v>
      </c>
      <c r="H95" s="187">
        <f t="shared" si="17"/>
        <v>151000</v>
      </c>
      <c r="I95" s="222">
        <v>75500.0</v>
      </c>
      <c r="J95" s="215">
        <f t="shared" si="18"/>
        <v>151000</v>
      </c>
      <c r="K95" s="194">
        <f t="shared" si="19"/>
        <v>0</v>
      </c>
      <c r="L95" s="195">
        <f t="shared" si="20"/>
        <v>0</v>
      </c>
      <c r="M95" s="196"/>
    </row>
    <row r="96" ht="15.75" customHeight="1">
      <c r="A96" s="159">
        <v>15.0</v>
      </c>
      <c r="B96" s="226" t="s">
        <v>2217</v>
      </c>
      <c r="C96" s="223" t="s">
        <v>109</v>
      </c>
      <c r="D96" s="227">
        <v>200.0</v>
      </c>
      <c r="E96" s="184"/>
      <c r="F96" s="185" t="str">
        <f t="shared" si="16"/>
        <v/>
      </c>
      <c r="G96" s="221">
        <v>700.0</v>
      </c>
      <c r="H96" s="187">
        <f t="shared" si="17"/>
        <v>140000</v>
      </c>
      <c r="I96" s="222">
        <v>700.0</v>
      </c>
      <c r="J96" s="219">
        <f t="shared" si="18"/>
        <v>140000</v>
      </c>
      <c r="K96" s="190">
        <f t="shared" si="19"/>
        <v>0</v>
      </c>
      <c r="L96" s="191">
        <f t="shared" si="20"/>
        <v>0</v>
      </c>
      <c r="M96" s="192"/>
    </row>
    <row r="97" ht="15.75" customHeight="1">
      <c r="A97" s="300" t="s">
        <v>1937</v>
      </c>
      <c r="B97" s="206"/>
      <c r="C97" s="206"/>
      <c r="D97" s="174"/>
      <c r="E97" s="207"/>
      <c r="F97" s="208">
        <f>SUMIF(F82:F96,"&lt;&gt;",F82:F96)</f>
        <v>0</v>
      </c>
      <c r="G97" s="207"/>
      <c r="H97" s="208">
        <f>SUMIF(H82:H96,"&lt;&gt;",H82:H96)</f>
        <v>14616825</v>
      </c>
      <c r="I97" s="209"/>
      <c r="J97" s="210">
        <f>SUMIF(J82:J96,"&lt;&gt;",J82:J96)</f>
        <v>15624950</v>
      </c>
      <c r="K97" s="211">
        <f t="shared" si="19"/>
        <v>1008125</v>
      </c>
      <c r="L97" s="212">
        <f t="shared" si="20"/>
        <v>0.06897017649</v>
      </c>
      <c r="M97" s="207"/>
    </row>
    <row r="98" ht="15.75" customHeight="1"/>
    <row r="99" ht="15.75" customHeight="1">
      <c r="A99" s="228" t="s">
        <v>1639</v>
      </c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6"/>
    </row>
    <row r="100" ht="15.75" customHeight="1">
      <c r="A100" s="229" t="s">
        <v>1509</v>
      </c>
      <c r="B100" s="229" t="s">
        <v>1510</v>
      </c>
      <c r="C100" s="229" t="s">
        <v>1511</v>
      </c>
      <c r="D100" s="229" t="s">
        <v>1614</v>
      </c>
      <c r="E100" s="230" t="s">
        <v>1615</v>
      </c>
      <c r="F100" s="174"/>
      <c r="G100" s="231" t="s">
        <v>1616</v>
      </c>
      <c r="H100" s="174"/>
      <c r="I100" s="232" t="s">
        <v>1617</v>
      </c>
      <c r="J100" s="174"/>
      <c r="K100" s="233" t="s">
        <v>1618</v>
      </c>
      <c r="L100" s="174"/>
      <c r="M100" s="229" t="s">
        <v>1619</v>
      </c>
    </row>
    <row r="101" ht="15.75" customHeight="1">
      <c r="A101" s="234" t="s">
        <v>1509</v>
      </c>
      <c r="B101" s="234" t="s">
        <v>1510</v>
      </c>
      <c r="C101" s="234" t="s">
        <v>1511</v>
      </c>
      <c r="D101" s="234" t="s">
        <v>1614</v>
      </c>
      <c r="E101" s="235" t="s">
        <v>1620</v>
      </c>
      <c r="F101" s="235" t="s">
        <v>1621</v>
      </c>
      <c r="G101" s="236" t="s">
        <v>1622</v>
      </c>
      <c r="H101" s="236" t="s">
        <v>1623</v>
      </c>
      <c r="I101" s="237" t="s">
        <v>1624</v>
      </c>
      <c r="J101" s="237" t="s">
        <v>1625</v>
      </c>
      <c r="K101" s="238" t="s">
        <v>1626</v>
      </c>
      <c r="L101" s="238" t="s">
        <v>1627</v>
      </c>
      <c r="M101" s="234" t="s">
        <v>1619</v>
      </c>
    </row>
    <row r="102" ht="15.75" customHeight="1">
      <c r="A102" s="239">
        <v>1.0</v>
      </c>
      <c r="B102" s="240" t="s">
        <v>1519</v>
      </c>
      <c r="C102" s="239" t="s">
        <v>109</v>
      </c>
      <c r="D102" s="213">
        <v>110.0</v>
      </c>
      <c r="E102" s="241" t="str">
        <f>'Daftar Harga'!D102</f>
        <v/>
      </c>
      <c r="F102" s="242" t="str">
        <f t="shared" ref="F102:F116" si="21">IF(E102&lt;&gt;"",D102*E102,"")</f>
        <v/>
      </c>
      <c r="G102" s="186">
        <v>46000.0</v>
      </c>
      <c r="H102" s="243">
        <f t="shared" ref="H102:H116" si="22">IF(G102&lt;&gt;"",D102*G102,"")</f>
        <v>5060000</v>
      </c>
      <c r="I102" s="188">
        <v>48000.0</v>
      </c>
      <c r="J102" s="244">
        <f t="shared" ref="J102:J116" si="23">IF(I102&lt;&gt;"",D102*I102,"")</f>
        <v>5280000</v>
      </c>
      <c r="K102" s="245">
        <f t="shared" ref="K102:K117" si="24">IF(J102&lt;&gt;"",IF(H102&lt;&gt;"",J102-H102,IF(F102&lt;&gt;"",J102-F102,"")),"")</f>
        <v>220000</v>
      </c>
      <c r="L102" s="246">
        <f t="shared" ref="L102:L117" si="25">IF(K102&lt;&gt;"",IF(H102&lt;&gt;"",IF(H102&lt;&gt;0,K102/H102,""),IF(F102&lt;&gt;"",IF(F102&lt;&gt;0,K102/F102,""),"")),"")</f>
        <v>0.04347826087</v>
      </c>
      <c r="M102" s="247"/>
    </row>
    <row r="103" ht="15.75" customHeight="1">
      <c r="A103" s="248">
        <v>2.0</v>
      </c>
      <c r="B103" s="249" t="s">
        <v>1522</v>
      </c>
      <c r="C103" s="248" t="s">
        <v>109</v>
      </c>
      <c r="D103" s="216">
        <v>2.1</v>
      </c>
      <c r="E103" s="241" t="str">
        <f>'Daftar Harga'!D105</f>
        <v/>
      </c>
      <c r="F103" s="242" t="str">
        <f t="shared" si="21"/>
        <v/>
      </c>
      <c r="G103" s="186">
        <v>28000.0</v>
      </c>
      <c r="H103" s="243">
        <f t="shared" si="22"/>
        <v>58800</v>
      </c>
      <c r="I103" s="188">
        <v>35000.0</v>
      </c>
      <c r="J103" s="244">
        <f t="shared" si="23"/>
        <v>73500</v>
      </c>
      <c r="K103" s="250">
        <f t="shared" si="24"/>
        <v>14700</v>
      </c>
      <c r="L103" s="251">
        <f t="shared" si="25"/>
        <v>0.25</v>
      </c>
      <c r="M103" s="252"/>
    </row>
    <row r="104" ht="15.75" customHeight="1">
      <c r="A104" s="239">
        <v>3.0</v>
      </c>
      <c r="B104" s="240" t="s">
        <v>1934</v>
      </c>
      <c r="C104" s="239" t="s">
        <v>109</v>
      </c>
      <c r="D104" s="213">
        <v>1.0</v>
      </c>
      <c r="E104" s="241" t="str">
        <f>'Daftar Harga'!D107</f>
        <v/>
      </c>
      <c r="F104" s="242" t="str">
        <f t="shared" si="21"/>
        <v/>
      </c>
      <c r="G104" s="186">
        <v>40000.0</v>
      </c>
      <c r="H104" s="243">
        <f t="shared" si="22"/>
        <v>40000</v>
      </c>
      <c r="I104" s="188">
        <v>43000.0</v>
      </c>
      <c r="J104" s="244">
        <f t="shared" si="23"/>
        <v>43000</v>
      </c>
      <c r="K104" s="245">
        <f t="shared" si="24"/>
        <v>3000</v>
      </c>
      <c r="L104" s="246">
        <f t="shared" si="25"/>
        <v>0.075</v>
      </c>
      <c r="M104" s="247"/>
    </row>
    <row r="105" ht="15.75" customHeight="1">
      <c r="A105" s="248">
        <v>4.0</v>
      </c>
      <c r="B105" s="249" t="s">
        <v>1935</v>
      </c>
      <c r="C105" s="248" t="s">
        <v>109</v>
      </c>
      <c r="D105" s="216">
        <v>3.0</v>
      </c>
      <c r="E105" s="241" t="str">
        <f>'Daftar Harga'!D109</f>
        <v/>
      </c>
      <c r="F105" s="242" t="str">
        <f t="shared" si="21"/>
        <v/>
      </c>
      <c r="G105" s="186">
        <v>30000.0</v>
      </c>
      <c r="H105" s="243">
        <f t="shared" si="22"/>
        <v>90000</v>
      </c>
      <c r="I105" s="188">
        <v>38000.0</v>
      </c>
      <c r="J105" s="244">
        <f t="shared" si="23"/>
        <v>114000</v>
      </c>
      <c r="K105" s="250">
        <f t="shared" si="24"/>
        <v>24000</v>
      </c>
      <c r="L105" s="251">
        <f t="shared" si="25"/>
        <v>0.2666666667</v>
      </c>
      <c r="M105" s="252"/>
    </row>
    <row r="106" ht="15.75" customHeight="1">
      <c r="A106" s="239">
        <v>5.0</v>
      </c>
      <c r="B106" s="240" t="s">
        <v>2218</v>
      </c>
      <c r="C106" s="239" t="s">
        <v>109</v>
      </c>
      <c r="D106" s="213">
        <v>16.75</v>
      </c>
      <c r="E106" s="241" t="str">
        <f>'Daftar Harga'!D112</f>
        <v/>
      </c>
      <c r="F106" s="242" t="str">
        <f t="shared" si="21"/>
        <v/>
      </c>
      <c r="G106" s="186">
        <v>25000.0</v>
      </c>
      <c r="H106" s="243">
        <f t="shared" si="22"/>
        <v>418750</v>
      </c>
      <c r="I106" s="188">
        <v>26000.0</v>
      </c>
      <c r="J106" s="244">
        <f t="shared" si="23"/>
        <v>435500</v>
      </c>
      <c r="K106" s="245">
        <f t="shared" si="24"/>
        <v>16750</v>
      </c>
      <c r="L106" s="246">
        <f t="shared" si="25"/>
        <v>0.04</v>
      </c>
      <c r="M106" s="247"/>
    </row>
    <row r="107" ht="15.75" customHeight="1">
      <c r="A107" s="248">
        <v>6.0</v>
      </c>
      <c r="B107" s="249" t="s">
        <v>1527</v>
      </c>
      <c r="C107" s="248" t="s">
        <v>109</v>
      </c>
      <c r="D107" s="216">
        <v>125.0</v>
      </c>
      <c r="E107" s="241" t="str">
        <f>'Daftar Harga'!D113</f>
        <v/>
      </c>
      <c r="F107" s="242" t="str">
        <f t="shared" si="21"/>
        <v/>
      </c>
      <c r="G107" s="186">
        <v>14500.0</v>
      </c>
      <c r="H107" s="243">
        <f t="shared" si="22"/>
        <v>1812500</v>
      </c>
      <c r="I107" s="188">
        <v>15500.0</v>
      </c>
      <c r="J107" s="244">
        <f t="shared" si="23"/>
        <v>1937500</v>
      </c>
      <c r="K107" s="250">
        <f t="shared" si="24"/>
        <v>125000</v>
      </c>
      <c r="L107" s="251">
        <f t="shared" si="25"/>
        <v>0.06896551724</v>
      </c>
      <c r="M107" s="252"/>
    </row>
    <row r="108" ht="15.75" customHeight="1">
      <c r="A108" s="239">
        <v>7.0</v>
      </c>
      <c r="B108" s="240" t="s">
        <v>1655</v>
      </c>
      <c r="C108" s="239" t="s">
        <v>109</v>
      </c>
      <c r="D108" s="213">
        <v>5.0</v>
      </c>
      <c r="E108" s="241" t="str">
        <f>'Daftar Harga'!D134</f>
        <v/>
      </c>
      <c r="F108" s="242" t="str">
        <f t="shared" si="21"/>
        <v/>
      </c>
      <c r="G108" s="186">
        <v>18500.0</v>
      </c>
      <c r="H108" s="243">
        <f t="shared" si="22"/>
        <v>92500</v>
      </c>
      <c r="I108" s="188">
        <v>19000.0</v>
      </c>
      <c r="J108" s="244">
        <f t="shared" si="23"/>
        <v>95000</v>
      </c>
      <c r="K108" s="245">
        <f t="shared" si="24"/>
        <v>2500</v>
      </c>
      <c r="L108" s="246">
        <f t="shared" si="25"/>
        <v>0.02702702703</v>
      </c>
      <c r="M108" s="247"/>
    </row>
    <row r="109" ht="15.75" customHeight="1">
      <c r="A109" s="248">
        <v>8.0</v>
      </c>
      <c r="B109" s="249" t="s">
        <v>2210</v>
      </c>
      <c r="C109" s="248" t="s">
        <v>109</v>
      </c>
      <c r="D109" s="216">
        <v>8.15</v>
      </c>
      <c r="E109" s="241" t="str">
        <f>'Daftar Harga'!D145</f>
        <v/>
      </c>
      <c r="F109" s="242" t="str">
        <f t="shared" si="21"/>
        <v/>
      </c>
      <c r="G109" s="186">
        <v>35000.0</v>
      </c>
      <c r="H109" s="243">
        <f t="shared" si="22"/>
        <v>285250</v>
      </c>
      <c r="I109" s="188">
        <v>35000.0</v>
      </c>
      <c r="J109" s="244">
        <f t="shared" si="23"/>
        <v>285250</v>
      </c>
      <c r="K109" s="250">
        <f t="shared" si="24"/>
        <v>0</v>
      </c>
      <c r="L109" s="251">
        <f t="shared" si="25"/>
        <v>0</v>
      </c>
      <c r="M109" s="252"/>
    </row>
    <row r="110" ht="15.75" customHeight="1">
      <c r="A110" s="239">
        <v>9.0</v>
      </c>
      <c r="B110" s="240" t="s">
        <v>2205</v>
      </c>
      <c r="C110" s="239" t="s">
        <v>109</v>
      </c>
      <c r="D110" s="213">
        <v>1.0</v>
      </c>
      <c r="E110" s="241" t="str">
        <f>'Daftar Harga'!D155</f>
        <v/>
      </c>
      <c r="F110" s="242" t="str">
        <f t="shared" si="21"/>
        <v/>
      </c>
      <c r="G110" s="186">
        <v>94000.0</v>
      </c>
      <c r="H110" s="243">
        <f t="shared" si="22"/>
        <v>94000</v>
      </c>
      <c r="I110" s="188">
        <v>95000.0</v>
      </c>
      <c r="J110" s="244">
        <f t="shared" si="23"/>
        <v>95000</v>
      </c>
      <c r="K110" s="245">
        <f t="shared" si="24"/>
        <v>1000</v>
      </c>
      <c r="L110" s="246">
        <f t="shared" si="25"/>
        <v>0.01063829787</v>
      </c>
      <c r="M110" s="247"/>
    </row>
    <row r="111" ht="15.75" customHeight="1">
      <c r="A111" s="248">
        <v>10.0</v>
      </c>
      <c r="B111" s="249" t="s">
        <v>2219</v>
      </c>
      <c r="C111" s="248" t="s">
        <v>2220</v>
      </c>
      <c r="D111" s="216">
        <v>0.55</v>
      </c>
      <c r="E111" s="267" t="str">
        <f>'Daftar Harga'!D157</f>
        <v/>
      </c>
      <c r="F111" s="268" t="str">
        <f t="shared" si="21"/>
        <v/>
      </c>
      <c r="G111" s="186">
        <v>13000.0</v>
      </c>
      <c r="H111" s="243">
        <f t="shared" si="22"/>
        <v>7150</v>
      </c>
      <c r="I111" s="188">
        <v>15000.0</v>
      </c>
      <c r="J111" s="244">
        <f t="shared" si="23"/>
        <v>8250</v>
      </c>
      <c r="K111" s="250">
        <f t="shared" si="24"/>
        <v>1100</v>
      </c>
      <c r="L111" s="251">
        <f t="shared" si="25"/>
        <v>0.1538461538</v>
      </c>
      <c r="M111" s="252"/>
    </row>
    <row r="112" ht="15.75" customHeight="1">
      <c r="A112" s="239">
        <v>11.0</v>
      </c>
      <c r="B112" s="240" t="s">
        <v>1650</v>
      </c>
      <c r="C112" s="239" t="s">
        <v>109</v>
      </c>
      <c r="D112" s="213">
        <v>1.0</v>
      </c>
      <c r="E112" s="241" t="str">
        <f>'Daftar Harga'!D160</f>
        <v/>
      </c>
      <c r="F112" s="242" t="str">
        <f t="shared" si="21"/>
        <v/>
      </c>
      <c r="G112" s="186">
        <v>140000.0</v>
      </c>
      <c r="H112" s="243">
        <f t="shared" si="22"/>
        <v>140000</v>
      </c>
      <c r="I112" s="188">
        <v>150000.0</v>
      </c>
      <c r="J112" s="244">
        <f t="shared" si="23"/>
        <v>150000</v>
      </c>
      <c r="K112" s="245">
        <f t="shared" si="24"/>
        <v>10000</v>
      </c>
      <c r="L112" s="246">
        <f t="shared" si="25"/>
        <v>0.07142857143</v>
      </c>
      <c r="M112" s="247"/>
    </row>
    <row r="113" ht="15.75" customHeight="1">
      <c r="A113" s="248">
        <v>12.0</v>
      </c>
      <c r="B113" s="249" t="s">
        <v>2214</v>
      </c>
      <c r="C113" s="248" t="s">
        <v>261</v>
      </c>
      <c r="D113" s="216">
        <v>2.0</v>
      </c>
      <c r="E113" s="241" t="str">
        <f>'Daftar Harga'!D169</f>
        <v/>
      </c>
      <c r="F113" s="242" t="str">
        <f t="shared" si="21"/>
        <v/>
      </c>
      <c r="G113" s="186">
        <v>21500.0</v>
      </c>
      <c r="H113" s="243">
        <f t="shared" si="22"/>
        <v>43000</v>
      </c>
      <c r="I113" s="188">
        <v>264000.0</v>
      </c>
      <c r="J113" s="244">
        <f t="shared" si="23"/>
        <v>528000</v>
      </c>
      <c r="K113" s="250">
        <f t="shared" si="24"/>
        <v>485000</v>
      </c>
      <c r="L113" s="251">
        <f t="shared" si="25"/>
        <v>11.27906977</v>
      </c>
      <c r="M113" s="252"/>
    </row>
    <row r="114" ht="15.75" customHeight="1">
      <c r="A114" s="239">
        <v>13.0</v>
      </c>
      <c r="B114" s="240" t="s">
        <v>1712</v>
      </c>
      <c r="C114" s="239" t="s">
        <v>109</v>
      </c>
      <c r="D114" s="213">
        <v>89.9</v>
      </c>
      <c r="E114" s="241" t="str">
        <f>'Daftar Harga'!D173</f>
        <v/>
      </c>
      <c r="F114" s="242" t="str">
        <f t="shared" si="21"/>
        <v/>
      </c>
      <c r="G114" s="186">
        <v>10000.0</v>
      </c>
      <c r="H114" s="243">
        <f t="shared" si="22"/>
        <v>899000</v>
      </c>
      <c r="I114" s="188">
        <v>12000.0</v>
      </c>
      <c r="J114" s="244">
        <f t="shared" si="23"/>
        <v>1078800</v>
      </c>
      <c r="K114" s="245">
        <f t="shared" si="24"/>
        <v>179800</v>
      </c>
      <c r="L114" s="246">
        <f t="shared" si="25"/>
        <v>0.2</v>
      </c>
      <c r="M114" s="247"/>
    </row>
    <row r="115" ht="15.75" customHeight="1">
      <c r="A115" s="248">
        <v>14.0</v>
      </c>
      <c r="B115" s="249" t="s">
        <v>2221</v>
      </c>
      <c r="C115" s="248" t="s">
        <v>261</v>
      </c>
      <c r="D115" s="216">
        <v>30.0</v>
      </c>
      <c r="E115" s="241" t="str">
        <f>'Daftar Harga'!D175</f>
        <v/>
      </c>
      <c r="F115" s="242" t="str">
        <f t="shared" si="21"/>
        <v/>
      </c>
      <c r="G115" s="186">
        <v>240000.0</v>
      </c>
      <c r="H115" s="243">
        <f t="shared" si="22"/>
        <v>7200000</v>
      </c>
      <c r="I115" s="188">
        <v>240000.0</v>
      </c>
      <c r="J115" s="244">
        <f t="shared" si="23"/>
        <v>7200000</v>
      </c>
      <c r="K115" s="250">
        <f t="shared" si="24"/>
        <v>0</v>
      </c>
      <c r="L115" s="251">
        <f t="shared" si="25"/>
        <v>0</v>
      </c>
      <c r="M115" s="252"/>
    </row>
    <row r="116" ht="15.75" customHeight="1">
      <c r="A116" s="239">
        <v>15.0</v>
      </c>
      <c r="B116" s="240" t="s">
        <v>2028</v>
      </c>
      <c r="C116" s="239" t="s">
        <v>1557</v>
      </c>
      <c r="D116" s="213">
        <v>2.0</v>
      </c>
      <c r="E116" s="241" t="str">
        <f>'Daftar Harga'!D179</f>
        <v/>
      </c>
      <c r="F116" s="242" t="str">
        <f t="shared" si="21"/>
        <v/>
      </c>
      <c r="G116" s="186">
        <v>53000.0</v>
      </c>
      <c r="H116" s="263">
        <f t="shared" si="22"/>
        <v>106000</v>
      </c>
      <c r="I116" s="188">
        <v>53000.0</v>
      </c>
      <c r="J116" s="264">
        <f t="shared" si="23"/>
        <v>106000</v>
      </c>
      <c r="K116" s="245">
        <f t="shared" si="24"/>
        <v>0</v>
      </c>
      <c r="L116" s="246">
        <f t="shared" si="25"/>
        <v>0</v>
      </c>
      <c r="M116" s="247"/>
    </row>
    <row r="117" ht="15.75" customHeight="1">
      <c r="A117" s="256" t="s">
        <v>1646</v>
      </c>
      <c r="B117" s="206"/>
      <c r="C117" s="206"/>
      <c r="D117" s="174"/>
      <c r="E117" s="257"/>
      <c r="F117" s="258">
        <f>SUMIF(F102:F116,"&lt;&gt;",F102:F116)</f>
        <v>0</v>
      </c>
      <c r="G117" s="259"/>
      <c r="H117" s="260">
        <f>SUMIF(H102:H116,"&lt;&gt;",H102:H116)</f>
        <v>16346950</v>
      </c>
      <c r="I117" s="265"/>
      <c r="J117" s="260">
        <f>SUMIF(J102:J116,"&lt;&gt;",J102:J116)</f>
        <v>17429800</v>
      </c>
      <c r="K117" s="261">
        <f t="shared" si="24"/>
        <v>1082850</v>
      </c>
      <c r="L117" s="262">
        <f t="shared" si="25"/>
        <v>0.06624171482</v>
      </c>
      <c r="M117" s="257"/>
    </row>
    <row r="118" ht="15.75" customHeight="1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</row>
    <row r="119" ht="15.75" customHeight="1">
      <c r="A119" s="323"/>
      <c r="B119" s="324"/>
      <c r="C119" s="228" t="s">
        <v>1647</v>
      </c>
      <c r="D119" s="155"/>
      <c r="E119" s="155"/>
      <c r="F119" s="155"/>
      <c r="G119" s="155"/>
      <c r="H119" s="155"/>
      <c r="I119" s="155"/>
      <c r="J119" s="155"/>
      <c r="K119" s="155"/>
      <c r="L119" s="155"/>
      <c r="M119" s="323"/>
    </row>
    <row r="120" ht="15.75" customHeight="1">
      <c r="A120" s="229" t="s">
        <v>1509</v>
      </c>
      <c r="B120" s="229" t="s">
        <v>1510</v>
      </c>
      <c r="C120" s="302" t="s">
        <v>1511</v>
      </c>
      <c r="D120" s="302" t="s">
        <v>1614</v>
      </c>
      <c r="E120" s="303" t="s">
        <v>1615</v>
      </c>
      <c r="F120" s="304"/>
      <c r="G120" s="305" t="s">
        <v>1616</v>
      </c>
      <c r="H120" s="304"/>
      <c r="I120" s="306" t="s">
        <v>1617</v>
      </c>
      <c r="J120" s="304"/>
      <c r="K120" s="307" t="s">
        <v>1618</v>
      </c>
      <c r="L120" s="304"/>
      <c r="M120" s="302" t="s">
        <v>1619</v>
      </c>
    </row>
    <row r="121" ht="15.75" customHeight="1">
      <c r="A121" s="234" t="s">
        <v>1509</v>
      </c>
      <c r="B121" s="234" t="s">
        <v>1510</v>
      </c>
      <c r="C121" s="234" t="s">
        <v>1511</v>
      </c>
      <c r="D121" s="234" t="s">
        <v>1614</v>
      </c>
      <c r="E121" s="235" t="s">
        <v>1620</v>
      </c>
      <c r="F121" s="235" t="s">
        <v>1621</v>
      </c>
      <c r="G121" s="236" t="s">
        <v>1622</v>
      </c>
      <c r="H121" s="236" t="s">
        <v>1623</v>
      </c>
      <c r="I121" s="237" t="s">
        <v>1624</v>
      </c>
      <c r="J121" s="237" t="s">
        <v>1625</v>
      </c>
      <c r="K121" s="238" t="s">
        <v>1626</v>
      </c>
      <c r="L121" s="238" t="s">
        <v>1627</v>
      </c>
      <c r="M121" s="234" t="s">
        <v>1619</v>
      </c>
    </row>
    <row r="122" ht="15.75" customHeight="1">
      <c r="A122" s="239">
        <v>1.0</v>
      </c>
      <c r="B122" s="240" t="s">
        <v>1527</v>
      </c>
      <c r="C122" s="239" t="s">
        <v>109</v>
      </c>
      <c r="D122" s="213">
        <v>125.0</v>
      </c>
      <c r="E122" s="241" t="str">
        <f>'Daftar Harga'!D122</f>
        <v/>
      </c>
      <c r="F122" s="242" t="str">
        <f t="shared" ref="F122:F139" si="26">IF(E122&lt;&gt;"",D122*E122,"")</f>
        <v/>
      </c>
      <c r="G122" s="186">
        <v>14500.0</v>
      </c>
      <c r="H122" s="243">
        <f t="shared" ref="H122:H139" si="27">IF(G122&lt;&gt;"",D122*G122,"")</f>
        <v>1812500</v>
      </c>
      <c r="I122" s="188">
        <v>15500.0</v>
      </c>
      <c r="J122" s="244">
        <f t="shared" ref="J122:J139" si="28">IF(I122&lt;&gt;"",D122*I122,"")</f>
        <v>1937500</v>
      </c>
      <c r="K122" s="245">
        <f t="shared" ref="K122:K140" si="29">IF(J122&lt;&gt;"",IF(H122&lt;&gt;"",J122-H122,IF(F122&lt;&gt;"",J122-F122,"")),"")</f>
        <v>125000</v>
      </c>
      <c r="L122" s="246">
        <f t="shared" ref="L122:L140" si="30">IF(K122&lt;&gt;"",IF(H122&lt;&gt;"",IF(H122&lt;&gt;0,K122/H122,""),IF(F122&lt;&gt;"",IF(F122&lt;&gt;0,K122/F122,""),"")),"")</f>
        <v>0.06896551724</v>
      </c>
      <c r="M122" s="247"/>
    </row>
    <row r="123" ht="15.75" customHeight="1">
      <c r="A123" s="248">
        <v>2.0</v>
      </c>
      <c r="B123" s="249" t="s">
        <v>1600</v>
      </c>
      <c r="C123" s="248" t="s">
        <v>109</v>
      </c>
      <c r="D123" s="216">
        <v>151.7</v>
      </c>
      <c r="E123" s="241" t="str">
        <f>'Daftar Harga'!D125</f>
        <v/>
      </c>
      <c r="F123" s="242" t="str">
        <f t="shared" si="26"/>
        <v/>
      </c>
      <c r="G123" s="186">
        <v>25500.0</v>
      </c>
      <c r="H123" s="243">
        <f t="shared" si="27"/>
        <v>3868350</v>
      </c>
      <c r="I123" s="188">
        <v>27000.0</v>
      </c>
      <c r="J123" s="244">
        <f t="shared" si="28"/>
        <v>4095900</v>
      </c>
      <c r="K123" s="250">
        <f t="shared" si="29"/>
        <v>227550</v>
      </c>
      <c r="L123" s="251">
        <f t="shared" si="30"/>
        <v>0.05882352941</v>
      </c>
      <c r="M123" s="252"/>
    </row>
    <row r="124" ht="15.75" customHeight="1">
      <c r="A124" s="239">
        <v>3.0</v>
      </c>
      <c r="B124" s="240" t="s">
        <v>1601</v>
      </c>
      <c r="C124" s="239" t="s">
        <v>67</v>
      </c>
      <c r="D124" s="213">
        <v>109.0</v>
      </c>
      <c r="E124" s="241" t="str">
        <f>'Daftar Harga'!D127</f>
        <v/>
      </c>
      <c r="F124" s="242" t="str">
        <f t="shared" si="26"/>
        <v/>
      </c>
      <c r="G124" s="186">
        <v>12000.0</v>
      </c>
      <c r="H124" s="243">
        <f t="shared" si="27"/>
        <v>1308000</v>
      </c>
      <c r="I124" s="188">
        <v>13000.0</v>
      </c>
      <c r="J124" s="244">
        <f t="shared" si="28"/>
        <v>1417000</v>
      </c>
      <c r="K124" s="245">
        <f t="shared" si="29"/>
        <v>109000</v>
      </c>
      <c r="L124" s="246">
        <f t="shared" si="30"/>
        <v>0.08333333333</v>
      </c>
      <c r="M124" s="247"/>
    </row>
    <row r="125" ht="15.75" customHeight="1">
      <c r="A125" s="248">
        <v>4.0</v>
      </c>
      <c r="B125" s="249" t="s">
        <v>1680</v>
      </c>
      <c r="C125" s="248" t="s">
        <v>109</v>
      </c>
      <c r="D125" s="216">
        <v>1.0</v>
      </c>
      <c r="E125" s="241" t="str">
        <f>'Daftar Harga'!D129</f>
        <v/>
      </c>
      <c r="F125" s="242" t="str">
        <f t="shared" si="26"/>
        <v/>
      </c>
      <c r="G125" s="186">
        <v>17000.0</v>
      </c>
      <c r="H125" s="243">
        <f t="shared" si="27"/>
        <v>17000</v>
      </c>
      <c r="I125" s="188">
        <v>20000.0</v>
      </c>
      <c r="J125" s="244">
        <f t="shared" si="28"/>
        <v>20000</v>
      </c>
      <c r="K125" s="250">
        <f t="shared" si="29"/>
        <v>3000</v>
      </c>
      <c r="L125" s="251">
        <f t="shared" si="30"/>
        <v>0.1764705882</v>
      </c>
      <c r="M125" s="252"/>
    </row>
    <row r="126" ht="15.75" customHeight="1">
      <c r="A126" s="239">
        <v>5.0</v>
      </c>
      <c r="B126" s="240" t="s">
        <v>1518</v>
      </c>
      <c r="C126" s="239" t="s">
        <v>1861</v>
      </c>
      <c r="D126" s="213">
        <v>0.95</v>
      </c>
      <c r="E126" s="241" t="str">
        <f>'Daftar Harga'!D132</f>
        <v/>
      </c>
      <c r="F126" s="242" t="str">
        <f t="shared" si="26"/>
        <v/>
      </c>
      <c r="G126" s="186">
        <v>20000.0</v>
      </c>
      <c r="H126" s="243">
        <f t="shared" si="27"/>
        <v>19000</v>
      </c>
      <c r="I126" s="188">
        <v>22000.0</v>
      </c>
      <c r="J126" s="244">
        <f t="shared" si="28"/>
        <v>20900</v>
      </c>
      <c r="K126" s="245">
        <f t="shared" si="29"/>
        <v>1900</v>
      </c>
      <c r="L126" s="246">
        <f t="shared" si="30"/>
        <v>0.1</v>
      </c>
      <c r="M126" s="247"/>
    </row>
    <row r="127" ht="15.75" customHeight="1">
      <c r="A127" s="248">
        <v>6.0</v>
      </c>
      <c r="B127" s="249" t="s">
        <v>1934</v>
      </c>
      <c r="C127" s="248" t="s">
        <v>109</v>
      </c>
      <c r="D127" s="216">
        <v>3.05</v>
      </c>
      <c r="E127" s="241" t="str">
        <f>'Daftar Harga'!D133</f>
        <v/>
      </c>
      <c r="F127" s="242" t="str">
        <f t="shared" si="26"/>
        <v/>
      </c>
      <c r="G127" s="186">
        <v>43000.0</v>
      </c>
      <c r="H127" s="243">
        <f t="shared" si="27"/>
        <v>131150</v>
      </c>
      <c r="I127" s="188">
        <v>45000.0</v>
      </c>
      <c r="J127" s="244">
        <f t="shared" si="28"/>
        <v>137250</v>
      </c>
      <c r="K127" s="250">
        <f t="shared" si="29"/>
        <v>6100</v>
      </c>
      <c r="L127" s="251">
        <f t="shared" si="30"/>
        <v>0.04651162791</v>
      </c>
      <c r="M127" s="252"/>
    </row>
    <row r="128" ht="15.75" customHeight="1">
      <c r="A128" s="239">
        <v>7.0</v>
      </c>
      <c r="B128" s="240" t="s">
        <v>1935</v>
      </c>
      <c r="C128" s="239" t="s">
        <v>109</v>
      </c>
      <c r="D128" s="213">
        <v>2.85</v>
      </c>
      <c r="E128" s="241" t="str">
        <f>'Daftar Harga'!D154</f>
        <v/>
      </c>
      <c r="F128" s="242" t="str">
        <f t="shared" si="26"/>
        <v/>
      </c>
      <c r="G128" s="186">
        <v>30000.0</v>
      </c>
      <c r="H128" s="243">
        <f t="shared" si="27"/>
        <v>85500</v>
      </c>
      <c r="I128" s="188">
        <v>36000.0</v>
      </c>
      <c r="J128" s="244">
        <f t="shared" si="28"/>
        <v>102600</v>
      </c>
      <c r="K128" s="245">
        <f t="shared" si="29"/>
        <v>17100</v>
      </c>
      <c r="L128" s="246">
        <f t="shared" si="30"/>
        <v>0.2</v>
      </c>
      <c r="M128" s="247"/>
    </row>
    <row r="129" ht="15.75" customHeight="1">
      <c r="A129" s="248">
        <v>8.0</v>
      </c>
      <c r="B129" s="249" t="s">
        <v>1674</v>
      </c>
      <c r="C129" s="248" t="s">
        <v>109</v>
      </c>
      <c r="D129" s="216">
        <v>2.05</v>
      </c>
      <c r="E129" s="241" t="str">
        <f>'Daftar Harga'!D165</f>
        <v/>
      </c>
      <c r="F129" s="242" t="str">
        <f t="shared" si="26"/>
        <v/>
      </c>
      <c r="G129" s="186">
        <v>60000.0</v>
      </c>
      <c r="H129" s="243">
        <f t="shared" si="27"/>
        <v>123000</v>
      </c>
      <c r="I129" s="188">
        <v>65000.0</v>
      </c>
      <c r="J129" s="244">
        <f t="shared" si="28"/>
        <v>133250</v>
      </c>
      <c r="K129" s="250">
        <f t="shared" si="29"/>
        <v>10250</v>
      </c>
      <c r="L129" s="251">
        <f t="shared" si="30"/>
        <v>0.08333333333</v>
      </c>
      <c r="M129" s="252"/>
    </row>
    <row r="130" ht="15.75" customHeight="1">
      <c r="A130" s="239">
        <v>9.0</v>
      </c>
      <c r="B130" s="240" t="s">
        <v>1808</v>
      </c>
      <c r="C130" s="239" t="s">
        <v>1676</v>
      </c>
      <c r="D130" s="213">
        <v>1.0</v>
      </c>
      <c r="E130" s="241" t="str">
        <f>'Daftar Harga'!D175</f>
        <v/>
      </c>
      <c r="F130" s="242" t="str">
        <f t="shared" si="26"/>
        <v/>
      </c>
      <c r="G130" s="186">
        <v>95000.0</v>
      </c>
      <c r="H130" s="243">
        <f t="shared" si="27"/>
        <v>95000</v>
      </c>
      <c r="I130" s="188">
        <v>95000.0</v>
      </c>
      <c r="J130" s="244">
        <f t="shared" si="28"/>
        <v>95000</v>
      </c>
      <c r="K130" s="245">
        <f t="shared" si="29"/>
        <v>0</v>
      </c>
      <c r="L130" s="246">
        <f t="shared" si="30"/>
        <v>0</v>
      </c>
      <c r="M130" s="247"/>
    </row>
    <row r="131" ht="15.75" customHeight="1">
      <c r="A131" s="248">
        <v>10.0</v>
      </c>
      <c r="B131" s="249" t="s">
        <v>1563</v>
      </c>
      <c r="C131" s="248" t="s">
        <v>2220</v>
      </c>
      <c r="D131" s="216">
        <v>1.0</v>
      </c>
      <c r="E131" s="241" t="str">
        <f>'Daftar Harga'!D177</f>
        <v/>
      </c>
      <c r="F131" s="242" t="str">
        <f t="shared" si="26"/>
        <v/>
      </c>
      <c r="G131" s="186">
        <v>44000.0</v>
      </c>
      <c r="H131" s="243">
        <f t="shared" si="27"/>
        <v>44000</v>
      </c>
      <c r="I131" s="188">
        <v>47000.0</v>
      </c>
      <c r="J131" s="244">
        <f t="shared" si="28"/>
        <v>47000</v>
      </c>
      <c r="K131" s="250">
        <f t="shared" si="29"/>
        <v>3000</v>
      </c>
      <c r="L131" s="251">
        <f t="shared" si="30"/>
        <v>0.06818181818</v>
      </c>
      <c r="M131" s="252"/>
    </row>
    <row r="132" ht="15.75" customHeight="1">
      <c r="A132" s="239">
        <v>11.0</v>
      </c>
      <c r="B132" s="240" t="s">
        <v>2205</v>
      </c>
      <c r="C132" s="239" t="s">
        <v>109</v>
      </c>
      <c r="D132" s="213">
        <v>1.0</v>
      </c>
      <c r="E132" s="241" t="str">
        <f>'Daftar Harga'!D180</f>
        <v/>
      </c>
      <c r="F132" s="242" t="str">
        <f t="shared" si="26"/>
        <v/>
      </c>
      <c r="G132" s="186">
        <v>94000.0</v>
      </c>
      <c r="H132" s="243">
        <f t="shared" si="27"/>
        <v>94000</v>
      </c>
      <c r="I132" s="188">
        <v>95000.0</v>
      </c>
      <c r="J132" s="244">
        <f t="shared" si="28"/>
        <v>95000</v>
      </c>
      <c r="K132" s="245">
        <f t="shared" si="29"/>
        <v>1000</v>
      </c>
      <c r="L132" s="246">
        <f t="shared" si="30"/>
        <v>0.01063829787</v>
      </c>
      <c r="M132" s="247"/>
    </row>
    <row r="133" ht="15.75" customHeight="1">
      <c r="A133" s="248">
        <v>12.0</v>
      </c>
      <c r="B133" s="249" t="s">
        <v>2222</v>
      </c>
      <c r="C133" s="248" t="s">
        <v>261</v>
      </c>
      <c r="D133" s="216">
        <v>62.65</v>
      </c>
      <c r="E133" s="241" t="str">
        <f>'Daftar Harga'!D189</f>
        <v/>
      </c>
      <c r="F133" s="242" t="str">
        <f t="shared" si="26"/>
        <v/>
      </c>
      <c r="G133" s="186">
        <v>9000.0</v>
      </c>
      <c r="H133" s="243">
        <f t="shared" si="27"/>
        <v>563850</v>
      </c>
      <c r="I133" s="188">
        <v>12000.0</v>
      </c>
      <c r="J133" s="244">
        <f t="shared" si="28"/>
        <v>751800</v>
      </c>
      <c r="K133" s="250">
        <f t="shared" si="29"/>
        <v>187950</v>
      </c>
      <c r="L133" s="251">
        <f t="shared" si="30"/>
        <v>0.3333333333</v>
      </c>
      <c r="M133" s="252"/>
    </row>
    <row r="134" ht="15.75" customHeight="1">
      <c r="A134" s="239">
        <v>13.0</v>
      </c>
      <c r="B134" s="240" t="s">
        <v>1609</v>
      </c>
      <c r="C134" s="239" t="s">
        <v>109</v>
      </c>
      <c r="D134" s="213">
        <v>44.9</v>
      </c>
      <c r="E134" s="241" t="str">
        <f>'Daftar Harga'!D193</f>
        <v/>
      </c>
      <c r="F134" s="242" t="str">
        <f t="shared" si="26"/>
        <v/>
      </c>
      <c r="G134" s="186">
        <v>14000.0</v>
      </c>
      <c r="H134" s="243">
        <f t="shared" si="27"/>
        <v>628600</v>
      </c>
      <c r="I134" s="188">
        <v>17000.0</v>
      </c>
      <c r="J134" s="244">
        <f t="shared" si="28"/>
        <v>763300</v>
      </c>
      <c r="K134" s="245">
        <f t="shared" si="29"/>
        <v>134700</v>
      </c>
      <c r="L134" s="246">
        <f t="shared" si="30"/>
        <v>0.2142857143</v>
      </c>
      <c r="M134" s="247"/>
    </row>
    <row r="135" ht="15.75" customHeight="1">
      <c r="A135" s="248">
        <v>14.0</v>
      </c>
      <c r="B135" s="249" t="s">
        <v>1543</v>
      </c>
      <c r="C135" s="248" t="s">
        <v>261</v>
      </c>
      <c r="D135" s="216">
        <v>5.0</v>
      </c>
      <c r="E135" s="241" t="str">
        <f>'Daftar Harga'!D195</f>
        <v/>
      </c>
      <c r="F135" s="242" t="str">
        <f t="shared" si="26"/>
        <v/>
      </c>
      <c r="G135" s="186">
        <v>7000.0</v>
      </c>
      <c r="H135" s="243">
        <f t="shared" si="27"/>
        <v>35000</v>
      </c>
      <c r="I135" s="188">
        <v>10000.0</v>
      </c>
      <c r="J135" s="244">
        <f t="shared" si="28"/>
        <v>50000</v>
      </c>
      <c r="K135" s="250">
        <f t="shared" si="29"/>
        <v>15000</v>
      </c>
      <c r="L135" s="251">
        <f t="shared" si="30"/>
        <v>0.4285714286</v>
      </c>
      <c r="M135" s="252"/>
    </row>
    <row r="136" ht="15.75" customHeight="1">
      <c r="A136" s="239">
        <v>15.0</v>
      </c>
      <c r="B136" s="240" t="s">
        <v>1643</v>
      </c>
      <c r="C136" s="239" t="s">
        <v>1676</v>
      </c>
      <c r="D136" s="213">
        <v>1.0</v>
      </c>
      <c r="E136" s="241" t="str">
        <f>'Daftar Harga'!D199</f>
        <v/>
      </c>
      <c r="F136" s="242" t="str">
        <f t="shared" si="26"/>
        <v/>
      </c>
      <c r="G136" s="186">
        <v>190000.0</v>
      </c>
      <c r="H136" s="243">
        <f t="shared" si="27"/>
        <v>190000</v>
      </c>
      <c r="I136" s="188">
        <v>190000.0</v>
      </c>
      <c r="J136" s="264">
        <f t="shared" si="28"/>
        <v>190000</v>
      </c>
      <c r="K136" s="245">
        <f t="shared" si="29"/>
        <v>0</v>
      </c>
      <c r="L136" s="246">
        <f t="shared" si="30"/>
        <v>0</v>
      </c>
      <c r="M136" s="247"/>
    </row>
    <row r="137" ht="15.75" customHeight="1">
      <c r="A137" s="338">
        <v>16.0</v>
      </c>
      <c r="B137" s="433" t="s">
        <v>1578</v>
      </c>
      <c r="C137" s="338" t="s">
        <v>261</v>
      </c>
      <c r="D137" s="339">
        <v>2.0</v>
      </c>
      <c r="E137" s="267"/>
      <c r="F137" s="268" t="str">
        <f t="shared" si="26"/>
        <v/>
      </c>
      <c r="G137" s="186">
        <v>21500.0</v>
      </c>
      <c r="H137" s="243">
        <f t="shared" si="27"/>
        <v>43000</v>
      </c>
      <c r="I137" s="434">
        <v>264000.0</v>
      </c>
      <c r="J137" s="264">
        <f t="shared" si="28"/>
        <v>528000</v>
      </c>
      <c r="K137" s="245">
        <f t="shared" si="29"/>
        <v>485000</v>
      </c>
      <c r="L137" s="246">
        <f t="shared" si="30"/>
        <v>11.27906977</v>
      </c>
      <c r="M137" s="247"/>
    </row>
    <row r="138" ht="15.75" customHeight="1">
      <c r="A138" s="338">
        <v>17.0</v>
      </c>
      <c r="B138" s="433" t="s">
        <v>1234</v>
      </c>
      <c r="C138" s="338" t="s">
        <v>109</v>
      </c>
      <c r="D138" s="339">
        <v>102.75</v>
      </c>
      <c r="E138" s="267"/>
      <c r="F138" s="268" t="str">
        <f t="shared" si="26"/>
        <v/>
      </c>
      <c r="G138" s="186">
        <v>12000.0</v>
      </c>
      <c r="H138" s="243">
        <f t="shared" si="27"/>
        <v>1233000</v>
      </c>
      <c r="I138" s="434">
        <v>13000.0</v>
      </c>
      <c r="J138" s="264">
        <f t="shared" si="28"/>
        <v>1335750</v>
      </c>
      <c r="K138" s="245">
        <f t="shared" si="29"/>
        <v>102750</v>
      </c>
      <c r="L138" s="246">
        <f t="shared" si="30"/>
        <v>0.08333333333</v>
      </c>
      <c r="M138" s="247"/>
    </row>
    <row r="139" ht="15.75" customHeight="1">
      <c r="A139" s="338">
        <v>18.0</v>
      </c>
      <c r="B139" s="433" t="s">
        <v>2136</v>
      </c>
      <c r="C139" s="338" t="s">
        <v>109</v>
      </c>
      <c r="D139" s="339">
        <v>3.0</v>
      </c>
      <c r="E139" s="267"/>
      <c r="F139" s="268" t="str">
        <f t="shared" si="26"/>
        <v/>
      </c>
      <c r="G139" s="186">
        <v>27000.0</v>
      </c>
      <c r="H139" s="243">
        <f t="shared" si="27"/>
        <v>81000</v>
      </c>
      <c r="I139" s="434">
        <v>27000.0</v>
      </c>
      <c r="J139" s="264">
        <f t="shared" si="28"/>
        <v>81000</v>
      </c>
      <c r="K139" s="245">
        <f t="shared" si="29"/>
        <v>0</v>
      </c>
      <c r="L139" s="246">
        <f t="shared" si="30"/>
        <v>0</v>
      </c>
      <c r="M139" s="247"/>
    </row>
    <row r="140" ht="15.75" customHeight="1">
      <c r="A140" s="435" t="s">
        <v>1653</v>
      </c>
      <c r="B140" s="356"/>
      <c r="C140" s="259"/>
      <c r="D140" s="356"/>
      <c r="E140" s="257"/>
      <c r="F140" s="258">
        <f>SUMIF(F122:F139,"&lt;&gt;",F122:F139)</f>
        <v>0</v>
      </c>
      <c r="G140" s="316"/>
      <c r="H140" s="258">
        <f>SUMIF(H122:H139,"&lt;&gt;",H122:H139)</f>
        <v>10371950</v>
      </c>
      <c r="I140" s="317"/>
      <c r="J140" s="260">
        <f>SUMIF(J122:J139,"&lt;&gt;",J122:J139)</f>
        <v>11801250</v>
      </c>
      <c r="K140" s="261">
        <f t="shared" si="29"/>
        <v>1429300</v>
      </c>
      <c r="L140" s="262">
        <f t="shared" si="30"/>
        <v>0.1378043666</v>
      </c>
      <c r="M140" s="257"/>
    </row>
    <row r="141" ht="15.75" customHeight="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</row>
    <row r="142" ht="15.75" customHeight="1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</row>
    <row r="143" ht="15.75" customHeight="1">
      <c r="A143" s="323"/>
      <c r="B143" s="324"/>
      <c r="C143" s="228" t="s">
        <v>1654</v>
      </c>
      <c r="D143" s="155"/>
      <c r="E143" s="155"/>
      <c r="F143" s="155"/>
      <c r="G143" s="155"/>
      <c r="H143" s="155"/>
      <c r="I143" s="155"/>
      <c r="J143" s="155"/>
      <c r="K143" s="155"/>
      <c r="L143" s="155"/>
      <c r="M143" s="323"/>
    </row>
    <row r="144" ht="15.75" customHeight="1">
      <c r="A144" s="229" t="s">
        <v>1509</v>
      </c>
      <c r="B144" s="229" t="s">
        <v>1510</v>
      </c>
      <c r="C144" s="302" t="s">
        <v>1511</v>
      </c>
      <c r="D144" s="302" t="s">
        <v>1614</v>
      </c>
      <c r="E144" s="303" t="s">
        <v>1615</v>
      </c>
      <c r="F144" s="304"/>
      <c r="G144" s="305" t="s">
        <v>1616</v>
      </c>
      <c r="H144" s="304"/>
      <c r="I144" s="306" t="s">
        <v>1617</v>
      </c>
      <c r="J144" s="304"/>
      <c r="K144" s="307" t="s">
        <v>1618</v>
      </c>
      <c r="L144" s="304"/>
      <c r="M144" s="302" t="s">
        <v>1619</v>
      </c>
    </row>
    <row r="145" ht="15.75" customHeight="1">
      <c r="A145" s="234" t="s">
        <v>1509</v>
      </c>
      <c r="B145" s="234" t="s">
        <v>1510</v>
      </c>
      <c r="C145" s="234" t="s">
        <v>1511</v>
      </c>
      <c r="D145" s="234" t="s">
        <v>1614</v>
      </c>
      <c r="E145" s="235" t="s">
        <v>1620</v>
      </c>
      <c r="F145" s="235" t="s">
        <v>1621</v>
      </c>
      <c r="G145" s="236" t="s">
        <v>1622</v>
      </c>
      <c r="H145" s="236" t="s">
        <v>1623</v>
      </c>
      <c r="I145" s="237" t="s">
        <v>1624</v>
      </c>
      <c r="J145" s="237" t="s">
        <v>1625</v>
      </c>
      <c r="K145" s="238" t="s">
        <v>1626</v>
      </c>
      <c r="L145" s="238" t="s">
        <v>1627</v>
      </c>
      <c r="M145" s="234" t="s">
        <v>1619</v>
      </c>
    </row>
    <row r="146" ht="15.75" customHeight="1">
      <c r="A146" s="239">
        <v>1.0</v>
      </c>
      <c r="B146" s="240" t="s">
        <v>1527</v>
      </c>
      <c r="C146" s="239" t="s">
        <v>109</v>
      </c>
      <c r="D146" s="213">
        <v>125.0</v>
      </c>
      <c r="E146" s="241" t="str">
        <f>'Daftar Harga'!D146</f>
        <v/>
      </c>
      <c r="F146" s="242" t="str">
        <f t="shared" ref="F146:F162" si="31">IF(E146&lt;&gt;"",D146*E146,"")</f>
        <v/>
      </c>
      <c r="G146" s="186">
        <v>14500.0</v>
      </c>
      <c r="H146" s="243">
        <f t="shared" ref="H146:H168" si="32">IF(G146&lt;&gt;"",D146*G146,"")</f>
        <v>1812500</v>
      </c>
      <c r="I146" s="188">
        <v>15500.0</v>
      </c>
      <c r="J146" s="244">
        <f t="shared" ref="J146:J168" si="33">IF(I146&lt;&gt;"",D146*I146,"")</f>
        <v>1937500</v>
      </c>
      <c r="K146" s="245">
        <f t="shared" ref="K146:K169" si="34">IF(J146&lt;&gt;"",IF(H146&lt;&gt;"",J146-H146,IF(F146&lt;&gt;"",J146-F146,"")),"")</f>
        <v>125000</v>
      </c>
      <c r="L146" s="246">
        <f t="shared" ref="L146:L169" si="35">IF(K146&lt;&gt;"",IF(H146&lt;&gt;"",IF(H146&lt;&gt;0,K146/H146,""),IF(F146&lt;&gt;"",IF(F146&lt;&gt;0,K146/F146,""),"")),"")</f>
        <v>0.06896551724</v>
      </c>
      <c r="M146" s="247"/>
    </row>
    <row r="147" ht="15.75" customHeight="1">
      <c r="A147" s="248">
        <v>2.0</v>
      </c>
      <c r="B147" s="249" t="s">
        <v>1838</v>
      </c>
      <c r="C147" s="239" t="s">
        <v>109</v>
      </c>
      <c r="D147" s="216">
        <v>85.0</v>
      </c>
      <c r="E147" s="241" t="str">
        <f>'Daftar Harga'!D149</f>
        <v/>
      </c>
      <c r="F147" s="242" t="str">
        <f t="shared" si="31"/>
        <v/>
      </c>
      <c r="G147" s="186">
        <v>45500.0</v>
      </c>
      <c r="H147" s="243">
        <f t="shared" si="32"/>
        <v>3867500</v>
      </c>
      <c r="I147" s="188">
        <v>48000.0</v>
      </c>
      <c r="J147" s="244">
        <f t="shared" si="33"/>
        <v>4080000</v>
      </c>
      <c r="K147" s="250">
        <f t="shared" si="34"/>
        <v>212500</v>
      </c>
      <c r="L147" s="251">
        <f t="shared" si="35"/>
        <v>0.05494505495</v>
      </c>
      <c r="M147" s="252"/>
    </row>
    <row r="148" ht="15.75" customHeight="1">
      <c r="A148" s="239">
        <v>3.0</v>
      </c>
      <c r="B148" s="240" t="s">
        <v>2223</v>
      </c>
      <c r="C148" s="239" t="s">
        <v>1662</v>
      </c>
      <c r="D148" s="213">
        <v>3.0</v>
      </c>
      <c r="E148" s="241" t="str">
        <f>'Daftar Harga'!D151</f>
        <v/>
      </c>
      <c r="F148" s="242" t="str">
        <f t="shared" si="31"/>
        <v/>
      </c>
      <c r="G148" s="199">
        <v>118000.0</v>
      </c>
      <c r="H148" s="243">
        <f t="shared" si="32"/>
        <v>354000</v>
      </c>
      <c r="I148" s="188">
        <v>118000.0</v>
      </c>
      <c r="J148" s="244">
        <f t="shared" si="33"/>
        <v>354000</v>
      </c>
      <c r="K148" s="245">
        <f t="shared" si="34"/>
        <v>0</v>
      </c>
      <c r="L148" s="246">
        <f t="shared" si="35"/>
        <v>0</v>
      </c>
      <c r="M148" s="247"/>
    </row>
    <row r="149" ht="15.75" customHeight="1">
      <c r="A149" s="248">
        <v>4.0</v>
      </c>
      <c r="B149" s="249" t="s">
        <v>1657</v>
      </c>
      <c r="C149" s="239" t="s">
        <v>1557</v>
      </c>
      <c r="D149" s="216">
        <v>1.0</v>
      </c>
      <c r="E149" s="241" t="str">
        <f>'Daftar Harga'!D153</f>
        <v/>
      </c>
      <c r="F149" s="242" t="str">
        <f t="shared" si="31"/>
        <v/>
      </c>
      <c r="G149" s="186">
        <v>47000.0</v>
      </c>
      <c r="H149" s="243">
        <f t="shared" si="32"/>
        <v>47000</v>
      </c>
      <c r="I149" s="188">
        <v>48000.0</v>
      </c>
      <c r="J149" s="244">
        <f t="shared" si="33"/>
        <v>48000</v>
      </c>
      <c r="K149" s="250">
        <f t="shared" si="34"/>
        <v>1000</v>
      </c>
      <c r="L149" s="251">
        <f t="shared" si="35"/>
        <v>0.02127659574</v>
      </c>
      <c r="M149" s="252"/>
    </row>
    <row r="150" ht="15.75" customHeight="1">
      <c r="A150" s="239">
        <v>5.0</v>
      </c>
      <c r="B150" s="240" t="s">
        <v>1578</v>
      </c>
      <c r="C150" s="239" t="s">
        <v>261</v>
      </c>
      <c r="D150" s="213">
        <v>3.0</v>
      </c>
      <c r="E150" s="241" t="str">
        <f>'Daftar Harga'!D156</f>
        <v/>
      </c>
      <c r="F150" s="242" t="str">
        <f t="shared" si="31"/>
        <v/>
      </c>
      <c r="G150" s="186">
        <v>21500.0</v>
      </c>
      <c r="H150" s="243">
        <f t="shared" si="32"/>
        <v>64500</v>
      </c>
      <c r="I150" s="188">
        <v>270000.0</v>
      </c>
      <c r="J150" s="244">
        <f t="shared" si="33"/>
        <v>810000</v>
      </c>
      <c r="K150" s="245">
        <f t="shared" si="34"/>
        <v>745500</v>
      </c>
      <c r="L150" s="246">
        <f t="shared" si="35"/>
        <v>11.55813953</v>
      </c>
      <c r="M150" s="247"/>
    </row>
    <row r="151" ht="15.75" customHeight="1">
      <c r="A151" s="248">
        <v>6.0</v>
      </c>
      <c r="B151" s="249" t="s">
        <v>1934</v>
      </c>
      <c r="C151" s="239" t="s">
        <v>109</v>
      </c>
      <c r="D151" s="216">
        <v>2.0</v>
      </c>
      <c r="E151" s="267" t="str">
        <f>'Daftar Harga'!D157</f>
        <v/>
      </c>
      <c r="F151" s="268" t="str">
        <f t="shared" si="31"/>
        <v/>
      </c>
      <c r="G151" s="186">
        <v>40000.0</v>
      </c>
      <c r="H151" s="243">
        <f t="shared" si="32"/>
        <v>80000</v>
      </c>
      <c r="I151" s="188">
        <v>50000.0</v>
      </c>
      <c r="J151" s="244">
        <f t="shared" si="33"/>
        <v>100000</v>
      </c>
      <c r="K151" s="250">
        <f t="shared" si="34"/>
        <v>20000</v>
      </c>
      <c r="L151" s="251">
        <f t="shared" si="35"/>
        <v>0.25</v>
      </c>
      <c r="M151" s="252"/>
    </row>
    <row r="152" ht="15.75" customHeight="1">
      <c r="A152" s="239">
        <v>7.0</v>
      </c>
      <c r="B152" s="240" t="s">
        <v>1935</v>
      </c>
      <c r="C152" s="239" t="s">
        <v>109</v>
      </c>
      <c r="D152" s="213">
        <v>2.15</v>
      </c>
      <c r="E152" s="241" t="str">
        <f>'Daftar Harga'!D178</f>
        <v/>
      </c>
      <c r="F152" s="242" t="str">
        <f t="shared" si="31"/>
        <v/>
      </c>
      <c r="G152" s="186">
        <v>33000.0</v>
      </c>
      <c r="H152" s="243">
        <f t="shared" si="32"/>
        <v>70950</v>
      </c>
      <c r="I152" s="188">
        <v>36000.0</v>
      </c>
      <c r="J152" s="244">
        <f t="shared" si="33"/>
        <v>77400</v>
      </c>
      <c r="K152" s="245">
        <f t="shared" si="34"/>
        <v>6450</v>
      </c>
      <c r="L152" s="246">
        <f t="shared" si="35"/>
        <v>0.09090909091</v>
      </c>
      <c r="M152" s="247"/>
    </row>
    <row r="153" ht="15.75" customHeight="1">
      <c r="A153" s="248">
        <v>8.0</v>
      </c>
      <c r="B153" s="249" t="s">
        <v>1522</v>
      </c>
      <c r="C153" s="239" t="s">
        <v>109</v>
      </c>
      <c r="D153" s="216">
        <v>2.1</v>
      </c>
      <c r="E153" s="241" t="str">
        <f>'Daftar Harga'!D189</f>
        <v/>
      </c>
      <c r="F153" s="242" t="str">
        <f t="shared" si="31"/>
        <v/>
      </c>
      <c r="G153" s="186">
        <v>28000.0</v>
      </c>
      <c r="H153" s="243">
        <f t="shared" si="32"/>
        <v>58800</v>
      </c>
      <c r="I153" s="188">
        <v>35000.0</v>
      </c>
      <c r="J153" s="244">
        <f t="shared" si="33"/>
        <v>73500</v>
      </c>
      <c r="K153" s="250">
        <f t="shared" si="34"/>
        <v>14700</v>
      </c>
      <c r="L153" s="251">
        <f t="shared" si="35"/>
        <v>0.25</v>
      </c>
      <c r="M153" s="252"/>
    </row>
    <row r="154" ht="15.75" customHeight="1">
      <c r="A154" s="239">
        <v>9.0</v>
      </c>
      <c r="B154" s="240" t="s">
        <v>1607</v>
      </c>
      <c r="C154" s="239" t="s">
        <v>109</v>
      </c>
      <c r="D154" s="213">
        <v>35.65</v>
      </c>
      <c r="E154" s="241" t="str">
        <f>'Daftar Harga'!D199</f>
        <v/>
      </c>
      <c r="F154" s="242" t="str">
        <f t="shared" si="31"/>
        <v/>
      </c>
      <c r="G154" s="186">
        <v>8000.0</v>
      </c>
      <c r="H154" s="243">
        <f t="shared" si="32"/>
        <v>285200</v>
      </c>
      <c r="I154" s="188">
        <v>10000.0</v>
      </c>
      <c r="J154" s="244">
        <f t="shared" si="33"/>
        <v>356500</v>
      </c>
      <c r="K154" s="245">
        <f t="shared" si="34"/>
        <v>71300</v>
      </c>
      <c r="L154" s="246">
        <f t="shared" si="35"/>
        <v>0.25</v>
      </c>
      <c r="M154" s="247"/>
    </row>
    <row r="155" ht="15.75" customHeight="1">
      <c r="A155" s="248">
        <v>10.0</v>
      </c>
      <c r="B155" s="249" t="s">
        <v>1609</v>
      </c>
      <c r="C155" s="239" t="s">
        <v>109</v>
      </c>
      <c r="D155" s="216">
        <v>35.15</v>
      </c>
      <c r="E155" s="241" t="str">
        <f>'Daftar Harga'!D201</f>
        <v/>
      </c>
      <c r="F155" s="242" t="str">
        <f t="shared" si="31"/>
        <v/>
      </c>
      <c r="G155" s="186">
        <v>14000.0</v>
      </c>
      <c r="H155" s="243">
        <f t="shared" si="32"/>
        <v>492100</v>
      </c>
      <c r="I155" s="188">
        <v>17000.0</v>
      </c>
      <c r="J155" s="244">
        <f t="shared" si="33"/>
        <v>597550</v>
      </c>
      <c r="K155" s="250">
        <f t="shared" si="34"/>
        <v>105450</v>
      </c>
      <c r="L155" s="251">
        <f t="shared" si="35"/>
        <v>0.2142857143</v>
      </c>
      <c r="M155" s="252"/>
    </row>
    <row r="156" ht="15.75" customHeight="1">
      <c r="A156" s="239">
        <v>11.0</v>
      </c>
      <c r="B156" s="240" t="s">
        <v>2224</v>
      </c>
      <c r="C156" s="239" t="s">
        <v>109</v>
      </c>
      <c r="D156" s="213">
        <v>6.0</v>
      </c>
      <c r="E156" s="267" t="str">
        <f>'Daftar Harga'!D204</f>
        <v/>
      </c>
      <c r="F156" s="268" t="str">
        <f t="shared" si="31"/>
        <v/>
      </c>
      <c r="G156" s="186">
        <v>23500.0</v>
      </c>
      <c r="H156" s="243">
        <f t="shared" si="32"/>
        <v>141000</v>
      </c>
      <c r="I156" s="188">
        <v>24000.0</v>
      </c>
      <c r="J156" s="244">
        <f t="shared" si="33"/>
        <v>144000</v>
      </c>
      <c r="K156" s="245">
        <f t="shared" si="34"/>
        <v>3000</v>
      </c>
      <c r="L156" s="246">
        <f t="shared" si="35"/>
        <v>0.02127659574</v>
      </c>
      <c r="M156" s="247"/>
    </row>
    <row r="157" ht="15.75" customHeight="1">
      <c r="A157" s="248">
        <v>12.0</v>
      </c>
      <c r="B157" s="249" t="s">
        <v>1543</v>
      </c>
      <c r="C157" s="239" t="s">
        <v>109</v>
      </c>
      <c r="D157" s="216">
        <v>20.0</v>
      </c>
      <c r="E157" s="267" t="str">
        <f>'Daftar Harga'!D213</f>
        <v/>
      </c>
      <c r="F157" s="268" t="str">
        <f t="shared" si="31"/>
        <v/>
      </c>
      <c r="G157" s="199">
        <v>2250.0</v>
      </c>
      <c r="H157" s="243">
        <f t="shared" si="32"/>
        <v>45000</v>
      </c>
      <c r="I157" s="188">
        <v>2500.0</v>
      </c>
      <c r="J157" s="244">
        <f t="shared" si="33"/>
        <v>50000</v>
      </c>
      <c r="K157" s="250">
        <f t="shared" si="34"/>
        <v>5000</v>
      </c>
      <c r="L157" s="251">
        <f t="shared" si="35"/>
        <v>0.1111111111</v>
      </c>
      <c r="M157" s="252"/>
    </row>
    <row r="158" ht="15.75" customHeight="1">
      <c r="A158" s="239">
        <v>13.0</v>
      </c>
      <c r="B158" s="240" t="s">
        <v>1655</v>
      </c>
      <c r="C158" s="239" t="s">
        <v>109</v>
      </c>
      <c r="D158" s="213">
        <v>4.8</v>
      </c>
      <c r="E158" s="267" t="str">
        <f>'Daftar Harga'!D217</f>
        <v/>
      </c>
      <c r="F158" s="268" t="str">
        <f t="shared" si="31"/>
        <v/>
      </c>
      <c r="G158" s="186">
        <v>18500.0</v>
      </c>
      <c r="H158" s="243">
        <f t="shared" si="32"/>
        <v>88800</v>
      </c>
      <c r="I158" s="188">
        <v>19000.0</v>
      </c>
      <c r="J158" s="244">
        <f t="shared" si="33"/>
        <v>91200</v>
      </c>
      <c r="K158" s="245">
        <f t="shared" si="34"/>
        <v>2400</v>
      </c>
      <c r="L158" s="246">
        <f t="shared" si="35"/>
        <v>0.02702702703</v>
      </c>
      <c r="M158" s="247"/>
    </row>
    <row r="159" ht="15.75" customHeight="1">
      <c r="A159" s="248">
        <v>14.0</v>
      </c>
      <c r="B159" s="249" t="s">
        <v>2225</v>
      </c>
      <c r="C159" s="239" t="s">
        <v>109</v>
      </c>
      <c r="D159" s="216">
        <v>5.0</v>
      </c>
      <c r="E159" s="267" t="str">
        <f>'Daftar Harga'!D219</f>
        <v/>
      </c>
      <c r="F159" s="268" t="str">
        <f t="shared" si="31"/>
        <v/>
      </c>
      <c r="G159" s="186">
        <v>30000.0</v>
      </c>
      <c r="H159" s="243">
        <f t="shared" si="32"/>
        <v>150000</v>
      </c>
      <c r="I159" s="188">
        <v>45000.0</v>
      </c>
      <c r="J159" s="244">
        <f t="shared" si="33"/>
        <v>225000</v>
      </c>
      <c r="K159" s="250">
        <f t="shared" si="34"/>
        <v>75000</v>
      </c>
      <c r="L159" s="251">
        <f t="shared" si="35"/>
        <v>0.5</v>
      </c>
      <c r="M159" s="252"/>
    </row>
    <row r="160" ht="15.75" customHeight="1">
      <c r="A160" s="239">
        <v>15.0</v>
      </c>
      <c r="B160" s="240" t="s">
        <v>1566</v>
      </c>
      <c r="C160" s="239" t="s">
        <v>109</v>
      </c>
      <c r="D160" s="213">
        <v>1.0</v>
      </c>
      <c r="E160" s="267" t="str">
        <f>'Daftar Harga'!D223</f>
        <v/>
      </c>
      <c r="F160" s="268" t="str">
        <f t="shared" si="31"/>
        <v/>
      </c>
      <c r="G160" s="186">
        <v>94000.0</v>
      </c>
      <c r="H160" s="243">
        <f t="shared" si="32"/>
        <v>94000</v>
      </c>
      <c r="I160" s="188">
        <v>95000.0</v>
      </c>
      <c r="J160" s="264">
        <f t="shared" si="33"/>
        <v>95000</v>
      </c>
      <c r="K160" s="245">
        <f t="shared" si="34"/>
        <v>1000</v>
      </c>
      <c r="L160" s="246">
        <f t="shared" si="35"/>
        <v>0.01063829787</v>
      </c>
      <c r="M160" s="247"/>
    </row>
    <row r="161" ht="15.75" customHeight="1">
      <c r="A161" s="338">
        <v>16.0</v>
      </c>
      <c r="B161" s="240" t="s">
        <v>1637</v>
      </c>
      <c r="C161" s="239" t="s">
        <v>109</v>
      </c>
      <c r="D161" s="339">
        <v>1.0</v>
      </c>
      <c r="E161" s="267"/>
      <c r="F161" s="268" t="str">
        <f t="shared" si="31"/>
        <v/>
      </c>
      <c r="G161" s="186">
        <v>95000.0</v>
      </c>
      <c r="H161" s="243">
        <f t="shared" si="32"/>
        <v>95000</v>
      </c>
      <c r="I161" s="434">
        <v>95000.0</v>
      </c>
      <c r="J161" s="264">
        <f t="shared" si="33"/>
        <v>95000</v>
      </c>
      <c r="K161" s="245">
        <f t="shared" si="34"/>
        <v>0</v>
      </c>
      <c r="L161" s="246">
        <f t="shared" si="35"/>
        <v>0</v>
      </c>
      <c r="M161" s="247"/>
    </row>
    <row r="162" ht="15.75" customHeight="1">
      <c r="A162" s="338">
        <v>17.0</v>
      </c>
      <c r="B162" s="240" t="s">
        <v>2226</v>
      </c>
      <c r="C162" s="239" t="s">
        <v>109</v>
      </c>
      <c r="D162" s="339">
        <v>1.0</v>
      </c>
      <c r="E162" s="267"/>
      <c r="F162" s="268" t="str">
        <f t="shared" si="31"/>
        <v/>
      </c>
      <c r="G162" s="186">
        <v>24000.0</v>
      </c>
      <c r="H162" s="243">
        <f t="shared" si="32"/>
        <v>24000</v>
      </c>
      <c r="I162" s="434">
        <v>24000.0</v>
      </c>
      <c r="J162" s="264">
        <f t="shared" si="33"/>
        <v>24000</v>
      </c>
      <c r="K162" s="245">
        <f t="shared" si="34"/>
        <v>0</v>
      </c>
      <c r="L162" s="246">
        <f t="shared" si="35"/>
        <v>0</v>
      </c>
      <c r="M162" s="247"/>
    </row>
    <row r="163" ht="15.75" customHeight="1">
      <c r="A163" s="239">
        <v>18.0</v>
      </c>
      <c r="B163" s="240" t="s">
        <v>1534</v>
      </c>
      <c r="C163" s="239" t="s">
        <v>109</v>
      </c>
      <c r="D163" s="339">
        <v>30.85</v>
      </c>
      <c r="E163" s="267"/>
      <c r="F163" s="268"/>
      <c r="G163" s="186">
        <v>15000.0</v>
      </c>
      <c r="H163" s="243">
        <f t="shared" si="32"/>
        <v>462750</v>
      </c>
      <c r="I163" s="434">
        <v>16000.0</v>
      </c>
      <c r="J163" s="264">
        <f t="shared" si="33"/>
        <v>493600</v>
      </c>
      <c r="K163" s="245">
        <f t="shared" si="34"/>
        <v>30850</v>
      </c>
      <c r="L163" s="246">
        <f t="shared" si="35"/>
        <v>0.06666666667</v>
      </c>
      <c r="M163" s="247"/>
    </row>
    <row r="164" ht="15.75" customHeight="1">
      <c r="A164" s="338">
        <v>19.0</v>
      </c>
      <c r="B164" s="240" t="s">
        <v>1236</v>
      </c>
      <c r="C164" s="239" t="s">
        <v>109</v>
      </c>
      <c r="D164" s="339">
        <v>128.0</v>
      </c>
      <c r="E164" s="267"/>
      <c r="F164" s="268" t="str">
        <f t="shared" ref="F164:F168" si="36">IF(E164&lt;&gt;"",D164*E164,"")</f>
        <v/>
      </c>
      <c r="G164" s="186">
        <v>29500.0</v>
      </c>
      <c r="H164" s="243">
        <f t="shared" si="32"/>
        <v>3776000</v>
      </c>
      <c r="I164" s="434">
        <v>27000.0</v>
      </c>
      <c r="J164" s="264">
        <f t="shared" si="33"/>
        <v>3456000</v>
      </c>
      <c r="K164" s="245">
        <f t="shared" si="34"/>
        <v>-320000</v>
      </c>
      <c r="L164" s="246">
        <f t="shared" si="35"/>
        <v>-0.08474576271</v>
      </c>
      <c r="M164" s="247"/>
    </row>
    <row r="165" ht="15.75" customHeight="1">
      <c r="A165" s="338">
        <v>20.0</v>
      </c>
      <c r="B165" s="240" t="s">
        <v>1209</v>
      </c>
      <c r="C165" s="239" t="s">
        <v>109</v>
      </c>
      <c r="D165" s="339">
        <v>63.2</v>
      </c>
      <c r="E165" s="267"/>
      <c r="F165" s="268" t="str">
        <f t="shared" si="36"/>
        <v/>
      </c>
      <c r="G165" s="186">
        <v>37000.0</v>
      </c>
      <c r="H165" s="243">
        <f t="shared" si="32"/>
        <v>2338400</v>
      </c>
      <c r="I165" s="434">
        <v>40000.0</v>
      </c>
      <c r="J165" s="264">
        <f t="shared" si="33"/>
        <v>2528000</v>
      </c>
      <c r="K165" s="245">
        <f t="shared" si="34"/>
        <v>189600</v>
      </c>
      <c r="L165" s="246">
        <f t="shared" si="35"/>
        <v>0.08108108108</v>
      </c>
      <c r="M165" s="247"/>
    </row>
    <row r="166" ht="15.75" customHeight="1">
      <c r="A166" s="239">
        <v>21.0</v>
      </c>
      <c r="B166" s="240" t="s">
        <v>2227</v>
      </c>
      <c r="C166" s="239" t="s">
        <v>109</v>
      </c>
      <c r="D166" s="339">
        <v>5.0</v>
      </c>
      <c r="E166" s="267"/>
      <c r="F166" s="268" t="str">
        <f t="shared" si="36"/>
        <v/>
      </c>
      <c r="G166" s="186">
        <v>17020.0</v>
      </c>
      <c r="H166" s="243">
        <f t="shared" si="32"/>
        <v>85100</v>
      </c>
      <c r="I166" s="434">
        <v>17020.0</v>
      </c>
      <c r="J166" s="264">
        <f t="shared" si="33"/>
        <v>85100</v>
      </c>
      <c r="K166" s="245">
        <f t="shared" si="34"/>
        <v>0</v>
      </c>
      <c r="L166" s="246">
        <f t="shared" si="35"/>
        <v>0</v>
      </c>
      <c r="M166" s="247"/>
    </row>
    <row r="167" ht="15.75" customHeight="1">
      <c r="A167" s="338">
        <v>22.0</v>
      </c>
      <c r="B167" s="240" t="s">
        <v>2228</v>
      </c>
      <c r="C167" s="239" t="s">
        <v>109</v>
      </c>
      <c r="D167" s="339">
        <v>1.0</v>
      </c>
      <c r="E167" s="267"/>
      <c r="F167" s="268" t="str">
        <f t="shared" si="36"/>
        <v/>
      </c>
      <c r="G167" s="186">
        <v>17500.0</v>
      </c>
      <c r="H167" s="243">
        <f t="shared" si="32"/>
        <v>17500</v>
      </c>
      <c r="I167" s="434">
        <v>17500.0</v>
      </c>
      <c r="J167" s="264">
        <f t="shared" si="33"/>
        <v>17500</v>
      </c>
      <c r="K167" s="245">
        <f t="shared" si="34"/>
        <v>0</v>
      </c>
      <c r="L167" s="246">
        <f t="shared" si="35"/>
        <v>0</v>
      </c>
      <c r="M167" s="247"/>
    </row>
    <row r="168" ht="15.75" customHeight="1">
      <c r="A168" s="338">
        <v>23.0</v>
      </c>
      <c r="B168" s="240" t="s">
        <v>2229</v>
      </c>
      <c r="C168" s="239" t="s">
        <v>109</v>
      </c>
      <c r="D168" s="339">
        <v>3.0</v>
      </c>
      <c r="E168" s="267"/>
      <c r="F168" s="268" t="str">
        <f t="shared" si="36"/>
        <v/>
      </c>
      <c r="G168" s="186">
        <v>24000.0</v>
      </c>
      <c r="H168" s="263">
        <f t="shared" si="32"/>
        <v>72000</v>
      </c>
      <c r="I168" s="434">
        <v>24000.0</v>
      </c>
      <c r="J168" s="264">
        <f t="shared" si="33"/>
        <v>72000</v>
      </c>
      <c r="K168" s="245">
        <f t="shared" si="34"/>
        <v>0</v>
      </c>
      <c r="L168" s="246">
        <f t="shared" si="35"/>
        <v>0</v>
      </c>
      <c r="M168" s="247"/>
    </row>
    <row r="169" ht="15.75" customHeight="1">
      <c r="A169" s="435" t="s">
        <v>1659</v>
      </c>
      <c r="B169" s="356"/>
      <c r="C169" s="259"/>
      <c r="D169" s="356"/>
      <c r="E169" s="257"/>
      <c r="F169" s="258">
        <f>SUMIF(F146:F168,"&lt;&gt;",F146:F168)</f>
        <v>0</v>
      </c>
      <c r="G169" s="317"/>
      <c r="H169" s="260">
        <f>SUMIF(H146:H168,"&lt;&gt;",H146:H168)</f>
        <v>14522100</v>
      </c>
      <c r="I169" s="322"/>
      <c r="J169" s="260">
        <f>SUMIF(J146:J168,"&lt;&gt;",J146:J168)</f>
        <v>15810850</v>
      </c>
      <c r="K169" s="261">
        <f t="shared" si="34"/>
        <v>1288750</v>
      </c>
      <c r="L169" s="262">
        <f t="shared" si="35"/>
        <v>0.08874405217</v>
      </c>
      <c r="M169" s="257"/>
    </row>
    <row r="170" ht="15.75" customHeight="1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</row>
    <row r="171" ht="15.75" customHeight="1">
      <c r="A171" s="323"/>
      <c r="B171" s="324"/>
      <c r="C171" s="228" t="s">
        <v>2230</v>
      </c>
      <c r="D171" s="155"/>
      <c r="E171" s="155"/>
      <c r="F171" s="155"/>
      <c r="G171" s="155"/>
      <c r="H171" s="155"/>
      <c r="I171" s="155"/>
      <c r="J171" s="155"/>
      <c r="K171" s="155"/>
      <c r="L171" s="155"/>
      <c r="M171" s="323"/>
    </row>
    <row r="172" ht="15.75" customHeight="1">
      <c r="A172" s="229" t="s">
        <v>1509</v>
      </c>
      <c r="B172" s="229" t="s">
        <v>1510</v>
      </c>
      <c r="C172" s="302" t="s">
        <v>1511</v>
      </c>
      <c r="D172" s="302" t="s">
        <v>1614</v>
      </c>
      <c r="E172" s="303" t="s">
        <v>1615</v>
      </c>
      <c r="F172" s="304"/>
      <c r="G172" s="305" t="s">
        <v>1616</v>
      </c>
      <c r="H172" s="304"/>
      <c r="I172" s="306" t="s">
        <v>1617</v>
      </c>
      <c r="J172" s="304"/>
      <c r="K172" s="307" t="s">
        <v>1618</v>
      </c>
      <c r="L172" s="304"/>
      <c r="M172" s="302" t="s">
        <v>1619</v>
      </c>
    </row>
    <row r="173" ht="15.75" customHeight="1">
      <c r="A173" s="234" t="s">
        <v>1509</v>
      </c>
      <c r="B173" s="234" t="s">
        <v>1510</v>
      </c>
      <c r="C173" s="234" t="s">
        <v>1511</v>
      </c>
      <c r="D173" s="234" t="s">
        <v>1614</v>
      </c>
      <c r="E173" s="235" t="s">
        <v>1620</v>
      </c>
      <c r="F173" s="235" t="s">
        <v>1621</v>
      </c>
      <c r="G173" s="236" t="s">
        <v>1622</v>
      </c>
      <c r="H173" s="236" t="s">
        <v>1623</v>
      </c>
      <c r="I173" s="237" t="s">
        <v>1624</v>
      </c>
      <c r="J173" s="237" t="s">
        <v>1625</v>
      </c>
      <c r="K173" s="238" t="s">
        <v>1626</v>
      </c>
      <c r="L173" s="238" t="s">
        <v>1627</v>
      </c>
      <c r="M173" s="234" t="s">
        <v>1619</v>
      </c>
    </row>
    <row r="174" ht="15.75" customHeight="1">
      <c r="A174" s="239">
        <v>1.0</v>
      </c>
      <c r="B174" s="240" t="s">
        <v>1581</v>
      </c>
      <c r="C174" s="239" t="s">
        <v>109</v>
      </c>
      <c r="D174" s="213">
        <v>2158.0</v>
      </c>
      <c r="E174" s="267"/>
      <c r="F174" s="268" t="str">
        <f t="shared" ref="F174:F185" si="37">IF(E174&lt;&gt;"",D174*E174,"")</f>
        <v/>
      </c>
      <c r="G174" s="186">
        <v>2000.0</v>
      </c>
      <c r="H174" s="243">
        <f t="shared" ref="H174:H185" si="38">IF(G174&lt;&gt;"",D174*G174,"")</f>
        <v>4316000</v>
      </c>
      <c r="I174" s="188">
        <v>2400.0</v>
      </c>
      <c r="J174" s="244">
        <f t="shared" ref="J174:J185" si="39">IF(I174&lt;&gt;"",D174*I174,"")</f>
        <v>5179200</v>
      </c>
      <c r="K174" s="245">
        <f t="shared" ref="K174:K186" si="40">IF(J174&lt;&gt;"",IF(H174&lt;&gt;"",J174-H174,IF(F174&lt;&gt;"",J174-F174,"")),"")</f>
        <v>863200</v>
      </c>
      <c r="L174" s="246">
        <f t="shared" ref="L174:L186" si="41">IF(K174&lt;&gt;"",IF(H174&lt;&gt;"",IF(H174&lt;&gt;0,K174/H174,""),IF(F174&lt;&gt;"",IF(F174&lt;&gt;0,K174/F174,""),"")),"")</f>
        <v>0.2</v>
      </c>
      <c r="M174" s="247"/>
    </row>
    <row r="175" ht="15.75" customHeight="1">
      <c r="A175" s="248">
        <v>2.0</v>
      </c>
      <c r="B175" s="249" t="s">
        <v>1600</v>
      </c>
      <c r="C175" s="239" t="s">
        <v>109</v>
      </c>
      <c r="D175" s="216">
        <v>158.55</v>
      </c>
      <c r="E175" s="267"/>
      <c r="F175" s="268" t="str">
        <f t="shared" si="37"/>
        <v/>
      </c>
      <c r="G175" s="186">
        <v>25000.0</v>
      </c>
      <c r="H175" s="243">
        <f t="shared" si="38"/>
        <v>3963750</v>
      </c>
      <c r="I175" s="188">
        <v>27000.0</v>
      </c>
      <c r="J175" s="244">
        <f t="shared" si="39"/>
        <v>4280850</v>
      </c>
      <c r="K175" s="250">
        <f t="shared" si="40"/>
        <v>317100</v>
      </c>
      <c r="L175" s="251">
        <f t="shared" si="41"/>
        <v>0.08</v>
      </c>
      <c r="M175" s="252"/>
    </row>
    <row r="176" ht="15.75" customHeight="1">
      <c r="A176" s="239">
        <v>3.0</v>
      </c>
      <c r="B176" s="240" t="s">
        <v>2231</v>
      </c>
      <c r="C176" s="239" t="s">
        <v>1662</v>
      </c>
      <c r="D176" s="213">
        <v>500.0</v>
      </c>
      <c r="E176" s="267"/>
      <c r="F176" s="268" t="str">
        <f t="shared" si="37"/>
        <v/>
      </c>
      <c r="G176" s="186">
        <v>260.0</v>
      </c>
      <c r="H176" s="243">
        <f t="shared" si="38"/>
        <v>130000</v>
      </c>
      <c r="I176" s="188">
        <v>260.0</v>
      </c>
      <c r="J176" s="244">
        <f t="shared" si="39"/>
        <v>130000</v>
      </c>
      <c r="K176" s="245">
        <f t="shared" si="40"/>
        <v>0</v>
      </c>
      <c r="L176" s="246">
        <f t="shared" si="41"/>
        <v>0</v>
      </c>
      <c r="M176" s="247"/>
    </row>
    <row r="177" ht="15.75" customHeight="1">
      <c r="A177" s="248">
        <v>4.0</v>
      </c>
      <c r="B177" s="249" t="s">
        <v>1935</v>
      </c>
      <c r="C177" s="239" t="s">
        <v>1557</v>
      </c>
      <c r="D177" s="216">
        <v>1.0</v>
      </c>
      <c r="E177" s="267"/>
      <c r="F177" s="268" t="str">
        <f t="shared" si="37"/>
        <v/>
      </c>
      <c r="G177" s="186">
        <v>32000.0</v>
      </c>
      <c r="H177" s="243">
        <f t="shared" si="38"/>
        <v>32000</v>
      </c>
      <c r="I177" s="188">
        <v>36000.0</v>
      </c>
      <c r="J177" s="244">
        <f t="shared" si="39"/>
        <v>36000</v>
      </c>
      <c r="K177" s="250">
        <f t="shared" si="40"/>
        <v>4000</v>
      </c>
      <c r="L177" s="251">
        <f t="shared" si="41"/>
        <v>0.125</v>
      </c>
      <c r="M177" s="252"/>
    </row>
    <row r="178" ht="15.75" customHeight="1">
      <c r="A178" s="239">
        <v>5.0</v>
      </c>
      <c r="B178" s="240" t="s">
        <v>1607</v>
      </c>
      <c r="C178" s="239" t="s">
        <v>261</v>
      </c>
      <c r="D178" s="213">
        <v>2.0</v>
      </c>
      <c r="E178" s="267"/>
      <c r="F178" s="268" t="str">
        <f t="shared" si="37"/>
        <v/>
      </c>
      <c r="G178" s="186">
        <v>8000.0</v>
      </c>
      <c r="H178" s="243">
        <f t="shared" si="38"/>
        <v>16000</v>
      </c>
      <c r="I178" s="188">
        <v>10000.0</v>
      </c>
      <c r="J178" s="244">
        <f t="shared" si="39"/>
        <v>20000</v>
      </c>
      <c r="K178" s="245">
        <f t="shared" si="40"/>
        <v>4000</v>
      </c>
      <c r="L178" s="246">
        <f t="shared" si="41"/>
        <v>0.25</v>
      </c>
      <c r="M178" s="247"/>
    </row>
    <row r="179" ht="15.75" customHeight="1">
      <c r="A179" s="248">
        <v>6.0</v>
      </c>
      <c r="B179" s="249" t="s">
        <v>2232</v>
      </c>
      <c r="C179" s="239" t="s">
        <v>109</v>
      </c>
      <c r="D179" s="216">
        <v>20.75</v>
      </c>
      <c r="E179" s="267"/>
      <c r="F179" s="268" t="str">
        <f t="shared" si="37"/>
        <v/>
      </c>
      <c r="G179" s="186">
        <v>30000.0</v>
      </c>
      <c r="H179" s="243">
        <f t="shared" si="38"/>
        <v>622500</v>
      </c>
      <c r="I179" s="188">
        <v>32000.0</v>
      </c>
      <c r="J179" s="244">
        <f t="shared" si="39"/>
        <v>664000</v>
      </c>
      <c r="K179" s="250">
        <f t="shared" si="40"/>
        <v>41500</v>
      </c>
      <c r="L179" s="251">
        <f t="shared" si="41"/>
        <v>0.06666666667</v>
      </c>
      <c r="M179" s="252"/>
    </row>
    <row r="180" ht="15.75" customHeight="1">
      <c r="A180" s="239">
        <v>7.0</v>
      </c>
      <c r="B180" s="240" t="s">
        <v>1808</v>
      </c>
      <c r="C180" s="239" t="s">
        <v>109</v>
      </c>
      <c r="D180" s="213">
        <v>1.0</v>
      </c>
      <c r="E180" s="267"/>
      <c r="F180" s="268" t="str">
        <f t="shared" si="37"/>
        <v/>
      </c>
      <c r="G180" s="186">
        <v>85000.0</v>
      </c>
      <c r="H180" s="243">
        <f t="shared" si="38"/>
        <v>85000</v>
      </c>
      <c r="I180" s="188">
        <v>95000.0</v>
      </c>
      <c r="J180" s="244">
        <f t="shared" si="39"/>
        <v>95000</v>
      </c>
      <c r="K180" s="245">
        <f t="shared" si="40"/>
        <v>10000</v>
      </c>
      <c r="L180" s="246">
        <f t="shared" si="41"/>
        <v>0.1176470588</v>
      </c>
      <c r="M180" s="247"/>
    </row>
    <row r="181" ht="15.75" customHeight="1">
      <c r="A181" s="248">
        <v>8.0</v>
      </c>
      <c r="B181" s="249" t="s">
        <v>1522</v>
      </c>
      <c r="C181" s="239" t="s">
        <v>109</v>
      </c>
      <c r="D181" s="216">
        <v>1.25</v>
      </c>
      <c r="E181" s="267" t="str">
        <f>'Daftar Harga'!D217</f>
        <v/>
      </c>
      <c r="F181" s="268" t="str">
        <f t="shared" si="37"/>
        <v/>
      </c>
      <c r="G181" s="186">
        <v>28000.0</v>
      </c>
      <c r="H181" s="243">
        <f t="shared" si="38"/>
        <v>35000</v>
      </c>
      <c r="I181" s="188">
        <v>35000.0</v>
      </c>
      <c r="J181" s="244">
        <f t="shared" si="39"/>
        <v>43750</v>
      </c>
      <c r="K181" s="250">
        <f t="shared" si="40"/>
        <v>8750</v>
      </c>
      <c r="L181" s="251">
        <f t="shared" si="41"/>
        <v>0.25</v>
      </c>
      <c r="M181" s="252"/>
    </row>
    <row r="182" ht="15.75" customHeight="1">
      <c r="A182" s="239">
        <v>9.0</v>
      </c>
      <c r="B182" s="240" t="s">
        <v>2233</v>
      </c>
      <c r="C182" s="239" t="s">
        <v>109</v>
      </c>
      <c r="D182" s="213">
        <v>42.1</v>
      </c>
      <c r="E182" s="267" t="str">
        <f>'Daftar Harga'!D227</f>
        <v/>
      </c>
      <c r="F182" s="268" t="str">
        <f t="shared" si="37"/>
        <v/>
      </c>
      <c r="G182" s="186">
        <v>14286.0</v>
      </c>
      <c r="H182" s="243">
        <f t="shared" si="38"/>
        <v>601440.6</v>
      </c>
      <c r="I182" s="188">
        <v>17000.0</v>
      </c>
      <c r="J182" s="244">
        <f t="shared" si="39"/>
        <v>715700</v>
      </c>
      <c r="K182" s="245">
        <f t="shared" si="40"/>
        <v>114259.4</v>
      </c>
      <c r="L182" s="246">
        <f t="shared" si="41"/>
        <v>0.1899762005</v>
      </c>
      <c r="M182" s="247"/>
    </row>
    <row r="183" ht="15.75" customHeight="1">
      <c r="A183" s="248">
        <v>10.0</v>
      </c>
      <c r="B183" s="249" t="s">
        <v>2234</v>
      </c>
      <c r="C183" s="239" t="s">
        <v>109</v>
      </c>
      <c r="D183" s="216">
        <v>1.0</v>
      </c>
      <c r="E183" s="267" t="str">
        <f>'Daftar Harga'!D229</f>
        <v/>
      </c>
      <c r="F183" s="268" t="str">
        <f t="shared" si="37"/>
        <v/>
      </c>
      <c r="G183" s="186">
        <v>258000.0</v>
      </c>
      <c r="H183" s="243">
        <f t="shared" si="38"/>
        <v>258000</v>
      </c>
      <c r="I183" s="188">
        <v>270000.0</v>
      </c>
      <c r="J183" s="244">
        <f t="shared" si="39"/>
        <v>270000</v>
      </c>
      <c r="K183" s="250">
        <f t="shared" si="40"/>
        <v>12000</v>
      </c>
      <c r="L183" s="251">
        <f t="shared" si="41"/>
        <v>0.04651162791</v>
      </c>
      <c r="M183" s="252"/>
    </row>
    <row r="184" ht="15.75" customHeight="1">
      <c r="A184" s="239">
        <v>11.0</v>
      </c>
      <c r="B184" s="240" t="s">
        <v>1234</v>
      </c>
      <c r="C184" s="239" t="s">
        <v>109</v>
      </c>
      <c r="D184" s="213">
        <v>8.55</v>
      </c>
      <c r="E184" s="267" t="str">
        <f>'Daftar Harga'!D232</f>
        <v/>
      </c>
      <c r="F184" s="268" t="str">
        <f t="shared" si="37"/>
        <v/>
      </c>
      <c r="G184" s="186">
        <v>12000.0</v>
      </c>
      <c r="H184" s="243">
        <f t="shared" si="38"/>
        <v>102600</v>
      </c>
      <c r="I184" s="188">
        <v>13000.0</v>
      </c>
      <c r="J184" s="244">
        <f t="shared" si="39"/>
        <v>111150</v>
      </c>
      <c r="K184" s="245">
        <f t="shared" si="40"/>
        <v>8550</v>
      </c>
      <c r="L184" s="246">
        <f t="shared" si="41"/>
        <v>0.08333333333</v>
      </c>
      <c r="M184" s="247"/>
    </row>
    <row r="185" ht="15.75" customHeight="1">
      <c r="A185" s="248">
        <v>12.0</v>
      </c>
      <c r="B185" s="249" t="s">
        <v>2235</v>
      </c>
      <c r="C185" s="239" t="s">
        <v>109</v>
      </c>
      <c r="D185" s="216">
        <v>3.0</v>
      </c>
      <c r="E185" s="267" t="str">
        <f>'Daftar Harga'!D241</f>
        <v/>
      </c>
      <c r="F185" s="268" t="str">
        <f t="shared" si="37"/>
        <v/>
      </c>
      <c r="G185" s="186">
        <v>15500.0</v>
      </c>
      <c r="H185" s="263">
        <f t="shared" si="38"/>
        <v>46500</v>
      </c>
      <c r="I185" s="188">
        <v>15500.0</v>
      </c>
      <c r="J185" s="244">
        <f t="shared" si="39"/>
        <v>46500</v>
      </c>
      <c r="K185" s="250">
        <f t="shared" si="40"/>
        <v>0</v>
      </c>
      <c r="L185" s="251">
        <f t="shared" si="41"/>
        <v>0</v>
      </c>
      <c r="M185" s="252"/>
    </row>
    <row r="186" ht="15.75" customHeight="1">
      <c r="A186" s="435" t="s">
        <v>1666</v>
      </c>
      <c r="B186" s="356"/>
      <c r="C186" s="259"/>
      <c r="D186" s="356"/>
      <c r="E186" s="257"/>
      <c r="F186" s="258">
        <f>SUMIF(F174:F185,"&lt;&gt;",F174:F185)</f>
        <v>0</v>
      </c>
      <c r="G186" s="317"/>
      <c r="H186" s="260">
        <f>SUMIF(H174:H185,"&lt;&gt;",H174:H185)</f>
        <v>10208790.6</v>
      </c>
      <c r="I186" s="322"/>
      <c r="J186" s="260">
        <f>SUMIF(J174:J185,"&lt;&gt;",J174:J185)</f>
        <v>11592150</v>
      </c>
      <c r="K186" s="261">
        <f t="shared" si="40"/>
        <v>1383359.4</v>
      </c>
      <c r="L186" s="262">
        <f t="shared" si="41"/>
        <v>0.1355066877</v>
      </c>
      <c r="M186" s="257"/>
    </row>
    <row r="187" ht="15.75" customHeight="1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</row>
    <row r="188" ht="15.75" customHeight="1">
      <c r="A188" s="228" t="s">
        <v>1667</v>
      </c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</row>
    <row r="189" ht="15.75" customHeight="1">
      <c r="A189" s="229" t="s">
        <v>1509</v>
      </c>
      <c r="B189" s="229" t="s">
        <v>1510</v>
      </c>
      <c r="C189" s="302" t="s">
        <v>1511</v>
      </c>
      <c r="D189" s="302" t="s">
        <v>1614</v>
      </c>
      <c r="E189" s="303" t="s">
        <v>1615</v>
      </c>
      <c r="F189" s="304"/>
      <c r="G189" s="305" t="s">
        <v>1616</v>
      </c>
      <c r="H189" s="304"/>
      <c r="I189" s="306" t="s">
        <v>1617</v>
      </c>
      <c r="J189" s="304"/>
      <c r="K189" s="307" t="s">
        <v>1618</v>
      </c>
      <c r="L189" s="304"/>
      <c r="M189" s="302" t="s">
        <v>1619</v>
      </c>
    </row>
    <row r="190" ht="15.75" customHeight="1">
      <c r="A190" s="234" t="s">
        <v>1509</v>
      </c>
      <c r="B190" s="234" t="s">
        <v>1510</v>
      </c>
      <c r="C190" s="234" t="s">
        <v>1511</v>
      </c>
      <c r="D190" s="234" t="s">
        <v>1614</v>
      </c>
      <c r="E190" s="235" t="s">
        <v>1620</v>
      </c>
      <c r="F190" s="235" t="s">
        <v>1621</v>
      </c>
      <c r="G190" s="236" t="s">
        <v>1622</v>
      </c>
      <c r="H190" s="236" t="s">
        <v>1623</v>
      </c>
      <c r="I190" s="237" t="s">
        <v>1624</v>
      </c>
      <c r="J190" s="237" t="s">
        <v>1625</v>
      </c>
      <c r="K190" s="238" t="s">
        <v>1626</v>
      </c>
      <c r="L190" s="238" t="s">
        <v>1627</v>
      </c>
      <c r="M190" s="234" t="s">
        <v>1619</v>
      </c>
    </row>
    <row r="191" ht="15.75" customHeight="1">
      <c r="A191" s="239">
        <v>1.0</v>
      </c>
      <c r="B191" s="240" t="s">
        <v>1527</v>
      </c>
      <c r="C191" s="239" t="s">
        <v>109</v>
      </c>
      <c r="D191" s="213">
        <v>75.0</v>
      </c>
      <c r="E191" s="267"/>
      <c r="F191" s="268" t="str">
        <f t="shared" ref="F191:F202" si="42">IF(E191&lt;&gt;"",D191*E191,"")</f>
        <v/>
      </c>
      <c r="G191" s="186">
        <v>14500.0</v>
      </c>
      <c r="H191" s="243">
        <f t="shared" ref="H191:H211" si="43">IF(G191&lt;&gt;"",D191*G191,"")</f>
        <v>1087500</v>
      </c>
      <c r="I191" s="188">
        <v>15500.0</v>
      </c>
      <c r="J191" s="244">
        <f t="shared" ref="J191:J211" si="44">IF(I191&lt;&gt;"",D191*I191,"")</f>
        <v>1162500</v>
      </c>
      <c r="K191" s="245">
        <f t="shared" ref="K191:K212" si="45">IF(J191&lt;&gt;"",IF(H191&lt;&gt;"",J191-H191,IF(F191&lt;&gt;"",J191-F191,"")),"")</f>
        <v>75000</v>
      </c>
      <c r="L191" s="246">
        <f t="shared" ref="L191:L212" si="46">IF(K191&lt;&gt;"",IF(H191&lt;&gt;"",IF(H191&lt;&gt;0,K191/H191,""),IF(F191&lt;&gt;"",IF(F191&lt;&gt;0,K191/F191,""),"")),"")</f>
        <v>0.06896551724</v>
      </c>
      <c r="M191" s="247"/>
    </row>
    <row r="192" ht="15.75" customHeight="1">
      <c r="A192" s="248">
        <v>2.0</v>
      </c>
      <c r="B192" s="249" t="s">
        <v>2025</v>
      </c>
      <c r="C192" s="239" t="s">
        <v>109</v>
      </c>
      <c r="D192" s="216">
        <v>78.65</v>
      </c>
      <c r="E192" s="267"/>
      <c r="F192" s="268" t="str">
        <f t="shared" si="42"/>
        <v/>
      </c>
      <c r="G192" s="186">
        <v>25000.0</v>
      </c>
      <c r="H192" s="243">
        <f t="shared" si="43"/>
        <v>1966250</v>
      </c>
      <c r="I192" s="188">
        <v>26000.0</v>
      </c>
      <c r="J192" s="244">
        <f t="shared" si="44"/>
        <v>2044900</v>
      </c>
      <c r="K192" s="250">
        <f t="shared" si="45"/>
        <v>78650</v>
      </c>
      <c r="L192" s="251">
        <f t="shared" si="46"/>
        <v>0.04</v>
      </c>
      <c r="M192" s="252"/>
    </row>
    <row r="193" ht="15.75" customHeight="1">
      <c r="A193" s="239">
        <v>3.0</v>
      </c>
      <c r="B193" s="240" t="s">
        <v>1609</v>
      </c>
      <c r="C193" s="239" t="s">
        <v>109</v>
      </c>
      <c r="D193" s="213">
        <v>40.1</v>
      </c>
      <c r="E193" s="267"/>
      <c r="F193" s="268" t="str">
        <f t="shared" si="42"/>
        <v/>
      </c>
      <c r="G193" s="186">
        <v>14000.0</v>
      </c>
      <c r="H193" s="243">
        <f t="shared" si="43"/>
        <v>561400</v>
      </c>
      <c r="I193" s="188">
        <v>16000.0</v>
      </c>
      <c r="J193" s="244">
        <f t="shared" si="44"/>
        <v>641600</v>
      </c>
      <c r="K193" s="245">
        <f t="shared" si="45"/>
        <v>80200</v>
      </c>
      <c r="L193" s="246">
        <f t="shared" si="46"/>
        <v>0.1428571429</v>
      </c>
      <c r="M193" s="247"/>
    </row>
    <row r="194" ht="15.75" customHeight="1">
      <c r="A194" s="248">
        <v>4.0</v>
      </c>
      <c r="B194" s="249" t="s">
        <v>1642</v>
      </c>
      <c r="C194" s="239" t="s">
        <v>109</v>
      </c>
      <c r="D194" s="216">
        <v>2.5</v>
      </c>
      <c r="E194" s="267"/>
      <c r="F194" s="268" t="str">
        <f t="shared" si="42"/>
        <v/>
      </c>
      <c r="G194" s="186">
        <v>15000.0</v>
      </c>
      <c r="H194" s="243">
        <f t="shared" si="43"/>
        <v>37500</v>
      </c>
      <c r="I194" s="188">
        <v>15000.0</v>
      </c>
      <c r="J194" s="244">
        <f t="shared" si="44"/>
        <v>37500</v>
      </c>
      <c r="K194" s="250">
        <f t="shared" si="45"/>
        <v>0</v>
      </c>
      <c r="L194" s="251">
        <f t="shared" si="46"/>
        <v>0</v>
      </c>
      <c r="M194" s="252"/>
    </row>
    <row r="195" ht="15.75" customHeight="1">
      <c r="A195" s="239">
        <v>5.0</v>
      </c>
      <c r="B195" s="240" t="s">
        <v>1815</v>
      </c>
      <c r="C195" s="239" t="s">
        <v>109</v>
      </c>
      <c r="D195" s="213">
        <v>3.05</v>
      </c>
      <c r="E195" s="267"/>
      <c r="F195" s="268" t="str">
        <f t="shared" si="42"/>
        <v/>
      </c>
      <c r="G195" s="186">
        <v>25000.0</v>
      </c>
      <c r="H195" s="243">
        <f t="shared" si="43"/>
        <v>76250</v>
      </c>
      <c r="I195" s="188">
        <v>25000.0</v>
      </c>
      <c r="J195" s="244">
        <f t="shared" si="44"/>
        <v>76250</v>
      </c>
      <c r="K195" s="245">
        <f t="shared" si="45"/>
        <v>0</v>
      </c>
      <c r="L195" s="246">
        <f t="shared" si="46"/>
        <v>0</v>
      </c>
      <c r="M195" s="247"/>
    </row>
    <row r="196" ht="15.75" customHeight="1">
      <c r="A196" s="248">
        <v>6.0</v>
      </c>
      <c r="B196" s="249" t="s">
        <v>1595</v>
      </c>
      <c r="C196" s="239" t="s">
        <v>109</v>
      </c>
      <c r="D196" s="216">
        <v>0.55</v>
      </c>
      <c r="E196" s="267"/>
      <c r="F196" s="268" t="str">
        <f t="shared" si="42"/>
        <v/>
      </c>
      <c r="G196" s="186">
        <v>12000.0</v>
      </c>
      <c r="H196" s="243">
        <f t="shared" si="43"/>
        <v>6600</v>
      </c>
      <c r="I196" s="188">
        <v>15000.0</v>
      </c>
      <c r="J196" s="244">
        <f t="shared" si="44"/>
        <v>8250</v>
      </c>
      <c r="K196" s="250">
        <f t="shared" si="45"/>
        <v>1650</v>
      </c>
      <c r="L196" s="251">
        <f t="shared" si="46"/>
        <v>0.25</v>
      </c>
      <c r="M196" s="252"/>
    </row>
    <row r="197" ht="15.75" customHeight="1">
      <c r="A197" s="239">
        <v>7.0</v>
      </c>
      <c r="B197" s="240" t="s">
        <v>1574</v>
      </c>
      <c r="C197" s="239" t="s">
        <v>109</v>
      </c>
      <c r="D197" s="213">
        <v>1.1</v>
      </c>
      <c r="E197" s="267"/>
      <c r="F197" s="268" t="str">
        <f t="shared" si="42"/>
        <v/>
      </c>
      <c r="G197" s="186">
        <v>12000.0</v>
      </c>
      <c r="H197" s="243">
        <f t="shared" si="43"/>
        <v>13200</v>
      </c>
      <c r="I197" s="188">
        <v>13000.0</v>
      </c>
      <c r="J197" s="244">
        <f t="shared" si="44"/>
        <v>14300</v>
      </c>
      <c r="K197" s="245">
        <f t="shared" si="45"/>
        <v>1100</v>
      </c>
      <c r="L197" s="246">
        <f t="shared" si="46"/>
        <v>0.08333333333</v>
      </c>
      <c r="M197" s="247"/>
    </row>
    <row r="198" ht="15.75" customHeight="1">
      <c r="A198" s="248">
        <v>8.0</v>
      </c>
      <c r="B198" s="249" t="s">
        <v>1542</v>
      </c>
      <c r="C198" s="239" t="s">
        <v>109</v>
      </c>
      <c r="D198" s="216">
        <v>0.3</v>
      </c>
      <c r="E198" s="267" t="str">
        <f>'Daftar Harga'!D234</f>
        <v/>
      </c>
      <c r="F198" s="268" t="str">
        <f t="shared" si="42"/>
        <v/>
      </c>
      <c r="G198" s="186">
        <v>5000.0</v>
      </c>
      <c r="H198" s="243">
        <f t="shared" si="43"/>
        <v>1500</v>
      </c>
      <c r="I198" s="188">
        <v>10000.0</v>
      </c>
      <c r="J198" s="244">
        <f t="shared" si="44"/>
        <v>3000</v>
      </c>
      <c r="K198" s="250">
        <f t="shared" si="45"/>
        <v>1500</v>
      </c>
      <c r="L198" s="251">
        <f t="shared" si="46"/>
        <v>1</v>
      </c>
      <c r="M198" s="252"/>
    </row>
    <row r="199" ht="15.75" customHeight="1">
      <c r="A199" s="239">
        <v>9.0</v>
      </c>
      <c r="B199" s="240" t="s">
        <v>1569</v>
      </c>
      <c r="C199" s="239" t="s">
        <v>109</v>
      </c>
      <c r="D199" s="213">
        <v>1.9</v>
      </c>
      <c r="E199" s="267" t="str">
        <f>'Daftar Harga'!D244</f>
        <v/>
      </c>
      <c r="F199" s="268" t="str">
        <f t="shared" si="42"/>
        <v/>
      </c>
      <c r="G199" s="186">
        <v>10000.0</v>
      </c>
      <c r="H199" s="243">
        <f t="shared" si="43"/>
        <v>19000</v>
      </c>
      <c r="I199" s="188">
        <v>15000.0</v>
      </c>
      <c r="J199" s="244">
        <f t="shared" si="44"/>
        <v>28500</v>
      </c>
      <c r="K199" s="245">
        <f t="shared" si="45"/>
        <v>9500</v>
      </c>
      <c r="L199" s="246">
        <f t="shared" si="46"/>
        <v>0.5</v>
      </c>
      <c r="M199" s="247"/>
    </row>
    <row r="200" ht="15.75" customHeight="1">
      <c r="A200" s="248">
        <v>10.0</v>
      </c>
      <c r="B200" s="249" t="s">
        <v>1548</v>
      </c>
      <c r="C200" s="239" t="s">
        <v>109</v>
      </c>
      <c r="D200" s="216">
        <v>1.15</v>
      </c>
      <c r="E200" s="267" t="str">
        <f>'Daftar Harga'!D246</f>
        <v/>
      </c>
      <c r="F200" s="268" t="str">
        <f t="shared" si="42"/>
        <v/>
      </c>
      <c r="G200" s="186">
        <v>15000.0</v>
      </c>
      <c r="H200" s="243">
        <f t="shared" si="43"/>
        <v>17250</v>
      </c>
      <c r="I200" s="188">
        <v>24000.0</v>
      </c>
      <c r="J200" s="244">
        <f t="shared" si="44"/>
        <v>27600</v>
      </c>
      <c r="K200" s="250">
        <f t="shared" si="45"/>
        <v>10350</v>
      </c>
      <c r="L200" s="251">
        <f t="shared" si="46"/>
        <v>0.6</v>
      </c>
      <c r="M200" s="252"/>
    </row>
    <row r="201" ht="15.75" customHeight="1">
      <c r="A201" s="239">
        <v>11.0</v>
      </c>
      <c r="B201" s="240" t="s">
        <v>1685</v>
      </c>
      <c r="C201" s="239" t="s">
        <v>109</v>
      </c>
      <c r="D201" s="213">
        <v>2.0</v>
      </c>
      <c r="E201" s="267" t="str">
        <f>'Daftar Harga'!D249</f>
        <v/>
      </c>
      <c r="F201" s="268" t="str">
        <f t="shared" si="42"/>
        <v/>
      </c>
      <c r="G201" s="186">
        <v>60000.0</v>
      </c>
      <c r="H201" s="243">
        <f t="shared" si="43"/>
        <v>120000</v>
      </c>
      <c r="I201" s="188">
        <v>65000.0</v>
      </c>
      <c r="J201" s="244">
        <f t="shared" si="44"/>
        <v>130000</v>
      </c>
      <c r="K201" s="245">
        <f t="shared" si="45"/>
        <v>10000</v>
      </c>
      <c r="L201" s="246">
        <f t="shared" si="46"/>
        <v>0.08333333333</v>
      </c>
      <c r="M201" s="247"/>
    </row>
    <row r="202" ht="15.75" customHeight="1">
      <c r="A202" s="248">
        <v>12.0</v>
      </c>
      <c r="B202" s="249" t="s">
        <v>1934</v>
      </c>
      <c r="C202" s="239" t="s">
        <v>109</v>
      </c>
      <c r="D202" s="216">
        <v>1.05</v>
      </c>
      <c r="E202" s="267" t="str">
        <f>'Daftar Harga'!D258</f>
        <v/>
      </c>
      <c r="F202" s="268" t="str">
        <f t="shared" si="42"/>
        <v/>
      </c>
      <c r="G202" s="186">
        <v>40000.0</v>
      </c>
      <c r="H202" s="263">
        <f t="shared" si="43"/>
        <v>42000</v>
      </c>
      <c r="I202" s="188">
        <v>45000.0</v>
      </c>
      <c r="J202" s="244">
        <f t="shared" si="44"/>
        <v>47250</v>
      </c>
      <c r="K202" s="250">
        <f t="shared" si="45"/>
        <v>5250</v>
      </c>
      <c r="L202" s="251">
        <f t="shared" si="46"/>
        <v>0.125</v>
      </c>
      <c r="M202" s="252"/>
    </row>
    <row r="203" ht="15.75" customHeight="1">
      <c r="A203" s="248">
        <v>13.0</v>
      </c>
      <c r="B203" s="249" t="s">
        <v>1643</v>
      </c>
      <c r="C203" s="239" t="s">
        <v>109</v>
      </c>
      <c r="D203" s="216">
        <v>1.0</v>
      </c>
      <c r="E203" s="267"/>
      <c r="F203" s="268"/>
      <c r="G203" s="418">
        <v>190000.0</v>
      </c>
      <c r="H203" s="263">
        <f t="shared" si="43"/>
        <v>190000</v>
      </c>
      <c r="I203" s="419">
        <v>190000.0</v>
      </c>
      <c r="J203" s="244">
        <f t="shared" si="44"/>
        <v>190000</v>
      </c>
      <c r="K203" s="250">
        <f t="shared" si="45"/>
        <v>0</v>
      </c>
      <c r="L203" s="251">
        <f t="shared" si="46"/>
        <v>0</v>
      </c>
      <c r="M203" s="252"/>
    </row>
    <row r="204" ht="15.75" customHeight="1">
      <c r="A204" s="239">
        <v>14.0</v>
      </c>
      <c r="B204" s="249" t="s">
        <v>2236</v>
      </c>
      <c r="C204" s="239" t="s">
        <v>109</v>
      </c>
      <c r="D204" s="216">
        <v>1.0</v>
      </c>
      <c r="E204" s="267"/>
      <c r="F204" s="268"/>
      <c r="G204" s="418">
        <v>75000.0</v>
      </c>
      <c r="H204" s="263">
        <f t="shared" si="43"/>
        <v>75000</v>
      </c>
      <c r="I204" s="419">
        <v>75000.0</v>
      </c>
      <c r="J204" s="244">
        <f t="shared" si="44"/>
        <v>75000</v>
      </c>
      <c r="K204" s="250">
        <f t="shared" si="45"/>
        <v>0</v>
      </c>
      <c r="L204" s="251">
        <f t="shared" si="46"/>
        <v>0</v>
      </c>
      <c r="M204" s="252"/>
    </row>
    <row r="205" ht="15.75" customHeight="1">
      <c r="A205" s="248">
        <v>15.0</v>
      </c>
      <c r="B205" s="249" t="s">
        <v>2237</v>
      </c>
      <c r="C205" s="239" t="s">
        <v>109</v>
      </c>
      <c r="D205" s="216">
        <v>2.0</v>
      </c>
      <c r="E205" s="267"/>
      <c r="F205" s="268"/>
      <c r="G205" s="418">
        <v>17000.0</v>
      </c>
      <c r="H205" s="263">
        <f t="shared" si="43"/>
        <v>34000</v>
      </c>
      <c r="I205" s="419">
        <v>17000.0</v>
      </c>
      <c r="J205" s="244">
        <f t="shared" si="44"/>
        <v>34000</v>
      </c>
      <c r="K205" s="250">
        <f t="shared" si="45"/>
        <v>0</v>
      </c>
      <c r="L205" s="251">
        <f t="shared" si="46"/>
        <v>0</v>
      </c>
      <c r="M205" s="252"/>
    </row>
    <row r="206" ht="15.75" customHeight="1">
      <c r="A206" s="248">
        <v>16.0</v>
      </c>
      <c r="B206" s="249" t="s">
        <v>1563</v>
      </c>
      <c r="C206" s="239" t="s">
        <v>109</v>
      </c>
      <c r="D206" s="216">
        <v>0.5</v>
      </c>
      <c r="E206" s="267"/>
      <c r="F206" s="268"/>
      <c r="G206" s="418">
        <v>44000.0</v>
      </c>
      <c r="H206" s="263">
        <f t="shared" si="43"/>
        <v>22000</v>
      </c>
      <c r="I206" s="419">
        <v>47000.0</v>
      </c>
      <c r="J206" s="244">
        <f t="shared" si="44"/>
        <v>23500</v>
      </c>
      <c r="K206" s="250">
        <f t="shared" si="45"/>
        <v>1500</v>
      </c>
      <c r="L206" s="251">
        <f t="shared" si="46"/>
        <v>0.06818181818</v>
      </c>
      <c r="M206" s="252"/>
    </row>
    <row r="207" ht="15.75" customHeight="1">
      <c r="A207" s="239">
        <v>17.0</v>
      </c>
      <c r="B207" s="249" t="s">
        <v>1818</v>
      </c>
      <c r="C207" s="239" t="s">
        <v>109</v>
      </c>
      <c r="D207" s="216">
        <v>2.0</v>
      </c>
      <c r="E207" s="267"/>
      <c r="F207" s="268"/>
      <c r="G207" s="418">
        <v>24000.0</v>
      </c>
      <c r="H207" s="263">
        <f t="shared" si="43"/>
        <v>48000</v>
      </c>
      <c r="I207" s="419">
        <v>26000.0</v>
      </c>
      <c r="J207" s="244">
        <f t="shared" si="44"/>
        <v>52000</v>
      </c>
      <c r="K207" s="250">
        <f t="shared" si="45"/>
        <v>4000</v>
      </c>
      <c r="L207" s="251">
        <f t="shared" si="46"/>
        <v>0.08333333333</v>
      </c>
      <c r="M207" s="252"/>
    </row>
    <row r="208" ht="15.75" customHeight="1">
      <c r="A208" s="248">
        <v>18.0</v>
      </c>
      <c r="B208" s="249" t="s">
        <v>1935</v>
      </c>
      <c r="C208" s="239" t="s">
        <v>109</v>
      </c>
      <c r="D208" s="216">
        <v>2.0</v>
      </c>
      <c r="E208" s="267"/>
      <c r="F208" s="268"/>
      <c r="G208" s="418">
        <v>32000.0</v>
      </c>
      <c r="H208" s="263">
        <f t="shared" si="43"/>
        <v>64000</v>
      </c>
      <c r="I208" s="419">
        <v>33000.0</v>
      </c>
      <c r="J208" s="244">
        <f t="shared" si="44"/>
        <v>66000</v>
      </c>
      <c r="K208" s="250">
        <f t="shared" si="45"/>
        <v>2000</v>
      </c>
      <c r="L208" s="251">
        <f t="shared" si="46"/>
        <v>0.03125</v>
      </c>
      <c r="M208" s="252"/>
    </row>
    <row r="209" ht="15.75" customHeight="1">
      <c r="A209" s="248">
        <v>19.0</v>
      </c>
      <c r="B209" s="249" t="s">
        <v>1516</v>
      </c>
      <c r="C209" s="239" t="s">
        <v>109</v>
      </c>
      <c r="D209" s="216">
        <v>125.7</v>
      </c>
      <c r="E209" s="267"/>
      <c r="F209" s="268"/>
      <c r="G209" s="418">
        <v>70000.0</v>
      </c>
      <c r="H209" s="263">
        <f t="shared" si="43"/>
        <v>8799000</v>
      </c>
      <c r="I209" s="419">
        <v>74500.0</v>
      </c>
      <c r="J209" s="244">
        <f t="shared" si="44"/>
        <v>9364650</v>
      </c>
      <c r="K209" s="250">
        <f t="shared" si="45"/>
        <v>565650</v>
      </c>
      <c r="L209" s="251">
        <f t="shared" si="46"/>
        <v>0.06428571429</v>
      </c>
      <c r="M209" s="252"/>
    </row>
    <row r="210" ht="15.75" customHeight="1">
      <c r="A210" s="239">
        <v>20.0</v>
      </c>
      <c r="B210" s="249" t="s">
        <v>1601</v>
      </c>
      <c r="C210" s="239" t="s">
        <v>109</v>
      </c>
      <c r="D210" s="216">
        <v>50.0</v>
      </c>
      <c r="E210" s="267"/>
      <c r="F210" s="268"/>
      <c r="G210" s="418">
        <v>12000.0</v>
      </c>
      <c r="H210" s="263">
        <f t="shared" si="43"/>
        <v>600000</v>
      </c>
      <c r="I210" s="419">
        <v>13000.0</v>
      </c>
      <c r="J210" s="244">
        <f t="shared" si="44"/>
        <v>650000</v>
      </c>
      <c r="K210" s="250">
        <f t="shared" si="45"/>
        <v>50000</v>
      </c>
      <c r="L210" s="251">
        <f t="shared" si="46"/>
        <v>0.08333333333</v>
      </c>
      <c r="M210" s="252"/>
    </row>
    <row r="211" ht="15.75" customHeight="1">
      <c r="A211" s="239">
        <v>21.0</v>
      </c>
      <c r="B211" s="249" t="s">
        <v>2238</v>
      </c>
      <c r="C211" s="239" t="s">
        <v>109</v>
      </c>
      <c r="D211" s="216">
        <v>223.6</v>
      </c>
      <c r="E211" s="267"/>
      <c r="F211" s="268"/>
      <c r="G211" s="418">
        <v>29000.0</v>
      </c>
      <c r="H211" s="263">
        <f t="shared" si="43"/>
        <v>6484400</v>
      </c>
      <c r="I211" s="436">
        <v>34000.0</v>
      </c>
      <c r="J211" s="264">
        <f t="shared" si="44"/>
        <v>7602400</v>
      </c>
      <c r="K211" s="250">
        <f t="shared" si="45"/>
        <v>1118000</v>
      </c>
      <c r="L211" s="251">
        <f t="shared" si="46"/>
        <v>0.1724137931</v>
      </c>
      <c r="M211" s="252"/>
    </row>
    <row r="212" ht="15.75" customHeight="1">
      <c r="A212" s="435" t="s">
        <v>1670</v>
      </c>
      <c r="B212" s="356"/>
      <c r="C212" s="259"/>
      <c r="D212" s="356"/>
      <c r="E212" s="257"/>
      <c r="F212" s="258">
        <f>SUMIF(F191:F211,"&lt;&gt;",F191:F211)</f>
        <v>0</v>
      </c>
      <c r="G212" s="317"/>
      <c r="H212" s="260">
        <f>SUMIF(H191:H211,"&lt;&gt;",H191:H211)</f>
        <v>20264850</v>
      </c>
      <c r="I212" s="327"/>
      <c r="J212" s="260">
        <f>SUMIF(J191:J211,"&lt;&gt;",J191:J211)</f>
        <v>22279200</v>
      </c>
      <c r="K212" s="261">
        <f t="shared" si="45"/>
        <v>2014350</v>
      </c>
      <c r="L212" s="262">
        <f t="shared" si="46"/>
        <v>0.09940117988</v>
      </c>
      <c r="M212" s="257"/>
    </row>
    <row r="213" ht="15.75" customHeight="1"/>
    <row r="214" ht="15.75" customHeight="1">
      <c r="A214" s="273" t="s">
        <v>1895</v>
      </c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</row>
    <row r="215" ht="15.75" customHeight="1">
      <c r="A215" s="229" t="s">
        <v>1509</v>
      </c>
      <c r="B215" s="229" t="s">
        <v>1510</v>
      </c>
      <c r="C215" s="302" t="s">
        <v>1511</v>
      </c>
      <c r="D215" s="302" t="s">
        <v>1614</v>
      </c>
      <c r="E215" s="303" t="s">
        <v>1615</v>
      </c>
      <c r="F215" s="304"/>
      <c r="G215" s="305" t="s">
        <v>1616</v>
      </c>
      <c r="H215" s="304"/>
      <c r="I215" s="306" t="s">
        <v>1617</v>
      </c>
      <c r="J215" s="304"/>
      <c r="K215" s="307" t="s">
        <v>1618</v>
      </c>
      <c r="L215" s="304"/>
      <c r="M215" s="302" t="s">
        <v>1619</v>
      </c>
    </row>
    <row r="216" ht="15.75" customHeight="1">
      <c r="A216" s="234" t="s">
        <v>1509</v>
      </c>
      <c r="B216" s="234" t="s">
        <v>1510</v>
      </c>
      <c r="C216" s="234" t="s">
        <v>1511</v>
      </c>
      <c r="D216" s="234" t="s">
        <v>1614</v>
      </c>
      <c r="E216" s="235" t="s">
        <v>1620</v>
      </c>
      <c r="F216" s="235" t="s">
        <v>1621</v>
      </c>
      <c r="G216" s="236" t="s">
        <v>1622</v>
      </c>
      <c r="H216" s="236" t="s">
        <v>1623</v>
      </c>
      <c r="I216" s="237" t="s">
        <v>1624</v>
      </c>
      <c r="J216" s="237" t="s">
        <v>1625</v>
      </c>
      <c r="K216" s="238" t="s">
        <v>1626</v>
      </c>
      <c r="L216" s="238" t="s">
        <v>1627</v>
      </c>
      <c r="M216" s="234" t="s">
        <v>1619</v>
      </c>
    </row>
    <row r="217" ht="15.75" customHeight="1">
      <c r="A217" s="239">
        <v>1.0</v>
      </c>
      <c r="B217" s="240" t="s">
        <v>1527</v>
      </c>
      <c r="C217" s="239" t="s">
        <v>109</v>
      </c>
      <c r="D217" s="254">
        <v>125.0</v>
      </c>
      <c r="E217" s="267"/>
      <c r="F217" s="268" t="str">
        <f t="shared" ref="F217:F228" si="47">IF(E217&lt;&gt;"",D217*E217,"")</f>
        <v/>
      </c>
      <c r="G217" s="199">
        <v>14500.0</v>
      </c>
      <c r="H217" s="243">
        <f t="shared" ref="H217:H240" si="48">IF(G217&lt;&gt;"",D217*G217,"")</f>
        <v>1812500</v>
      </c>
      <c r="I217" s="200">
        <v>15700.0</v>
      </c>
      <c r="J217" s="244">
        <f t="shared" ref="J217:J240" si="49">IF(I217&lt;&gt;"",D217*I217,"")</f>
        <v>1962500</v>
      </c>
      <c r="K217" s="245">
        <f t="shared" ref="K217:K241" si="50">IF(J217&lt;&gt;"",IF(H217&lt;&gt;"",J217-H217,IF(F217&lt;&gt;"",J217-F217,"")),"")</f>
        <v>150000</v>
      </c>
      <c r="L217" s="246">
        <f t="shared" ref="L217:L241" si="51">IF(K217&lt;&gt;"",IF(H217&lt;&gt;"",IF(H217&lt;&gt;0,K217/H217,""),IF(F217&lt;&gt;"",IF(F217&lt;&gt;0,K217/F217,""),"")),"")</f>
        <v>0.08275862069</v>
      </c>
      <c r="M217" s="247"/>
    </row>
    <row r="218" ht="15.75" customHeight="1">
      <c r="A218" s="248">
        <v>2.0</v>
      </c>
      <c r="B218" s="276" t="s">
        <v>2239</v>
      </c>
      <c r="C218" s="239" t="s">
        <v>109</v>
      </c>
      <c r="D218" s="277">
        <v>158.25</v>
      </c>
      <c r="E218" s="267"/>
      <c r="F218" s="268" t="str">
        <f t="shared" si="47"/>
        <v/>
      </c>
      <c r="G218" s="199">
        <v>28000.0</v>
      </c>
      <c r="H218" s="243">
        <f t="shared" si="48"/>
        <v>4431000</v>
      </c>
      <c r="I218" s="200">
        <v>34000.0</v>
      </c>
      <c r="J218" s="244">
        <f t="shared" si="49"/>
        <v>5380500</v>
      </c>
      <c r="K218" s="250">
        <f t="shared" si="50"/>
        <v>949500</v>
      </c>
      <c r="L218" s="251">
        <f t="shared" si="51"/>
        <v>0.2142857143</v>
      </c>
      <c r="M218" s="252"/>
    </row>
    <row r="219" ht="15.75" customHeight="1">
      <c r="A219" s="239">
        <v>3.0</v>
      </c>
      <c r="B219" s="275" t="s">
        <v>1601</v>
      </c>
      <c r="C219" s="239" t="s">
        <v>109</v>
      </c>
      <c r="D219" s="254">
        <v>110.0</v>
      </c>
      <c r="E219" s="267"/>
      <c r="F219" s="268" t="str">
        <f t="shared" si="47"/>
        <v/>
      </c>
      <c r="G219" s="199">
        <v>12000.0</v>
      </c>
      <c r="H219" s="243">
        <f t="shared" si="48"/>
        <v>1320000</v>
      </c>
      <c r="I219" s="200">
        <v>13000.0</v>
      </c>
      <c r="J219" s="244">
        <f t="shared" si="49"/>
        <v>1430000</v>
      </c>
      <c r="K219" s="245">
        <f t="shared" si="50"/>
        <v>110000</v>
      </c>
      <c r="L219" s="246">
        <f t="shared" si="51"/>
        <v>0.08333333333</v>
      </c>
      <c r="M219" s="247"/>
    </row>
    <row r="220" ht="15.75" customHeight="1">
      <c r="A220" s="248">
        <v>4.0</v>
      </c>
      <c r="B220" s="276" t="s">
        <v>1934</v>
      </c>
      <c r="C220" s="239" t="s">
        <v>109</v>
      </c>
      <c r="D220" s="277">
        <v>3.0</v>
      </c>
      <c r="E220" s="267"/>
      <c r="F220" s="268" t="str">
        <f t="shared" si="47"/>
        <v/>
      </c>
      <c r="G220" s="199">
        <v>45000.0</v>
      </c>
      <c r="H220" s="243">
        <f t="shared" si="48"/>
        <v>135000</v>
      </c>
      <c r="I220" s="200">
        <v>45000.0</v>
      </c>
      <c r="J220" s="244">
        <f t="shared" si="49"/>
        <v>135000</v>
      </c>
      <c r="K220" s="250">
        <f t="shared" si="50"/>
        <v>0</v>
      </c>
      <c r="L220" s="251">
        <f t="shared" si="51"/>
        <v>0</v>
      </c>
      <c r="M220" s="252"/>
    </row>
    <row r="221" ht="15.75" customHeight="1">
      <c r="A221" s="239">
        <v>5.0</v>
      </c>
      <c r="B221" s="275" t="s">
        <v>1935</v>
      </c>
      <c r="C221" s="239" t="s">
        <v>109</v>
      </c>
      <c r="D221" s="254">
        <v>2.0</v>
      </c>
      <c r="E221" s="267"/>
      <c r="F221" s="268" t="str">
        <f t="shared" si="47"/>
        <v/>
      </c>
      <c r="G221" s="199">
        <v>42000.0</v>
      </c>
      <c r="H221" s="243">
        <f t="shared" si="48"/>
        <v>84000</v>
      </c>
      <c r="I221" s="200">
        <v>42000.0</v>
      </c>
      <c r="J221" s="244">
        <f t="shared" si="49"/>
        <v>84000</v>
      </c>
      <c r="K221" s="245">
        <f t="shared" si="50"/>
        <v>0</v>
      </c>
      <c r="L221" s="246">
        <f t="shared" si="51"/>
        <v>0</v>
      </c>
      <c r="M221" s="247"/>
    </row>
    <row r="222" ht="15.75" customHeight="1">
      <c r="A222" s="248">
        <v>6.0</v>
      </c>
      <c r="B222" s="276" t="s">
        <v>2240</v>
      </c>
      <c r="C222" s="239" t="s">
        <v>109</v>
      </c>
      <c r="D222" s="277">
        <v>3.0</v>
      </c>
      <c r="E222" s="267"/>
      <c r="F222" s="268" t="str">
        <f t="shared" si="47"/>
        <v/>
      </c>
      <c r="G222" s="199">
        <v>94000.0</v>
      </c>
      <c r="H222" s="243">
        <f t="shared" si="48"/>
        <v>282000</v>
      </c>
      <c r="I222" s="200">
        <v>95000.0</v>
      </c>
      <c r="J222" s="244">
        <f t="shared" si="49"/>
        <v>285000</v>
      </c>
      <c r="K222" s="250">
        <f t="shared" si="50"/>
        <v>3000</v>
      </c>
      <c r="L222" s="251">
        <f t="shared" si="51"/>
        <v>0.01063829787</v>
      </c>
      <c r="M222" s="252"/>
    </row>
    <row r="223" ht="15.75" customHeight="1">
      <c r="A223" s="239">
        <v>7.0</v>
      </c>
      <c r="B223" s="275" t="s">
        <v>1642</v>
      </c>
      <c r="C223" s="239" t="s">
        <v>109</v>
      </c>
      <c r="D223" s="254">
        <v>4.1</v>
      </c>
      <c r="E223" s="267"/>
      <c r="F223" s="268" t="str">
        <f t="shared" si="47"/>
        <v/>
      </c>
      <c r="G223" s="199">
        <v>15000.0</v>
      </c>
      <c r="H223" s="243">
        <f t="shared" si="48"/>
        <v>61500</v>
      </c>
      <c r="I223" s="200">
        <v>15000.0</v>
      </c>
      <c r="J223" s="244">
        <f t="shared" si="49"/>
        <v>61500</v>
      </c>
      <c r="K223" s="245">
        <f t="shared" si="50"/>
        <v>0</v>
      </c>
      <c r="L223" s="246">
        <f t="shared" si="51"/>
        <v>0</v>
      </c>
      <c r="M223" s="247"/>
    </row>
    <row r="224" ht="15.75" customHeight="1">
      <c r="A224" s="248">
        <v>8.0</v>
      </c>
      <c r="B224" s="276" t="s">
        <v>1818</v>
      </c>
      <c r="C224" s="239" t="s">
        <v>109</v>
      </c>
      <c r="D224" s="277">
        <v>5.0</v>
      </c>
      <c r="E224" s="267" t="str">
        <f>'Daftar Harga'!D282</f>
        <v/>
      </c>
      <c r="F224" s="268" t="str">
        <f t="shared" si="47"/>
        <v/>
      </c>
      <c r="G224" s="199">
        <v>26000.0</v>
      </c>
      <c r="H224" s="243">
        <f t="shared" si="48"/>
        <v>130000</v>
      </c>
      <c r="I224" s="200">
        <v>26000.0</v>
      </c>
      <c r="J224" s="244">
        <f t="shared" si="49"/>
        <v>130000</v>
      </c>
      <c r="K224" s="250">
        <f t="shared" si="50"/>
        <v>0</v>
      </c>
      <c r="L224" s="251">
        <f t="shared" si="51"/>
        <v>0</v>
      </c>
      <c r="M224" s="252"/>
    </row>
    <row r="225" ht="15.75" customHeight="1">
      <c r="A225" s="239">
        <v>9.0</v>
      </c>
      <c r="B225" s="275" t="s">
        <v>2214</v>
      </c>
      <c r="C225" s="239" t="s">
        <v>109</v>
      </c>
      <c r="D225" s="254">
        <v>1.0</v>
      </c>
      <c r="E225" s="267" t="str">
        <f>'Daftar Harga'!D292</f>
        <v/>
      </c>
      <c r="F225" s="268" t="str">
        <f t="shared" si="47"/>
        <v/>
      </c>
      <c r="G225" s="199">
        <v>258000.0</v>
      </c>
      <c r="H225" s="243">
        <f t="shared" si="48"/>
        <v>258000</v>
      </c>
      <c r="I225" s="200">
        <v>270000.0</v>
      </c>
      <c r="J225" s="244">
        <f t="shared" si="49"/>
        <v>270000</v>
      </c>
      <c r="K225" s="245">
        <f t="shared" si="50"/>
        <v>12000</v>
      </c>
      <c r="L225" s="246">
        <f t="shared" si="51"/>
        <v>0.04651162791</v>
      </c>
      <c r="M225" s="247"/>
    </row>
    <row r="226" ht="15.75" customHeight="1">
      <c r="A226" s="248">
        <v>10.0</v>
      </c>
      <c r="B226" s="276" t="s">
        <v>1543</v>
      </c>
      <c r="C226" s="239" t="s">
        <v>109</v>
      </c>
      <c r="D226" s="277">
        <v>5.2</v>
      </c>
      <c r="E226" s="267" t="str">
        <f>'Daftar Harga'!D294</f>
        <v/>
      </c>
      <c r="F226" s="268" t="str">
        <f t="shared" si="47"/>
        <v/>
      </c>
      <c r="G226" s="199">
        <v>8000.0</v>
      </c>
      <c r="H226" s="243">
        <f t="shared" si="48"/>
        <v>41600</v>
      </c>
      <c r="I226" s="200">
        <v>10000.0</v>
      </c>
      <c r="J226" s="244">
        <f t="shared" si="49"/>
        <v>52000</v>
      </c>
      <c r="K226" s="250">
        <f t="shared" si="50"/>
        <v>10400</v>
      </c>
      <c r="L226" s="251">
        <f t="shared" si="51"/>
        <v>0.25</v>
      </c>
      <c r="M226" s="252"/>
    </row>
    <row r="227" ht="15.75" customHeight="1">
      <c r="A227" s="239">
        <v>11.0</v>
      </c>
      <c r="B227" s="275" t="s">
        <v>1674</v>
      </c>
      <c r="C227" s="239" t="s">
        <v>109</v>
      </c>
      <c r="D227" s="254">
        <v>3.05</v>
      </c>
      <c r="E227" s="267" t="str">
        <f>'Daftar Harga'!D297</f>
        <v/>
      </c>
      <c r="F227" s="268" t="str">
        <f t="shared" si="47"/>
        <v/>
      </c>
      <c r="G227" s="199">
        <v>45000.0</v>
      </c>
      <c r="H227" s="243">
        <f t="shared" si="48"/>
        <v>137250</v>
      </c>
      <c r="I227" s="200">
        <v>60000.0</v>
      </c>
      <c r="J227" s="244">
        <f t="shared" si="49"/>
        <v>183000</v>
      </c>
      <c r="K227" s="245">
        <f t="shared" si="50"/>
        <v>45750</v>
      </c>
      <c r="L227" s="246">
        <f t="shared" si="51"/>
        <v>0.3333333333</v>
      </c>
      <c r="M227" s="247"/>
    </row>
    <row r="228" ht="15.75" customHeight="1">
      <c r="A228" s="248">
        <v>12.0</v>
      </c>
      <c r="B228" s="276" t="s">
        <v>2241</v>
      </c>
      <c r="C228" s="239" t="s">
        <v>109</v>
      </c>
      <c r="D228" s="277">
        <v>3.05</v>
      </c>
      <c r="E228" s="267" t="str">
        <f>'Daftar Harga'!D306</f>
        <v/>
      </c>
      <c r="F228" s="268" t="str">
        <f t="shared" si="47"/>
        <v/>
      </c>
      <c r="G228" s="199">
        <v>23000.0</v>
      </c>
      <c r="H228" s="263">
        <f t="shared" si="48"/>
        <v>70150</v>
      </c>
      <c r="I228" s="200">
        <v>30000.0</v>
      </c>
      <c r="J228" s="244">
        <f t="shared" si="49"/>
        <v>91500</v>
      </c>
      <c r="K228" s="250">
        <f t="shared" si="50"/>
        <v>21350</v>
      </c>
      <c r="L228" s="251">
        <f t="shared" si="51"/>
        <v>0.3043478261</v>
      </c>
      <c r="M228" s="252"/>
    </row>
    <row r="229" ht="15.75" customHeight="1">
      <c r="A229" s="248">
        <v>13.0</v>
      </c>
      <c r="B229" s="276" t="s">
        <v>1563</v>
      </c>
      <c r="C229" s="239" t="s">
        <v>109</v>
      </c>
      <c r="D229" s="216">
        <v>1.0</v>
      </c>
      <c r="E229" s="267"/>
      <c r="F229" s="268"/>
      <c r="G229" s="353">
        <v>46000.0</v>
      </c>
      <c r="H229" s="263">
        <f t="shared" si="48"/>
        <v>46000</v>
      </c>
      <c r="I229" s="354">
        <v>47000.0</v>
      </c>
      <c r="J229" s="244">
        <f t="shared" si="49"/>
        <v>47000</v>
      </c>
      <c r="K229" s="250">
        <f t="shared" si="50"/>
        <v>1000</v>
      </c>
      <c r="L229" s="251">
        <f t="shared" si="51"/>
        <v>0.02173913043</v>
      </c>
      <c r="M229" s="252"/>
    </row>
    <row r="230" ht="15.75" customHeight="1">
      <c r="A230" s="239">
        <v>14.0</v>
      </c>
      <c r="B230" s="276" t="s">
        <v>2117</v>
      </c>
      <c r="C230" s="239" t="s">
        <v>109</v>
      </c>
      <c r="D230" s="277">
        <v>0.5</v>
      </c>
      <c r="E230" s="267"/>
      <c r="F230" s="268"/>
      <c r="G230" s="353">
        <v>35000.0</v>
      </c>
      <c r="H230" s="263">
        <f t="shared" si="48"/>
        <v>17500</v>
      </c>
      <c r="I230" s="354">
        <v>35000.0</v>
      </c>
      <c r="J230" s="244">
        <f t="shared" si="49"/>
        <v>17500</v>
      </c>
      <c r="K230" s="250">
        <f t="shared" si="50"/>
        <v>0</v>
      </c>
      <c r="L230" s="251">
        <f t="shared" si="51"/>
        <v>0</v>
      </c>
      <c r="M230" s="252"/>
    </row>
    <row r="231" ht="15.75" customHeight="1">
      <c r="A231" s="248">
        <v>15.0</v>
      </c>
      <c r="B231" s="276" t="s">
        <v>1595</v>
      </c>
      <c r="C231" s="239" t="s">
        <v>109</v>
      </c>
      <c r="D231" s="277">
        <v>0.85</v>
      </c>
      <c r="E231" s="267"/>
      <c r="F231" s="268"/>
      <c r="G231" s="353">
        <v>12000.0</v>
      </c>
      <c r="H231" s="263">
        <f t="shared" si="48"/>
        <v>10200</v>
      </c>
      <c r="I231" s="354">
        <v>15000.0</v>
      </c>
      <c r="J231" s="244">
        <f t="shared" si="49"/>
        <v>12750</v>
      </c>
      <c r="K231" s="250">
        <f t="shared" si="50"/>
        <v>2550</v>
      </c>
      <c r="L231" s="251">
        <f t="shared" si="51"/>
        <v>0.25</v>
      </c>
      <c r="M231" s="252"/>
    </row>
    <row r="232" ht="15.75" customHeight="1">
      <c r="A232" s="248">
        <v>16.0</v>
      </c>
      <c r="B232" s="276" t="s">
        <v>2242</v>
      </c>
      <c r="C232" s="239" t="s">
        <v>109</v>
      </c>
      <c r="D232" s="277">
        <v>80.83</v>
      </c>
      <c r="E232" s="267"/>
      <c r="F232" s="268"/>
      <c r="G232" s="353">
        <v>12000.0</v>
      </c>
      <c r="H232" s="263">
        <f t="shared" si="48"/>
        <v>969960</v>
      </c>
      <c r="I232" s="354">
        <v>12000.0</v>
      </c>
      <c r="J232" s="244">
        <f t="shared" si="49"/>
        <v>969960</v>
      </c>
      <c r="K232" s="250">
        <f t="shared" si="50"/>
        <v>0</v>
      </c>
      <c r="L232" s="251">
        <f t="shared" si="51"/>
        <v>0</v>
      </c>
      <c r="M232" s="252"/>
    </row>
    <row r="233" ht="15.75" customHeight="1">
      <c r="A233" s="239">
        <v>17.0</v>
      </c>
      <c r="B233" s="276" t="s">
        <v>1690</v>
      </c>
      <c r="C233" s="239" t="s">
        <v>109</v>
      </c>
      <c r="D233" s="277">
        <v>41.6</v>
      </c>
      <c r="E233" s="267"/>
      <c r="F233" s="268"/>
      <c r="G233" s="353">
        <v>11000.0</v>
      </c>
      <c r="H233" s="263">
        <f t="shared" si="48"/>
        <v>457600</v>
      </c>
      <c r="I233" s="354">
        <v>11000.0</v>
      </c>
      <c r="J233" s="244">
        <f t="shared" si="49"/>
        <v>457600</v>
      </c>
      <c r="K233" s="250">
        <f t="shared" si="50"/>
        <v>0</v>
      </c>
      <c r="L233" s="251">
        <f t="shared" si="51"/>
        <v>0</v>
      </c>
      <c r="M233" s="252"/>
    </row>
    <row r="234" ht="15.75" customHeight="1">
      <c r="A234" s="248">
        <v>18.0</v>
      </c>
      <c r="B234" s="276" t="s">
        <v>1966</v>
      </c>
      <c r="C234" s="239" t="s">
        <v>109</v>
      </c>
      <c r="D234" s="277">
        <v>26.8</v>
      </c>
      <c r="E234" s="267"/>
      <c r="F234" s="268"/>
      <c r="G234" s="353">
        <v>18000.0</v>
      </c>
      <c r="H234" s="263">
        <f t="shared" si="48"/>
        <v>482400</v>
      </c>
      <c r="I234" s="354">
        <v>23000.0</v>
      </c>
      <c r="J234" s="244">
        <f t="shared" si="49"/>
        <v>616400</v>
      </c>
      <c r="K234" s="250">
        <f t="shared" si="50"/>
        <v>134000</v>
      </c>
      <c r="L234" s="251">
        <f t="shared" si="51"/>
        <v>0.2777777778</v>
      </c>
      <c r="M234" s="252"/>
    </row>
    <row r="235" ht="15.75" customHeight="1">
      <c r="A235" s="239">
        <v>19.0</v>
      </c>
      <c r="B235" s="276" t="s">
        <v>1549</v>
      </c>
      <c r="C235" s="239" t="s">
        <v>109</v>
      </c>
      <c r="D235" s="277">
        <v>224.25</v>
      </c>
      <c r="E235" s="267"/>
      <c r="F235" s="268"/>
      <c r="G235" s="353">
        <v>26500.0</v>
      </c>
      <c r="H235" s="263">
        <f t="shared" si="48"/>
        <v>5942625</v>
      </c>
      <c r="I235" s="354">
        <v>27500.0</v>
      </c>
      <c r="J235" s="244">
        <f t="shared" si="49"/>
        <v>6166875</v>
      </c>
      <c r="K235" s="250">
        <f t="shared" si="50"/>
        <v>224250</v>
      </c>
      <c r="L235" s="251">
        <f t="shared" si="51"/>
        <v>0.03773584906</v>
      </c>
      <c r="M235" s="252"/>
    </row>
    <row r="236" ht="15.75" customHeight="1">
      <c r="A236" s="248">
        <v>20.0</v>
      </c>
      <c r="B236" s="276" t="s">
        <v>2243</v>
      </c>
      <c r="C236" s="239" t="s">
        <v>109</v>
      </c>
      <c r="D236" s="277">
        <v>35.0</v>
      </c>
      <c r="E236" s="267"/>
      <c r="F236" s="268"/>
      <c r="G236" s="353">
        <v>28000.0</v>
      </c>
      <c r="H236" s="263">
        <f t="shared" si="48"/>
        <v>980000</v>
      </c>
      <c r="I236" s="354">
        <v>28000.0</v>
      </c>
      <c r="J236" s="244">
        <f t="shared" si="49"/>
        <v>980000</v>
      </c>
      <c r="K236" s="250">
        <f t="shared" si="50"/>
        <v>0</v>
      </c>
      <c r="L236" s="251">
        <f t="shared" si="51"/>
        <v>0</v>
      </c>
      <c r="M236" s="252"/>
    </row>
    <row r="237" ht="15.75" customHeight="1">
      <c r="A237" s="239">
        <v>21.0</v>
      </c>
      <c r="B237" s="276" t="s">
        <v>1542</v>
      </c>
      <c r="C237" s="239" t="s">
        <v>109</v>
      </c>
      <c r="D237" s="277">
        <v>0.15</v>
      </c>
      <c r="E237" s="267"/>
      <c r="F237" s="268"/>
      <c r="G237" s="353">
        <v>28000.0</v>
      </c>
      <c r="H237" s="263">
        <f t="shared" si="48"/>
        <v>4200</v>
      </c>
      <c r="I237" s="354">
        <v>30000.0</v>
      </c>
      <c r="J237" s="244">
        <f t="shared" si="49"/>
        <v>4500</v>
      </c>
      <c r="K237" s="250">
        <f t="shared" si="50"/>
        <v>300</v>
      </c>
      <c r="L237" s="251">
        <f t="shared" si="51"/>
        <v>0.07142857143</v>
      </c>
      <c r="M237" s="252"/>
    </row>
    <row r="238" ht="15.75" customHeight="1">
      <c r="A238" s="248">
        <v>22.0</v>
      </c>
      <c r="B238" s="276" t="s">
        <v>2136</v>
      </c>
      <c r="C238" s="239" t="s">
        <v>109</v>
      </c>
      <c r="D238" s="277">
        <v>5.0</v>
      </c>
      <c r="E238" s="267"/>
      <c r="F238" s="268"/>
      <c r="G238" s="353">
        <v>29000.0</v>
      </c>
      <c r="H238" s="263">
        <f t="shared" si="48"/>
        <v>145000</v>
      </c>
      <c r="I238" s="354">
        <v>29000.0</v>
      </c>
      <c r="J238" s="244">
        <f t="shared" si="49"/>
        <v>145000</v>
      </c>
      <c r="K238" s="250">
        <f t="shared" si="50"/>
        <v>0</v>
      </c>
      <c r="L238" s="251">
        <f t="shared" si="51"/>
        <v>0</v>
      </c>
      <c r="M238" s="252"/>
    </row>
    <row r="239" ht="15.75" customHeight="1">
      <c r="A239" s="239">
        <v>23.0</v>
      </c>
      <c r="B239" s="276" t="s">
        <v>2244</v>
      </c>
      <c r="C239" s="239" t="s">
        <v>109</v>
      </c>
      <c r="D239" s="277">
        <v>2.0</v>
      </c>
      <c r="E239" s="267"/>
      <c r="F239" s="268"/>
      <c r="G239" s="353">
        <v>23900.0</v>
      </c>
      <c r="H239" s="263">
        <f t="shared" si="48"/>
        <v>47800</v>
      </c>
      <c r="I239" s="354">
        <v>23900.0</v>
      </c>
      <c r="J239" s="244">
        <f t="shared" si="49"/>
        <v>47800</v>
      </c>
      <c r="K239" s="250">
        <f t="shared" si="50"/>
        <v>0</v>
      </c>
      <c r="L239" s="251">
        <f t="shared" si="51"/>
        <v>0</v>
      </c>
      <c r="M239" s="252"/>
    </row>
    <row r="240" ht="15.75" customHeight="1">
      <c r="A240" s="248">
        <v>24.0</v>
      </c>
      <c r="B240" s="276" t="s">
        <v>2244</v>
      </c>
      <c r="C240" s="239" t="s">
        <v>109</v>
      </c>
      <c r="D240" s="277">
        <v>1.0</v>
      </c>
      <c r="E240" s="267"/>
      <c r="F240" s="268"/>
      <c r="G240" s="353">
        <v>43000.0</v>
      </c>
      <c r="H240" s="263">
        <f t="shared" si="48"/>
        <v>43000</v>
      </c>
      <c r="I240" s="437">
        <v>43000.0</v>
      </c>
      <c r="J240" s="244">
        <f t="shared" si="49"/>
        <v>43000</v>
      </c>
      <c r="K240" s="250">
        <f t="shared" si="50"/>
        <v>0</v>
      </c>
      <c r="L240" s="251">
        <f t="shared" si="51"/>
        <v>0</v>
      </c>
      <c r="M240" s="252"/>
    </row>
    <row r="241" ht="15.75" customHeight="1">
      <c r="A241" s="355" t="s">
        <v>1694</v>
      </c>
      <c r="B241" s="356"/>
      <c r="C241" s="259"/>
      <c r="D241" s="356"/>
      <c r="E241" s="257"/>
      <c r="F241" s="258">
        <f>SUMIF(F217:F240,"&lt;&gt;",F217:F240)</f>
        <v>0</v>
      </c>
      <c r="G241" s="317"/>
      <c r="H241" s="260">
        <f>SUMIF(H217:H240,"&lt;&gt;",H217:H240)</f>
        <v>17909285</v>
      </c>
      <c r="I241" s="327"/>
      <c r="J241" s="260">
        <f>SUMIF(J217:J240,"&lt;&gt;",J217:J240)</f>
        <v>19573385</v>
      </c>
      <c r="K241" s="261">
        <f t="shared" si="50"/>
        <v>1664100</v>
      </c>
      <c r="L241" s="262">
        <f t="shared" si="51"/>
        <v>0.09291828233</v>
      </c>
      <c r="M241" s="257"/>
    </row>
    <row r="242" ht="15.75" customHeight="1"/>
    <row r="243" ht="15.75" customHeight="1">
      <c r="A243" s="273" t="s">
        <v>1951</v>
      </c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</row>
    <row r="244" ht="15.75" customHeight="1">
      <c r="A244" s="229" t="s">
        <v>1509</v>
      </c>
      <c r="B244" s="229" t="s">
        <v>1510</v>
      </c>
      <c r="C244" s="302" t="s">
        <v>1511</v>
      </c>
      <c r="D244" s="302" t="s">
        <v>1614</v>
      </c>
      <c r="E244" s="303" t="s">
        <v>1615</v>
      </c>
      <c r="F244" s="304"/>
      <c r="G244" s="305" t="s">
        <v>1616</v>
      </c>
      <c r="H244" s="304"/>
      <c r="I244" s="306" t="s">
        <v>1617</v>
      </c>
      <c r="J244" s="304"/>
      <c r="K244" s="307" t="s">
        <v>1618</v>
      </c>
      <c r="L244" s="304"/>
      <c r="M244" s="302" t="s">
        <v>1619</v>
      </c>
    </row>
    <row r="245" ht="15.75" customHeight="1">
      <c r="A245" s="234" t="s">
        <v>1509</v>
      </c>
      <c r="B245" s="234" t="s">
        <v>1510</v>
      </c>
      <c r="C245" s="234" t="s">
        <v>1511</v>
      </c>
      <c r="D245" s="234" t="s">
        <v>1614</v>
      </c>
      <c r="E245" s="235" t="s">
        <v>1620</v>
      </c>
      <c r="F245" s="235" t="s">
        <v>1621</v>
      </c>
      <c r="G245" s="236" t="s">
        <v>1622</v>
      </c>
      <c r="H245" s="236" t="s">
        <v>1623</v>
      </c>
      <c r="I245" s="237" t="s">
        <v>1624</v>
      </c>
      <c r="J245" s="237" t="s">
        <v>1625</v>
      </c>
      <c r="K245" s="238" t="s">
        <v>1626</v>
      </c>
      <c r="L245" s="238" t="s">
        <v>1627</v>
      </c>
      <c r="M245" s="234" t="s">
        <v>1619</v>
      </c>
    </row>
    <row r="246" ht="15.75" customHeight="1">
      <c r="A246" s="239">
        <v>1.0</v>
      </c>
      <c r="B246" s="240" t="s">
        <v>1527</v>
      </c>
      <c r="C246" s="239" t="s">
        <v>109</v>
      </c>
      <c r="D246" s="254">
        <v>125.0</v>
      </c>
      <c r="E246" s="267"/>
      <c r="F246" s="268" t="str">
        <f t="shared" ref="F246:F257" si="52">IF(E246&lt;&gt;"",D246*E246,"")</f>
        <v/>
      </c>
      <c r="G246" s="199">
        <v>14500.0</v>
      </c>
      <c r="H246" s="243">
        <f t="shared" ref="H246:H265" si="53">IF(G246&lt;&gt;"",D246*G246,"")</f>
        <v>1812500</v>
      </c>
      <c r="I246" s="200">
        <v>15700.0</v>
      </c>
      <c r="J246" s="244">
        <f t="shared" ref="J246:J265" si="54">IF(I246&lt;&gt;"",D246*I246,"")</f>
        <v>1962500</v>
      </c>
      <c r="K246" s="245">
        <f t="shared" ref="K246:K266" si="55">IF(J246&lt;&gt;"",IF(H246&lt;&gt;"",J246-H246,IF(F246&lt;&gt;"",J246-F246,"")),"")</f>
        <v>150000</v>
      </c>
      <c r="L246" s="246">
        <f t="shared" ref="L246:L266" si="56">IF(K246&lt;&gt;"",IF(H246&lt;&gt;"",IF(H246&lt;&gt;0,K246/H246,""),IF(F246&lt;&gt;"",IF(F246&lt;&gt;0,K246/F246,""),"")),"")</f>
        <v>0.08275862069</v>
      </c>
      <c r="M246" s="247"/>
    </row>
    <row r="247" ht="15.75" customHeight="1">
      <c r="A247" s="248">
        <v>2.0</v>
      </c>
      <c r="B247" s="276" t="s">
        <v>1600</v>
      </c>
      <c r="C247" s="239" t="s">
        <v>109</v>
      </c>
      <c r="D247" s="277">
        <v>150.0</v>
      </c>
      <c r="E247" s="267"/>
      <c r="F247" s="268" t="str">
        <f t="shared" si="52"/>
        <v/>
      </c>
      <c r="G247" s="199">
        <v>23800.0</v>
      </c>
      <c r="H247" s="243">
        <f t="shared" si="53"/>
        <v>3570000</v>
      </c>
      <c r="I247" s="200">
        <v>27000.0</v>
      </c>
      <c r="J247" s="244">
        <f t="shared" si="54"/>
        <v>4050000</v>
      </c>
      <c r="K247" s="250">
        <f t="shared" si="55"/>
        <v>480000</v>
      </c>
      <c r="L247" s="251">
        <f t="shared" si="56"/>
        <v>0.1344537815</v>
      </c>
      <c r="M247" s="252"/>
    </row>
    <row r="248" ht="15.75" customHeight="1">
      <c r="A248" s="239">
        <v>3.0</v>
      </c>
      <c r="B248" s="275" t="s">
        <v>1534</v>
      </c>
      <c r="C248" s="239" t="s">
        <v>109</v>
      </c>
      <c r="D248" s="254">
        <v>65.5</v>
      </c>
      <c r="E248" s="267"/>
      <c r="F248" s="268" t="str">
        <f t="shared" si="52"/>
        <v/>
      </c>
      <c r="G248" s="199">
        <v>13000.0</v>
      </c>
      <c r="H248" s="243">
        <f t="shared" si="53"/>
        <v>851500</v>
      </c>
      <c r="I248" s="200">
        <v>13000.0</v>
      </c>
      <c r="J248" s="244">
        <f t="shared" si="54"/>
        <v>851500</v>
      </c>
      <c r="K248" s="245">
        <f t="shared" si="55"/>
        <v>0</v>
      </c>
      <c r="L248" s="246">
        <f t="shared" si="56"/>
        <v>0</v>
      </c>
      <c r="M248" s="247"/>
    </row>
    <row r="249" ht="15.75" customHeight="1">
      <c r="A249" s="248">
        <v>4.0</v>
      </c>
      <c r="B249" s="276" t="s">
        <v>1934</v>
      </c>
      <c r="C249" s="239" t="s">
        <v>109</v>
      </c>
      <c r="D249" s="277">
        <v>3.0</v>
      </c>
      <c r="E249" s="267"/>
      <c r="F249" s="268" t="str">
        <f t="shared" si="52"/>
        <v/>
      </c>
      <c r="G249" s="199">
        <v>45000.0</v>
      </c>
      <c r="H249" s="243">
        <f t="shared" si="53"/>
        <v>135000</v>
      </c>
      <c r="I249" s="200">
        <v>45000.0</v>
      </c>
      <c r="J249" s="244">
        <f t="shared" si="54"/>
        <v>135000</v>
      </c>
      <c r="K249" s="250">
        <f t="shared" si="55"/>
        <v>0</v>
      </c>
      <c r="L249" s="251">
        <f t="shared" si="56"/>
        <v>0</v>
      </c>
      <c r="M249" s="252"/>
    </row>
    <row r="250" ht="15.75" customHeight="1">
      <c r="A250" s="239">
        <v>5.0</v>
      </c>
      <c r="B250" s="275" t="s">
        <v>1935</v>
      </c>
      <c r="C250" s="239" t="s">
        <v>109</v>
      </c>
      <c r="D250" s="254">
        <v>5.05</v>
      </c>
      <c r="E250" s="267"/>
      <c r="F250" s="268" t="str">
        <f t="shared" si="52"/>
        <v/>
      </c>
      <c r="G250" s="199">
        <v>36000.0</v>
      </c>
      <c r="H250" s="243">
        <f t="shared" si="53"/>
        <v>181800</v>
      </c>
      <c r="I250" s="200">
        <v>36000.0</v>
      </c>
      <c r="J250" s="244">
        <f t="shared" si="54"/>
        <v>181800</v>
      </c>
      <c r="K250" s="245">
        <f t="shared" si="55"/>
        <v>0</v>
      </c>
      <c r="L250" s="246">
        <f t="shared" si="56"/>
        <v>0</v>
      </c>
      <c r="M250" s="247"/>
    </row>
    <row r="251" ht="15.75" customHeight="1">
      <c r="A251" s="248">
        <v>6.0</v>
      </c>
      <c r="B251" s="276" t="s">
        <v>2214</v>
      </c>
      <c r="C251" s="239" t="s">
        <v>109</v>
      </c>
      <c r="D251" s="277">
        <v>3.0</v>
      </c>
      <c r="E251" s="267"/>
      <c r="F251" s="268" t="str">
        <f t="shared" si="52"/>
        <v/>
      </c>
      <c r="G251" s="199">
        <v>258000.0</v>
      </c>
      <c r="H251" s="243">
        <f t="shared" si="53"/>
        <v>774000</v>
      </c>
      <c r="I251" s="200">
        <v>270000.0</v>
      </c>
      <c r="J251" s="244">
        <f t="shared" si="54"/>
        <v>810000</v>
      </c>
      <c r="K251" s="250">
        <f t="shared" si="55"/>
        <v>36000</v>
      </c>
      <c r="L251" s="251">
        <f t="shared" si="56"/>
        <v>0.04651162791</v>
      </c>
      <c r="M251" s="252"/>
    </row>
    <row r="252" ht="15.75" customHeight="1">
      <c r="A252" s="239">
        <v>7.0</v>
      </c>
      <c r="B252" s="275" t="s">
        <v>1643</v>
      </c>
      <c r="C252" s="239" t="s">
        <v>109</v>
      </c>
      <c r="D252" s="254">
        <v>1.0</v>
      </c>
      <c r="E252" s="267"/>
      <c r="F252" s="268" t="str">
        <f t="shared" si="52"/>
        <v/>
      </c>
      <c r="G252" s="199">
        <v>190000.0</v>
      </c>
      <c r="H252" s="243">
        <f t="shared" si="53"/>
        <v>190000</v>
      </c>
      <c r="I252" s="200">
        <v>190000.0</v>
      </c>
      <c r="J252" s="244">
        <f t="shared" si="54"/>
        <v>190000</v>
      </c>
      <c r="K252" s="245">
        <f t="shared" si="55"/>
        <v>0</v>
      </c>
      <c r="L252" s="246">
        <f t="shared" si="56"/>
        <v>0</v>
      </c>
      <c r="M252" s="247"/>
    </row>
    <row r="253" ht="15.75" customHeight="1">
      <c r="A253" s="248">
        <v>8.0</v>
      </c>
      <c r="B253" s="276" t="s">
        <v>1642</v>
      </c>
      <c r="C253" s="239" t="s">
        <v>109</v>
      </c>
      <c r="D253" s="277">
        <v>2.95</v>
      </c>
      <c r="E253" s="267" t="str">
        <f>'Daftar Harga'!D311</f>
        <v/>
      </c>
      <c r="F253" s="268" t="str">
        <f t="shared" si="52"/>
        <v/>
      </c>
      <c r="G253" s="199">
        <v>17000.0</v>
      </c>
      <c r="H253" s="243">
        <f t="shared" si="53"/>
        <v>50150</v>
      </c>
      <c r="I253" s="200">
        <v>15000.0</v>
      </c>
      <c r="J253" s="244">
        <f t="shared" si="54"/>
        <v>44250</v>
      </c>
      <c r="K253" s="250">
        <f t="shared" si="55"/>
        <v>-5900</v>
      </c>
      <c r="L253" s="251">
        <f t="shared" si="56"/>
        <v>-0.1176470588</v>
      </c>
      <c r="M253" s="252"/>
    </row>
    <row r="254" ht="15.75" customHeight="1">
      <c r="A254" s="239">
        <v>9.0</v>
      </c>
      <c r="B254" s="275" t="s">
        <v>1650</v>
      </c>
      <c r="C254" s="239" t="s">
        <v>109</v>
      </c>
      <c r="D254" s="254">
        <v>0.75</v>
      </c>
      <c r="E254" s="267" t="str">
        <f>'Daftar Harga'!D321</f>
        <v/>
      </c>
      <c r="F254" s="268" t="str">
        <f t="shared" si="52"/>
        <v/>
      </c>
      <c r="G254" s="199">
        <v>140000.0</v>
      </c>
      <c r="H254" s="243">
        <f t="shared" si="53"/>
        <v>105000</v>
      </c>
      <c r="I254" s="200">
        <v>150000.0</v>
      </c>
      <c r="J254" s="244">
        <f t="shared" si="54"/>
        <v>112500</v>
      </c>
      <c r="K254" s="245">
        <f t="shared" si="55"/>
        <v>7500</v>
      </c>
      <c r="L254" s="246">
        <f t="shared" si="56"/>
        <v>0.07142857143</v>
      </c>
      <c r="M254" s="247"/>
    </row>
    <row r="255" ht="15.75" customHeight="1">
      <c r="A255" s="248">
        <v>10.0</v>
      </c>
      <c r="B255" s="276" t="s">
        <v>2245</v>
      </c>
      <c r="C255" s="239" t="s">
        <v>109</v>
      </c>
      <c r="D255" s="277">
        <v>1.0</v>
      </c>
      <c r="E255" s="267" t="str">
        <f>'Daftar Harga'!D323</f>
        <v/>
      </c>
      <c r="F255" s="268" t="str">
        <f t="shared" si="52"/>
        <v/>
      </c>
      <c r="G255" s="199">
        <v>26000.0</v>
      </c>
      <c r="H255" s="243">
        <f t="shared" si="53"/>
        <v>26000</v>
      </c>
      <c r="I255" s="200">
        <v>36000.0</v>
      </c>
      <c r="J255" s="244">
        <f t="shared" si="54"/>
        <v>36000</v>
      </c>
      <c r="K255" s="250">
        <f t="shared" si="55"/>
        <v>10000</v>
      </c>
      <c r="L255" s="251">
        <f t="shared" si="56"/>
        <v>0.3846153846</v>
      </c>
      <c r="M255" s="252"/>
    </row>
    <row r="256" ht="15.75" customHeight="1">
      <c r="A256" s="239">
        <v>11.0</v>
      </c>
      <c r="B256" s="275" t="s">
        <v>2246</v>
      </c>
      <c r="C256" s="239" t="s">
        <v>109</v>
      </c>
      <c r="D256" s="254">
        <v>1.0</v>
      </c>
      <c r="E256" s="267" t="str">
        <f>'Daftar Harga'!D326</f>
        <v/>
      </c>
      <c r="F256" s="268" t="str">
        <f t="shared" si="52"/>
        <v/>
      </c>
      <c r="G256" s="199">
        <v>30000.0</v>
      </c>
      <c r="H256" s="243">
        <f t="shared" si="53"/>
        <v>30000</v>
      </c>
      <c r="I256" s="200">
        <v>30000.0</v>
      </c>
      <c r="J256" s="244">
        <f t="shared" si="54"/>
        <v>30000</v>
      </c>
      <c r="K256" s="245">
        <f t="shared" si="55"/>
        <v>0</v>
      </c>
      <c r="L256" s="246">
        <f t="shared" si="56"/>
        <v>0</v>
      </c>
      <c r="M256" s="247"/>
    </row>
    <row r="257" ht="15.75" customHeight="1">
      <c r="A257" s="248">
        <v>12.0</v>
      </c>
      <c r="B257" s="276" t="s">
        <v>2027</v>
      </c>
      <c r="C257" s="239" t="s">
        <v>109</v>
      </c>
      <c r="D257" s="277">
        <v>0.5</v>
      </c>
      <c r="E257" s="267" t="str">
        <f>'Daftar Harga'!D335</f>
        <v/>
      </c>
      <c r="F257" s="268" t="str">
        <f t="shared" si="52"/>
        <v/>
      </c>
      <c r="G257" s="199">
        <v>48000.0</v>
      </c>
      <c r="H257" s="243">
        <f t="shared" si="53"/>
        <v>24000</v>
      </c>
      <c r="I257" s="200">
        <v>48000.0</v>
      </c>
      <c r="J257" s="244">
        <f t="shared" si="54"/>
        <v>24000</v>
      </c>
      <c r="K257" s="250">
        <f t="shared" si="55"/>
        <v>0</v>
      </c>
      <c r="L257" s="251">
        <f t="shared" si="56"/>
        <v>0</v>
      </c>
      <c r="M257" s="252"/>
    </row>
    <row r="258" ht="15.75" customHeight="1">
      <c r="A258" s="248">
        <v>13.0</v>
      </c>
      <c r="B258" s="276" t="s">
        <v>1112</v>
      </c>
      <c r="C258" s="239" t="s">
        <v>109</v>
      </c>
      <c r="D258" s="277">
        <v>225.3</v>
      </c>
      <c r="E258" s="267"/>
      <c r="F258" s="268"/>
      <c r="G258" s="353">
        <v>15000.0</v>
      </c>
      <c r="H258" s="243">
        <f t="shared" si="53"/>
        <v>3379500</v>
      </c>
      <c r="I258" s="354">
        <v>15500.0</v>
      </c>
      <c r="J258" s="244">
        <f t="shared" si="54"/>
        <v>3492150</v>
      </c>
      <c r="K258" s="250">
        <f t="shared" si="55"/>
        <v>112650</v>
      </c>
      <c r="L258" s="251">
        <f t="shared" si="56"/>
        <v>0.03333333333</v>
      </c>
      <c r="M258" s="252"/>
    </row>
    <row r="259" ht="15.75" customHeight="1">
      <c r="A259" s="239">
        <v>14.0</v>
      </c>
      <c r="B259" s="276" t="s">
        <v>1655</v>
      </c>
      <c r="C259" s="239" t="s">
        <v>109</v>
      </c>
      <c r="D259" s="277">
        <v>4.85</v>
      </c>
      <c r="E259" s="267"/>
      <c r="F259" s="268"/>
      <c r="G259" s="353">
        <v>18500.0</v>
      </c>
      <c r="H259" s="243">
        <f t="shared" si="53"/>
        <v>89725</v>
      </c>
      <c r="I259" s="354">
        <v>19000.0</v>
      </c>
      <c r="J259" s="244">
        <f t="shared" si="54"/>
        <v>92150</v>
      </c>
      <c r="K259" s="250">
        <f t="shared" si="55"/>
        <v>2425</v>
      </c>
      <c r="L259" s="251">
        <f t="shared" si="56"/>
        <v>0.02702702703</v>
      </c>
      <c r="M259" s="252"/>
    </row>
    <row r="260" ht="15.75" customHeight="1">
      <c r="A260" s="248">
        <v>15.0</v>
      </c>
      <c r="B260" s="276" t="s">
        <v>1543</v>
      </c>
      <c r="C260" s="239" t="s">
        <v>109</v>
      </c>
      <c r="D260" s="277">
        <v>5.25</v>
      </c>
      <c r="E260" s="267"/>
      <c r="F260" s="268"/>
      <c r="G260" s="353">
        <v>8000.0</v>
      </c>
      <c r="H260" s="243">
        <f t="shared" si="53"/>
        <v>42000</v>
      </c>
      <c r="I260" s="354">
        <v>10000.0</v>
      </c>
      <c r="J260" s="244">
        <f t="shared" si="54"/>
        <v>52500</v>
      </c>
      <c r="K260" s="250">
        <f t="shared" si="55"/>
        <v>10500</v>
      </c>
      <c r="L260" s="251">
        <f t="shared" si="56"/>
        <v>0.25</v>
      </c>
      <c r="M260" s="252"/>
    </row>
    <row r="261" ht="15.75" customHeight="1">
      <c r="A261" s="248">
        <v>16.0</v>
      </c>
      <c r="B261" s="276" t="s">
        <v>2205</v>
      </c>
      <c r="C261" s="239" t="s">
        <v>109</v>
      </c>
      <c r="D261" s="277">
        <v>2.0</v>
      </c>
      <c r="E261" s="267"/>
      <c r="F261" s="268"/>
      <c r="G261" s="353">
        <v>94000.0</v>
      </c>
      <c r="H261" s="243">
        <f t="shared" si="53"/>
        <v>188000</v>
      </c>
      <c r="I261" s="354">
        <v>95000.0</v>
      </c>
      <c r="J261" s="244">
        <f t="shared" si="54"/>
        <v>190000</v>
      </c>
      <c r="K261" s="250">
        <f t="shared" si="55"/>
        <v>2000</v>
      </c>
      <c r="L261" s="251">
        <f t="shared" si="56"/>
        <v>0.01063829787</v>
      </c>
      <c r="M261" s="252"/>
    </row>
    <row r="262" ht="15.75" customHeight="1">
      <c r="A262" s="239">
        <v>17.0</v>
      </c>
      <c r="B262" s="276" t="s">
        <v>1657</v>
      </c>
      <c r="C262" s="239" t="s">
        <v>109</v>
      </c>
      <c r="D262" s="277">
        <v>1.0</v>
      </c>
      <c r="E262" s="267"/>
      <c r="F262" s="268"/>
      <c r="G262" s="353">
        <v>47000.0</v>
      </c>
      <c r="H262" s="243">
        <f t="shared" si="53"/>
        <v>47000</v>
      </c>
      <c r="I262" s="354">
        <v>47000.0</v>
      </c>
      <c r="J262" s="244">
        <f t="shared" si="54"/>
        <v>47000</v>
      </c>
      <c r="K262" s="250">
        <f t="shared" si="55"/>
        <v>0</v>
      </c>
      <c r="L262" s="251">
        <f t="shared" si="56"/>
        <v>0</v>
      </c>
      <c r="M262" s="252"/>
    </row>
    <row r="263" ht="15.75" customHeight="1">
      <c r="A263" s="248">
        <v>18.0</v>
      </c>
      <c r="B263" s="276" t="s">
        <v>1522</v>
      </c>
      <c r="C263" s="239" t="s">
        <v>109</v>
      </c>
      <c r="D263" s="277">
        <v>3.05</v>
      </c>
      <c r="E263" s="267"/>
      <c r="F263" s="268"/>
      <c r="G263" s="353">
        <v>28000.0</v>
      </c>
      <c r="H263" s="243">
        <f t="shared" si="53"/>
        <v>85400</v>
      </c>
      <c r="I263" s="354">
        <v>35000.0</v>
      </c>
      <c r="J263" s="244">
        <f t="shared" si="54"/>
        <v>106750</v>
      </c>
      <c r="K263" s="250">
        <f t="shared" si="55"/>
        <v>21350</v>
      </c>
      <c r="L263" s="251">
        <f t="shared" si="56"/>
        <v>0.25</v>
      </c>
      <c r="M263" s="252"/>
    </row>
    <row r="264" ht="15.75" customHeight="1">
      <c r="A264" s="239">
        <v>19.0</v>
      </c>
      <c r="B264" s="276" t="s">
        <v>1548</v>
      </c>
      <c r="C264" s="239" t="s">
        <v>109</v>
      </c>
      <c r="D264" s="277">
        <v>1.1</v>
      </c>
      <c r="E264" s="267"/>
      <c r="F264" s="268"/>
      <c r="G264" s="353">
        <v>20000.0</v>
      </c>
      <c r="H264" s="243">
        <f t="shared" si="53"/>
        <v>22000</v>
      </c>
      <c r="I264" s="354">
        <v>24000.0</v>
      </c>
      <c r="J264" s="244">
        <f t="shared" si="54"/>
        <v>26400</v>
      </c>
      <c r="K264" s="250">
        <f t="shared" si="55"/>
        <v>4400</v>
      </c>
      <c r="L264" s="251">
        <f t="shared" si="56"/>
        <v>0.2</v>
      </c>
      <c r="M264" s="252"/>
    </row>
    <row r="265" ht="15.75" customHeight="1">
      <c r="A265" s="248">
        <v>20.0</v>
      </c>
      <c r="B265" s="276" t="s">
        <v>1950</v>
      </c>
      <c r="C265" s="239" t="s">
        <v>109</v>
      </c>
      <c r="D265" s="277">
        <v>7.2</v>
      </c>
      <c r="E265" s="267"/>
      <c r="F265" s="268"/>
      <c r="G265" s="353">
        <v>15000.0</v>
      </c>
      <c r="H265" s="243">
        <f t="shared" si="53"/>
        <v>108000</v>
      </c>
      <c r="I265" s="354">
        <v>15000.0</v>
      </c>
      <c r="J265" s="244">
        <f t="shared" si="54"/>
        <v>108000</v>
      </c>
      <c r="K265" s="250">
        <f t="shared" si="55"/>
        <v>0</v>
      </c>
      <c r="L265" s="251">
        <f t="shared" si="56"/>
        <v>0</v>
      </c>
      <c r="M265" s="252"/>
    </row>
    <row r="266" ht="15.75" customHeight="1">
      <c r="A266" s="355" t="s">
        <v>1698</v>
      </c>
      <c r="B266" s="356"/>
      <c r="C266" s="259"/>
      <c r="D266" s="356"/>
      <c r="E266" s="257"/>
      <c r="F266" s="258">
        <f>SUMIF(F246:F265,"&lt;&gt;",F246:F265)</f>
        <v>0</v>
      </c>
      <c r="G266" s="317"/>
      <c r="H266" s="260">
        <f>SUMIF(H246:H265,"&lt;&gt;",H246:H265)</f>
        <v>11711575</v>
      </c>
      <c r="I266" s="327"/>
      <c r="J266" s="260">
        <f>SUMIF(J246:J265,"&lt;&gt;",J246:J265)</f>
        <v>12542500</v>
      </c>
      <c r="K266" s="261">
        <f t="shared" si="55"/>
        <v>830925</v>
      </c>
      <c r="L266" s="262">
        <f t="shared" si="56"/>
        <v>0.07094903973</v>
      </c>
      <c r="M266" s="257"/>
    </row>
    <row r="267" ht="15.75" customHeight="1"/>
    <row r="268" ht="15.75" customHeight="1">
      <c r="A268" s="273" t="s">
        <v>1914</v>
      </c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</row>
    <row r="269" ht="15.75" customHeight="1">
      <c r="A269" s="229" t="s">
        <v>1509</v>
      </c>
      <c r="B269" s="229" t="s">
        <v>1510</v>
      </c>
      <c r="C269" s="302" t="s">
        <v>1511</v>
      </c>
      <c r="D269" s="302" t="s">
        <v>1614</v>
      </c>
      <c r="E269" s="303" t="s">
        <v>1615</v>
      </c>
      <c r="F269" s="304"/>
      <c r="G269" s="305" t="s">
        <v>1616</v>
      </c>
      <c r="H269" s="304"/>
      <c r="I269" s="306" t="s">
        <v>1617</v>
      </c>
      <c r="J269" s="304"/>
      <c r="K269" s="307" t="s">
        <v>1618</v>
      </c>
      <c r="L269" s="304"/>
      <c r="M269" s="302" t="s">
        <v>1619</v>
      </c>
    </row>
    <row r="270" ht="15.75" customHeight="1">
      <c r="A270" s="234" t="s">
        <v>1509</v>
      </c>
      <c r="B270" s="234" t="s">
        <v>1510</v>
      </c>
      <c r="C270" s="234" t="s">
        <v>1511</v>
      </c>
      <c r="D270" s="234" t="s">
        <v>1614</v>
      </c>
      <c r="E270" s="235" t="s">
        <v>1620</v>
      </c>
      <c r="F270" s="235" t="s">
        <v>1621</v>
      </c>
      <c r="G270" s="236" t="s">
        <v>1622</v>
      </c>
      <c r="H270" s="236" t="s">
        <v>1623</v>
      </c>
      <c r="I270" s="237" t="s">
        <v>1624</v>
      </c>
      <c r="J270" s="237" t="s">
        <v>1625</v>
      </c>
      <c r="K270" s="238" t="s">
        <v>1626</v>
      </c>
      <c r="L270" s="238" t="s">
        <v>1627</v>
      </c>
      <c r="M270" s="234" t="s">
        <v>1619</v>
      </c>
    </row>
    <row r="271" ht="15.75" customHeight="1">
      <c r="A271" s="239">
        <v>1.0</v>
      </c>
      <c r="B271" s="240" t="s">
        <v>1527</v>
      </c>
      <c r="C271" s="239" t="s">
        <v>109</v>
      </c>
      <c r="D271" s="254">
        <v>125.0</v>
      </c>
      <c r="E271" s="267"/>
      <c r="F271" s="268" t="str">
        <f t="shared" ref="F271:F282" si="57">IF(E271&lt;&gt;"",D271*E271,"")</f>
        <v/>
      </c>
      <c r="G271" s="199">
        <v>14500.0</v>
      </c>
      <c r="H271" s="243">
        <f t="shared" ref="H271:H290" si="58">IF(G271&lt;&gt;"",D271*G271,"")</f>
        <v>1812500</v>
      </c>
      <c r="I271" s="200">
        <v>15700.0</v>
      </c>
      <c r="J271" s="244">
        <f t="shared" ref="J271:J290" si="59">IF(I271&lt;&gt;"",D271*I271,"")</f>
        <v>1962500</v>
      </c>
      <c r="K271" s="245">
        <f t="shared" ref="K271:K291" si="60">IF(J271&lt;&gt;"",IF(H271&lt;&gt;"",J271-H271,IF(F271&lt;&gt;"",J271-F271,"")),"")</f>
        <v>150000</v>
      </c>
      <c r="L271" s="246">
        <f t="shared" ref="L271:L291" si="61">IF(K271&lt;&gt;"",IF(H271&lt;&gt;"",IF(H271&lt;&gt;0,K271/H271,""),IF(F271&lt;&gt;"",IF(F271&lt;&gt;0,K271/F271,""),"")),"")</f>
        <v>0.08275862069</v>
      </c>
      <c r="M271" s="247"/>
    </row>
    <row r="272" ht="15.75" customHeight="1">
      <c r="A272" s="248">
        <v>2.0</v>
      </c>
      <c r="B272" s="276" t="s">
        <v>1838</v>
      </c>
      <c r="C272" s="239" t="s">
        <v>109</v>
      </c>
      <c r="D272" s="277">
        <v>110.95</v>
      </c>
      <c r="E272" s="267"/>
      <c r="F272" s="268" t="str">
        <f t="shared" si="57"/>
        <v/>
      </c>
      <c r="G272" s="199">
        <v>43000.0</v>
      </c>
      <c r="H272" s="243">
        <f t="shared" si="58"/>
        <v>4770850</v>
      </c>
      <c r="I272" s="200">
        <v>45000.0</v>
      </c>
      <c r="J272" s="244">
        <f t="shared" si="59"/>
        <v>4992750</v>
      </c>
      <c r="K272" s="250">
        <f t="shared" si="60"/>
        <v>221900</v>
      </c>
      <c r="L272" s="251">
        <f t="shared" si="61"/>
        <v>0.04651162791</v>
      </c>
      <c r="M272" s="252"/>
    </row>
    <row r="273" ht="15.75" customHeight="1">
      <c r="A273" s="239">
        <v>3.0</v>
      </c>
      <c r="B273" s="275" t="s">
        <v>1601</v>
      </c>
      <c r="C273" s="239" t="s">
        <v>109</v>
      </c>
      <c r="D273" s="254">
        <v>78.0</v>
      </c>
      <c r="E273" s="267"/>
      <c r="F273" s="268" t="str">
        <f t="shared" si="57"/>
        <v/>
      </c>
      <c r="G273" s="199">
        <v>12000.0</v>
      </c>
      <c r="H273" s="243">
        <f t="shared" si="58"/>
        <v>936000</v>
      </c>
      <c r="I273" s="200">
        <v>13000.0</v>
      </c>
      <c r="J273" s="244">
        <f t="shared" si="59"/>
        <v>1014000</v>
      </c>
      <c r="K273" s="245">
        <f t="shared" si="60"/>
        <v>78000</v>
      </c>
      <c r="L273" s="246">
        <f t="shared" si="61"/>
        <v>0.08333333333</v>
      </c>
      <c r="M273" s="247"/>
    </row>
    <row r="274" ht="15.75" customHeight="1">
      <c r="A274" s="248">
        <v>4.0</v>
      </c>
      <c r="B274" s="276" t="s">
        <v>1934</v>
      </c>
      <c r="C274" s="239" t="s">
        <v>109</v>
      </c>
      <c r="D274" s="277">
        <v>1.95</v>
      </c>
      <c r="E274" s="267"/>
      <c r="F274" s="268" t="str">
        <f t="shared" si="57"/>
        <v/>
      </c>
      <c r="G274" s="199">
        <v>45000.0</v>
      </c>
      <c r="H274" s="243">
        <f t="shared" si="58"/>
        <v>87750</v>
      </c>
      <c r="I274" s="200">
        <v>45000.0</v>
      </c>
      <c r="J274" s="244">
        <f t="shared" si="59"/>
        <v>87750</v>
      </c>
      <c r="K274" s="250">
        <f t="shared" si="60"/>
        <v>0</v>
      </c>
      <c r="L274" s="251">
        <f t="shared" si="61"/>
        <v>0</v>
      </c>
      <c r="M274" s="252"/>
    </row>
    <row r="275" ht="15.75" customHeight="1">
      <c r="A275" s="239">
        <v>5.0</v>
      </c>
      <c r="B275" s="275" t="s">
        <v>1935</v>
      </c>
      <c r="C275" s="239" t="s">
        <v>109</v>
      </c>
      <c r="D275" s="254">
        <v>2.2</v>
      </c>
      <c r="E275" s="267"/>
      <c r="F275" s="268" t="str">
        <f t="shared" si="57"/>
        <v/>
      </c>
      <c r="G275" s="199">
        <v>36000.0</v>
      </c>
      <c r="H275" s="243">
        <f t="shared" si="58"/>
        <v>79200</v>
      </c>
      <c r="I275" s="200">
        <v>36000.0</v>
      </c>
      <c r="J275" s="244">
        <f t="shared" si="59"/>
        <v>79200</v>
      </c>
      <c r="K275" s="245">
        <f t="shared" si="60"/>
        <v>0</v>
      </c>
      <c r="L275" s="246">
        <f t="shared" si="61"/>
        <v>0</v>
      </c>
      <c r="M275" s="247"/>
    </row>
    <row r="276" ht="15.75" customHeight="1">
      <c r="A276" s="248">
        <v>6.0</v>
      </c>
      <c r="B276" s="276" t="s">
        <v>1522</v>
      </c>
      <c r="C276" s="239" t="s">
        <v>109</v>
      </c>
      <c r="D276" s="277">
        <v>2.05</v>
      </c>
      <c r="E276" s="267"/>
      <c r="F276" s="268" t="str">
        <f t="shared" si="57"/>
        <v/>
      </c>
      <c r="G276" s="199">
        <v>28000.0</v>
      </c>
      <c r="H276" s="243">
        <f t="shared" si="58"/>
        <v>57400</v>
      </c>
      <c r="I276" s="200">
        <v>35000.0</v>
      </c>
      <c r="J276" s="244">
        <f t="shared" si="59"/>
        <v>71750</v>
      </c>
      <c r="K276" s="250">
        <f t="shared" si="60"/>
        <v>14350</v>
      </c>
      <c r="L276" s="251">
        <f t="shared" si="61"/>
        <v>0.25</v>
      </c>
      <c r="M276" s="252"/>
    </row>
    <row r="277" ht="15.75" customHeight="1">
      <c r="A277" s="239">
        <v>7.0</v>
      </c>
      <c r="B277" s="275" t="s">
        <v>1655</v>
      </c>
      <c r="C277" s="239" t="s">
        <v>109</v>
      </c>
      <c r="D277" s="254">
        <v>4.9</v>
      </c>
      <c r="E277" s="267"/>
      <c r="F277" s="268" t="str">
        <f t="shared" si="57"/>
        <v/>
      </c>
      <c r="G277" s="199">
        <v>18500.0</v>
      </c>
      <c r="H277" s="243">
        <f t="shared" si="58"/>
        <v>90650</v>
      </c>
      <c r="I277" s="200">
        <v>19000.0</v>
      </c>
      <c r="J277" s="244">
        <f t="shared" si="59"/>
        <v>93100</v>
      </c>
      <c r="K277" s="245">
        <f t="shared" si="60"/>
        <v>2450</v>
      </c>
      <c r="L277" s="246">
        <f t="shared" si="61"/>
        <v>0.02702702703</v>
      </c>
      <c r="M277" s="247"/>
    </row>
    <row r="278" ht="15.75" customHeight="1">
      <c r="A278" s="248">
        <v>8.0</v>
      </c>
      <c r="B278" s="276" t="s">
        <v>1543</v>
      </c>
      <c r="C278" s="239" t="s">
        <v>109</v>
      </c>
      <c r="D278" s="277">
        <v>5.25</v>
      </c>
      <c r="E278" s="267" t="str">
        <f>'Daftar Harga'!D336</f>
        <v/>
      </c>
      <c r="F278" s="268" t="str">
        <f t="shared" si="57"/>
        <v/>
      </c>
      <c r="G278" s="199">
        <v>8000.0</v>
      </c>
      <c r="H278" s="243">
        <f t="shared" si="58"/>
        <v>42000</v>
      </c>
      <c r="I278" s="200">
        <v>10000.0</v>
      </c>
      <c r="J278" s="244">
        <f t="shared" si="59"/>
        <v>52500</v>
      </c>
      <c r="K278" s="250">
        <f t="shared" si="60"/>
        <v>10500</v>
      </c>
      <c r="L278" s="251">
        <f t="shared" si="61"/>
        <v>0.25</v>
      </c>
      <c r="M278" s="252"/>
    </row>
    <row r="279" ht="15.75" customHeight="1">
      <c r="A279" s="239">
        <v>9.0</v>
      </c>
      <c r="B279" s="275" t="s">
        <v>2205</v>
      </c>
      <c r="C279" s="239" t="s">
        <v>109</v>
      </c>
      <c r="D279" s="254">
        <v>3.0</v>
      </c>
      <c r="E279" s="267" t="str">
        <f>'Daftar Harga'!D346</f>
        <v/>
      </c>
      <c r="F279" s="268" t="str">
        <f t="shared" si="57"/>
        <v/>
      </c>
      <c r="G279" s="199">
        <v>94000.0</v>
      </c>
      <c r="H279" s="243">
        <f t="shared" si="58"/>
        <v>282000</v>
      </c>
      <c r="I279" s="200">
        <v>95000.0</v>
      </c>
      <c r="J279" s="244">
        <f t="shared" si="59"/>
        <v>285000</v>
      </c>
      <c r="K279" s="245">
        <f t="shared" si="60"/>
        <v>3000</v>
      </c>
      <c r="L279" s="246">
        <f t="shared" si="61"/>
        <v>0.01063829787</v>
      </c>
      <c r="M279" s="247"/>
    </row>
    <row r="280" ht="15.75" customHeight="1">
      <c r="A280" s="248">
        <v>10.0</v>
      </c>
      <c r="B280" s="276" t="s">
        <v>2247</v>
      </c>
      <c r="C280" s="239" t="s">
        <v>109</v>
      </c>
      <c r="D280" s="277">
        <v>15.0</v>
      </c>
      <c r="E280" s="267" t="str">
        <f>'Daftar Harga'!D348</f>
        <v/>
      </c>
      <c r="F280" s="268" t="str">
        <f t="shared" si="57"/>
        <v/>
      </c>
      <c r="G280" s="199">
        <v>23500.0</v>
      </c>
      <c r="H280" s="243">
        <f t="shared" si="58"/>
        <v>352500</v>
      </c>
      <c r="I280" s="200">
        <v>24000.0</v>
      </c>
      <c r="J280" s="244">
        <f t="shared" si="59"/>
        <v>360000</v>
      </c>
      <c r="K280" s="250">
        <f t="shared" si="60"/>
        <v>7500</v>
      </c>
      <c r="L280" s="251">
        <f t="shared" si="61"/>
        <v>0.02127659574</v>
      </c>
      <c r="M280" s="252"/>
    </row>
    <row r="281" ht="15.75" customHeight="1">
      <c r="A281" s="239">
        <v>11.0</v>
      </c>
      <c r="B281" s="275" t="s">
        <v>1605</v>
      </c>
      <c r="C281" s="239" t="s">
        <v>109</v>
      </c>
      <c r="D281" s="254">
        <v>50.0</v>
      </c>
      <c r="E281" s="267" t="str">
        <f>'Daftar Harga'!D351</f>
        <v/>
      </c>
      <c r="F281" s="268" t="str">
        <f t="shared" si="57"/>
        <v/>
      </c>
      <c r="G281" s="199">
        <v>11250.0</v>
      </c>
      <c r="H281" s="243">
        <f t="shared" si="58"/>
        <v>562500</v>
      </c>
      <c r="I281" s="200">
        <v>12000.0</v>
      </c>
      <c r="J281" s="244">
        <f t="shared" si="59"/>
        <v>600000</v>
      </c>
      <c r="K281" s="245">
        <f t="shared" si="60"/>
        <v>37500</v>
      </c>
      <c r="L281" s="246">
        <f t="shared" si="61"/>
        <v>0.06666666667</v>
      </c>
      <c r="M281" s="247"/>
    </row>
    <row r="282" ht="15.75" customHeight="1">
      <c r="A282" s="248">
        <v>12.0</v>
      </c>
      <c r="B282" s="276" t="s">
        <v>1643</v>
      </c>
      <c r="C282" s="239" t="s">
        <v>109</v>
      </c>
      <c r="D282" s="277">
        <v>1.0</v>
      </c>
      <c r="E282" s="267" t="str">
        <f>'Daftar Harga'!D360</f>
        <v/>
      </c>
      <c r="F282" s="268" t="str">
        <f t="shared" si="57"/>
        <v/>
      </c>
      <c r="G282" s="199">
        <v>190000.0</v>
      </c>
      <c r="H282" s="263">
        <f t="shared" si="58"/>
        <v>190000</v>
      </c>
      <c r="I282" s="200">
        <v>190000.0</v>
      </c>
      <c r="J282" s="244">
        <f t="shared" si="59"/>
        <v>190000</v>
      </c>
      <c r="K282" s="250">
        <f t="shared" si="60"/>
        <v>0</v>
      </c>
      <c r="L282" s="251">
        <f t="shared" si="61"/>
        <v>0</v>
      </c>
      <c r="M282" s="252"/>
    </row>
    <row r="283" ht="15.75" customHeight="1">
      <c r="A283" s="248">
        <v>13.0</v>
      </c>
      <c r="B283" s="276" t="s">
        <v>2231</v>
      </c>
      <c r="C283" s="278" t="s">
        <v>2220</v>
      </c>
      <c r="D283" s="277">
        <v>250.0</v>
      </c>
      <c r="E283" s="267"/>
      <c r="F283" s="268"/>
      <c r="G283" s="353">
        <v>250.0</v>
      </c>
      <c r="H283" s="263">
        <f t="shared" si="58"/>
        <v>62500</v>
      </c>
      <c r="I283" s="354">
        <v>300.0</v>
      </c>
      <c r="J283" s="244">
        <f t="shared" si="59"/>
        <v>75000</v>
      </c>
      <c r="K283" s="250">
        <f t="shared" si="60"/>
        <v>12500</v>
      </c>
      <c r="L283" s="251">
        <f t="shared" si="61"/>
        <v>0.2</v>
      </c>
      <c r="M283" s="252"/>
    </row>
    <row r="284" ht="15.75" customHeight="1">
      <c r="A284" s="239">
        <v>14.0</v>
      </c>
      <c r="B284" s="276" t="s">
        <v>1609</v>
      </c>
      <c r="C284" s="239" t="s">
        <v>109</v>
      </c>
      <c r="D284" s="277">
        <v>46.65</v>
      </c>
      <c r="E284" s="267"/>
      <c r="F284" s="268"/>
      <c r="G284" s="353">
        <v>14000.0</v>
      </c>
      <c r="H284" s="263">
        <f t="shared" si="58"/>
        <v>653100</v>
      </c>
      <c r="I284" s="354">
        <v>17000.0</v>
      </c>
      <c r="J284" s="244">
        <f t="shared" si="59"/>
        <v>793050</v>
      </c>
      <c r="K284" s="250">
        <f t="shared" si="60"/>
        <v>139950</v>
      </c>
      <c r="L284" s="251">
        <f t="shared" si="61"/>
        <v>0.2142857143</v>
      </c>
      <c r="M284" s="252"/>
    </row>
    <row r="285" ht="15.75" customHeight="1">
      <c r="A285" s="248">
        <v>15.0</v>
      </c>
      <c r="B285" s="276" t="s">
        <v>2248</v>
      </c>
      <c r="C285" s="239" t="s">
        <v>109</v>
      </c>
      <c r="D285" s="277">
        <v>35.2</v>
      </c>
      <c r="E285" s="267"/>
      <c r="F285" s="268"/>
      <c r="G285" s="353">
        <v>9000.0</v>
      </c>
      <c r="H285" s="263">
        <f t="shared" si="58"/>
        <v>316800</v>
      </c>
      <c r="I285" s="354">
        <v>10000.0</v>
      </c>
      <c r="J285" s="244">
        <f t="shared" si="59"/>
        <v>352000</v>
      </c>
      <c r="K285" s="250">
        <f t="shared" si="60"/>
        <v>35200</v>
      </c>
      <c r="L285" s="251">
        <f t="shared" si="61"/>
        <v>0.1111111111</v>
      </c>
      <c r="M285" s="252"/>
    </row>
    <row r="286" ht="15.75" customHeight="1">
      <c r="A286" s="248">
        <v>16.0</v>
      </c>
      <c r="B286" s="276" t="s">
        <v>1712</v>
      </c>
      <c r="C286" s="239" t="s">
        <v>109</v>
      </c>
      <c r="D286" s="277">
        <v>88.25</v>
      </c>
      <c r="E286" s="267"/>
      <c r="F286" s="268"/>
      <c r="G286" s="353">
        <v>9000.0</v>
      </c>
      <c r="H286" s="263">
        <f t="shared" si="58"/>
        <v>794250</v>
      </c>
      <c r="I286" s="354">
        <v>12000.0</v>
      </c>
      <c r="J286" s="244">
        <f t="shared" si="59"/>
        <v>1059000</v>
      </c>
      <c r="K286" s="250">
        <f t="shared" si="60"/>
        <v>264750</v>
      </c>
      <c r="L286" s="251">
        <f t="shared" si="61"/>
        <v>0.3333333333</v>
      </c>
      <c r="M286" s="252"/>
    </row>
    <row r="287" ht="15.75" customHeight="1">
      <c r="A287" s="239">
        <v>17.0</v>
      </c>
      <c r="B287" s="276" t="s">
        <v>1578</v>
      </c>
      <c r="C287" s="239" t="s">
        <v>109</v>
      </c>
      <c r="D287" s="277">
        <v>3.0</v>
      </c>
      <c r="E287" s="267"/>
      <c r="F287" s="268"/>
      <c r="G287" s="353">
        <v>21250.0</v>
      </c>
      <c r="H287" s="263">
        <f t="shared" si="58"/>
        <v>63750</v>
      </c>
      <c r="I287" s="354">
        <v>270000.0</v>
      </c>
      <c r="J287" s="244">
        <f t="shared" si="59"/>
        <v>810000</v>
      </c>
      <c r="K287" s="250">
        <f t="shared" si="60"/>
        <v>746250</v>
      </c>
      <c r="L287" s="251">
        <f t="shared" si="61"/>
        <v>11.70588235</v>
      </c>
      <c r="M287" s="252"/>
    </row>
    <row r="288" ht="15.75" customHeight="1">
      <c r="A288" s="248">
        <v>18.0</v>
      </c>
      <c r="B288" s="276" t="s">
        <v>1817</v>
      </c>
      <c r="C288" s="239" t="s">
        <v>109</v>
      </c>
      <c r="D288" s="277">
        <v>2.0</v>
      </c>
      <c r="E288" s="267"/>
      <c r="F288" s="268"/>
      <c r="G288" s="353">
        <v>25000.0</v>
      </c>
      <c r="H288" s="263">
        <f t="shared" si="58"/>
        <v>50000</v>
      </c>
      <c r="I288" s="354">
        <v>25000.0</v>
      </c>
      <c r="J288" s="244">
        <f t="shared" si="59"/>
        <v>50000</v>
      </c>
      <c r="K288" s="250">
        <f t="shared" si="60"/>
        <v>0</v>
      </c>
      <c r="L288" s="251">
        <f t="shared" si="61"/>
        <v>0</v>
      </c>
      <c r="M288" s="252"/>
    </row>
    <row r="289" ht="15.75" customHeight="1">
      <c r="A289" s="239">
        <v>19.0</v>
      </c>
      <c r="B289" s="276" t="s">
        <v>1152</v>
      </c>
      <c r="C289" s="239" t="s">
        <v>109</v>
      </c>
      <c r="D289" s="277">
        <v>2175.0</v>
      </c>
      <c r="E289" s="267"/>
      <c r="F289" s="268"/>
      <c r="G289" s="353">
        <v>1650.0</v>
      </c>
      <c r="H289" s="263">
        <f t="shared" si="58"/>
        <v>3588750</v>
      </c>
      <c r="I289" s="354">
        <v>2000.0</v>
      </c>
      <c r="J289" s="244">
        <f t="shared" si="59"/>
        <v>4350000</v>
      </c>
      <c r="K289" s="250">
        <f t="shared" si="60"/>
        <v>761250</v>
      </c>
      <c r="L289" s="251">
        <f t="shared" si="61"/>
        <v>0.2121212121</v>
      </c>
      <c r="M289" s="252"/>
    </row>
    <row r="290" ht="15.75" customHeight="1">
      <c r="A290" s="248">
        <v>20.0</v>
      </c>
      <c r="B290" s="276" t="s">
        <v>2249</v>
      </c>
      <c r="C290" s="239" t="s">
        <v>109</v>
      </c>
      <c r="D290" s="277">
        <v>3.0</v>
      </c>
      <c r="E290" s="267"/>
      <c r="F290" s="268"/>
      <c r="G290" s="353">
        <v>29000.0</v>
      </c>
      <c r="H290" s="263">
        <f t="shared" si="58"/>
        <v>87000</v>
      </c>
      <c r="I290" s="354">
        <v>29000.0</v>
      </c>
      <c r="J290" s="244">
        <f t="shared" si="59"/>
        <v>87000</v>
      </c>
      <c r="K290" s="250">
        <f t="shared" si="60"/>
        <v>0</v>
      </c>
      <c r="L290" s="251">
        <f t="shared" si="61"/>
        <v>0</v>
      </c>
      <c r="M290" s="252"/>
    </row>
    <row r="291" ht="15.75" customHeight="1">
      <c r="A291" s="355" t="s">
        <v>1701</v>
      </c>
      <c r="B291" s="356"/>
      <c r="C291" s="259"/>
      <c r="D291" s="356"/>
      <c r="E291" s="257"/>
      <c r="F291" s="258">
        <f>SUMIF(F271:F290,"&lt;&gt;",F271:F290)</f>
        <v>0</v>
      </c>
      <c r="G291" s="317"/>
      <c r="H291" s="260">
        <f>SUMIF(H271:H290,"&lt;&gt;",H271:H290)</f>
        <v>14879500</v>
      </c>
      <c r="I291" s="327"/>
      <c r="J291" s="260">
        <f>SUMIF(J271:J290,"&lt;&gt;",J271:J290)</f>
        <v>17364600</v>
      </c>
      <c r="K291" s="261">
        <f t="shared" si="60"/>
        <v>2485100</v>
      </c>
      <c r="L291" s="262">
        <f t="shared" si="61"/>
        <v>0.1670150207</v>
      </c>
      <c r="M291" s="257"/>
    </row>
    <row r="292" ht="15.75" customHeight="1"/>
    <row r="293" ht="15.75" customHeight="1">
      <c r="A293" s="273" t="s">
        <v>1702</v>
      </c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</row>
    <row r="294" ht="15.75" customHeight="1">
      <c r="A294" s="229" t="s">
        <v>1509</v>
      </c>
      <c r="B294" s="229" t="s">
        <v>1510</v>
      </c>
      <c r="C294" s="302" t="s">
        <v>1511</v>
      </c>
      <c r="D294" s="302" t="s">
        <v>1614</v>
      </c>
      <c r="E294" s="303" t="s">
        <v>1615</v>
      </c>
      <c r="F294" s="304"/>
      <c r="G294" s="305" t="s">
        <v>1616</v>
      </c>
      <c r="H294" s="304"/>
      <c r="I294" s="306" t="s">
        <v>1617</v>
      </c>
      <c r="J294" s="304"/>
      <c r="K294" s="307" t="s">
        <v>1618</v>
      </c>
      <c r="L294" s="304"/>
      <c r="M294" s="302" t="s">
        <v>1619</v>
      </c>
    </row>
    <row r="295" ht="15.75" customHeight="1">
      <c r="A295" s="234" t="s">
        <v>1509</v>
      </c>
      <c r="B295" s="234" t="s">
        <v>1510</v>
      </c>
      <c r="C295" s="234" t="s">
        <v>1511</v>
      </c>
      <c r="D295" s="234" t="s">
        <v>1614</v>
      </c>
      <c r="E295" s="235" t="s">
        <v>1620</v>
      </c>
      <c r="F295" s="235" t="s">
        <v>1621</v>
      </c>
      <c r="G295" s="236" t="s">
        <v>1622</v>
      </c>
      <c r="H295" s="236" t="s">
        <v>1623</v>
      </c>
      <c r="I295" s="237" t="s">
        <v>1624</v>
      </c>
      <c r="J295" s="237" t="s">
        <v>1625</v>
      </c>
      <c r="K295" s="238" t="s">
        <v>1626</v>
      </c>
      <c r="L295" s="238" t="s">
        <v>1627</v>
      </c>
      <c r="M295" s="234" t="s">
        <v>1619</v>
      </c>
    </row>
    <row r="296" ht="15.75" customHeight="1">
      <c r="A296" s="239">
        <v>1.0</v>
      </c>
      <c r="B296" s="240" t="s">
        <v>1527</v>
      </c>
      <c r="C296" s="239" t="s">
        <v>109</v>
      </c>
      <c r="D296" s="254">
        <v>75.0</v>
      </c>
      <c r="E296" s="267"/>
      <c r="F296" s="268" t="str">
        <f t="shared" ref="F296:F307" si="62">IF(E296&lt;&gt;"",D296*E296,"")</f>
        <v/>
      </c>
      <c r="G296" s="199">
        <v>14500.0</v>
      </c>
      <c r="H296" s="243">
        <f t="shared" ref="H296:H313" si="63">IF(G296&lt;&gt;"",D296*G296,"")</f>
        <v>1087500</v>
      </c>
      <c r="I296" s="200">
        <v>15700.0</v>
      </c>
      <c r="J296" s="244">
        <f t="shared" ref="J296:J313" si="64">IF(I296&lt;&gt;"",D296*I296,"")</f>
        <v>1177500</v>
      </c>
      <c r="K296" s="245">
        <f t="shared" ref="K296:K314" si="65">IF(J296&lt;&gt;"",IF(H296&lt;&gt;"",J296-H296,IF(F296&lt;&gt;"",J296-F296,"")),"")</f>
        <v>90000</v>
      </c>
      <c r="L296" s="246">
        <f t="shared" ref="L296:L314" si="66">IF(K296&lt;&gt;"",IF(H296&lt;&gt;"",IF(H296&lt;&gt;0,K296/H296,""),IF(F296&lt;&gt;"",IF(F296&lt;&gt;0,K296/F296,""),"")),"")</f>
        <v>0.08275862069</v>
      </c>
      <c r="M296" s="247"/>
    </row>
    <row r="297" ht="15.75" customHeight="1">
      <c r="A297" s="248">
        <v>2.0</v>
      </c>
      <c r="B297" s="276" t="s">
        <v>2250</v>
      </c>
      <c r="C297" s="239" t="s">
        <v>109</v>
      </c>
      <c r="D297" s="277">
        <v>233.0</v>
      </c>
      <c r="E297" s="267"/>
      <c r="F297" s="268" t="str">
        <f t="shared" si="62"/>
        <v/>
      </c>
      <c r="G297" s="199">
        <v>28500.0</v>
      </c>
      <c r="H297" s="243">
        <f t="shared" si="63"/>
        <v>6640500</v>
      </c>
      <c r="I297" s="200">
        <v>34000.0</v>
      </c>
      <c r="J297" s="244">
        <f t="shared" si="64"/>
        <v>7922000</v>
      </c>
      <c r="K297" s="250">
        <f t="shared" si="65"/>
        <v>1281500</v>
      </c>
      <c r="L297" s="251">
        <f t="shared" si="66"/>
        <v>0.1929824561</v>
      </c>
      <c r="M297" s="252"/>
    </row>
    <row r="298" ht="15.75" customHeight="1">
      <c r="A298" s="239">
        <v>3.0</v>
      </c>
      <c r="B298" s="275" t="s">
        <v>1642</v>
      </c>
      <c r="C298" s="239" t="s">
        <v>109</v>
      </c>
      <c r="D298" s="254">
        <v>3.15</v>
      </c>
      <c r="E298" s="267"/>
      <c r="F298" s="268" t="str">
        <f t="shared" si="62"/>
        <v/>
      </c>
      <c r="G298" s="199">
        <v>17000.0</v>
      </c>
      <c r="H298" s="243">
        <f t="shared" si="63"/>
        <v>53550</v>
      </c>
      <c r="I298" s="200">
        <v>15000.0</v>
      </c>
      <c r="J298" s="244">
        <f t="shared" si="64"/>
        <v>47250</v>
      </c>
      <c r="K298" s="245">
        <f t="shared" si="65"/>
        <v>-6300</v>
      </c>
      <c r="L298" s="246">
        <f t="shared" si="66"/>
        <v>-0.1176470588</v>
      </c>
      <c r="M298" s="247"/>
    </row>
    <row r="299" ht="15.75" customHeight="1">
      <c r="A299" s="248">
        <v>4.0</v>
      </c>
      <c r="B299" s="276" t="s">
        <v>1609</v>
      </c>
      <c r="C299" s="239" t="s">
        <v>109</v>
      </c>
      <c r="D299" s="277">
        <v>40.2</v>
      </c>
      <c r="E299" s="267"/>
      <c r="F299" s="268" t="str">
        <f t="shared" si="62"/>
        <v/>
      </c>
      <c r="G299" s="199">
        <v>9000.0</v>
      </c>
      <c r="H299" s="243">
        <f t="shared" si="63"/>
        <v>361800</v>
      </c>
      <c r="I299" s="200">
        <v>17000.0</v>
      </c>
      <c r="J299" s="244">
        <f t="shared" si="64"/>
        <v>683400</v>
      </c>
      <c r="K299" s="250">
        <f t="shared" si="65"/>
        <v>321600</v>
      </c>
      <c r="L299" s="251">
        <f t="shared" si="66"/>
        <v>0.8888888889</v>
      </c>
      <c r="M299" s="252"/>
    </row>
    <row r="300" ht="15.75" customHeight="1">
      <c r="A300" s="239">
        <v>5.0</v>
      </c>
      <c r="B300" s="275" t="s">
        <v>1534</v>
      </c>
      <c r="C300" s="239" t="s">
        <v>109</v>
      </c>
      <c r="D300" s="254">
        <v>40.55</v>
      </c>
      <c r="E300" s="267"/>
      <c r="F300" s="268" t="str">
        <f t="shared" si="62"/>
        <v/>
      </c>
      <c r="G300" s="199">
        <v>10000.0</v>
      </c>
      <c r="H300" s="243">
        <f t="shared" si="63"/>
        <v>405500</v>
      </c>
      <c r="I300" s="200">
        <v>13000.0</v>
      </c>
      <c r="J300" s="244">
        <f t="shared" si="64"/>
        <v>527150</v>
      </c>
      <c r="K300" s="245">
        <f t="shared" si="65"/>
        <v>121650</v>
      </c>
      <c r="L300" s="246">
        <f t="shared" si="66"/>
        <v>0.3</v>
      </c>
      <c r="M300" s="247"/>
    </row>
    <row r="301" ht="15.75" customHeight="1">
      <c r="A301" s="248">
        <v>6.0</v>
      </c>
      <c r="B301" s="276" t="s">
        <v>1223</v>
      </c>
      <c r="C301" s="239" t="s">
        <v>109</v>
      </c>
      <c r="D301" s="277">
        <v>20.0</v>
      </c>
      <c r="E301" s="267"/>
      <c r="F301" s="268" t="str">
        <f t="shared" si="62"/>
        <v/>
      </c>
      <c r="G301" s="199">
        <v>22000.0</v>
      </c>
      <c r="H301" s="243">
        <f t="shared" si="63"/>
        <v>440000</v>
      </c>
      <c r="I301" s="200">
        <v>14000.0</v>
      </c>
      <c r="J301" s="244">
        <f t="shared" si="64"/>
        <v>280000</v>
      </c>
      <c r="K301" s="250">
        <f t="shared" si="65"/>
        <v>-160000</v>
      </c>
      <c r="L301" s="251">
        <f t="shared" si="66"/>
        <v>-0.3636363636</v>
      </c>
      <c r="M301" s="252"/>
    </row>
    <row r="302" ht="15.75" customHeight="1">
      <c r="A302" s="239">
        <v>7.0</v>
      </c>
      <c r="B302" s="275" t="s">
        <v>1935</v>
      </c>
      <c r="C302" s="239" t="s">
        <v>109</v>
      </c>
      <c r="D302" s="254">
        <v>1.8</v>
      </c>
      <c r="E302" s="267"/>
      <c r="F302" s="268" t="str">
        <f t="shared" si="62"/>
        <v/>
      </c>
      <c r="G302" s="199">
        <v>36000.0</v>
      </c>
      <c r="H302" s="243">
        <f t="shared" si="63"/>
        <v>64800</v>
      </c>
      <c r="I302" s="200">
        <v>36000.0</v>
      </c>
      <c r="J302" s="244">
        <f t="shared" si="64"/>
        <v>64800</v>
      </c>
      <c r="K302" s="245">
        <f t="shared" si="65"/>
        <v>0</v>
      </c>
      <c r="L302" s="246">
        <f t="shared" si="66"/>
        <v>0</v>
      </c>
      <c r="M302" s="247"/>
    </row>
    <row r="303" ht="15.75" customHeight="1">
      <c r="A303" s="248">
        <v>8.0</v>
      </c>
      <c r="B303" s="276" t="s">
        <v>1522</v>
      </c>
      <c r="C303" s="239" t="s">
        <v>109</v>
      </c>
      <c r="D303" s="277">
        <v>3.05</v>
      </c>
      <c r="E303" s="267" t="str">
        <f>'Daftar Harga'!D361</f>
        <v/>
      </c>
      <c r="F303" s="268" t="str">
        <f t="shared" si="62"/>
        <v/>
      </c>
      <c r="G303" s="199">
        <v>28000.0</v>
      </c>
      <c r="H303" s="243">
        <f t="shared" si="63"/>
        <v>85400</v>
      </c>
      <c r="I303" s="200">
        <v>35000.0</v>
      </c>
      <c r="J303" s="244">
        <f t="shared" si="64"/>
        <v>106750</v>
      </c>
      <c r="K303" s="250">
        <f t="shared" si="65"/>
        <v>21350</v>
      </c>
      <c r="L303" s="251">
        <f t="shared" si="66"/>
        <v>0.25</v>
      </c>
      <c r="M303" s="252"/>
    </row>
    <row r="304" ht="15.75" customHeight="1">
      <c r="A304" s="239">
        <v>9.0</v>
      </c>
      <c r="B304" s="275" t="s">
        <v>1643</v>
      </c>
      <c r="C304" s="278" t="s">
        <v>1676</v>
      </c>
      <c r="D304" s="254">
        <v>1.0</v>
      </c>
      <c r="E304" s="267" t="str">
        <f>'Daftar Harga'!D371</f>
        <v/>
      </c>
      <c r="F304" s="268" t="str">
        <f t="shared" si="62"/>
        <v/>
      </c>
      <c r="G304" s="199">
        <v>190000.0</v>
      </c>
      <c r="H304" s="243">
        <f t="shared" si="63"/>
        <v>190000</v>
      </c>
      <c r="I304" s="200">
        <v>190000.0</v>
      </c>
      <c r="J304" s="244">
        <f t="shared" si="64"/>
        <v>190000</v>
      </c>
      <c r="K304" s="245">
        <f t="shared" si="65"/>
        <v>0</v>
      </c>
      <c r="L304" s="246">
        <f t="shared" si="66"/>
        <v>0</v>
      </c>
      <c r="M304" s="247"/>
    </row>
    <row r="305" ht="15.75" customHeight="1">
      <c r="A305" s="248">
        <v>10.0</v>
      </c>
      <c r="B305" s="276" t="s">
        <v>1563</v>
      </c>
      <c r="C305" s="239" t="s">
        <v>109</v>
      </c>
      <c r="D305" s="277">
        <v>1.0</v>
      </c>
      <c r="E305" s="267" t="str">
        <f>'Daftar Harga'!D373</f>
        <v/>
      </c>
      <c r="F305" s="268" t="str">
        <f t="shared" si="62"/>
        <v/>
      </c>
      <c r="G305" s="199">
        <v>44000.0</v>
      </c>
      <c r="H305" s="243">
        <f t="shared" si="63"/>
        <v>44000</v>
      </c>
      <c r="I305" s="200">
        <v>47000.0</v>
      </c>
      <c r="J305" s="244">
        <f t="shared" si="64"/>
        <v>47000</v>
      </c>
      <c r="K305" s="250">
        <f t="shared" si="65"/>
        <v>3000</v>
      </c>
      <c r="L305" s="251">
        <f t="shared" si="66"/>
        <v>0.06818181818</v>
      </c>
      <c r="M305" s="252"/>
    </row>
    <row r="306" ht="15.75" customHeight="1">
      <c r="A306" s="239">
        <v>11.0</v>
      </c>
      <c r="B306" s="275" t="s">
        <v>1680</v>
      </c>
      <c r="C306" s="239" t="s">
        <v>109</v>
      </c>
      <c r="D306" s="254">
        <v>1.0</v>
      </c>
      <c r="E306" s="267" t="str">
        <f>'Daftar Harga'!D376</f>
        <v/>
      </c>
      <c r="F306" s="268" t="str">
        <f t="shared" si="62"/>
        <v/>
      </c>
      <c r="G306" s="199">
        <v>17000.0</v>
      </c>
      <c r="H306" s="243">
        <f t="shared" si="63"/>
        <v>17000</v>
      </c>
      <c r="I306" s="200">
        <v>20000.0</v>
      </c>
      <c r="J306" s="244">
        <f t="shared" si="64"/>
        <v>20000</v>
      </c>
      <c r="K306" s="245">
        <f t="shared" si="65"/>
        <v>3000</v>
      </c>
      <c r="L306" s="246">
        <f t="shared" si="66"/>
        <v>0.1764705882</v>
      </c>
      <c r="M306" s="247"/>
    </row>
    <row r="307" ht="15.75" customHeight="1">
      <c r="A307" s="248">
        <v>12.0</v>
      </c>
      <c r="B307" s="276" t="s">
        <v>1818</v>
      </c>
      <c r="C307" s="239" t="s">
        <v>109</v>
      </c>
      <c r="D307" s="277">
        <v>1.0</v>
      </c>
      <c r="E307" s="267" t="str">
        <f>'Daftar Harga'!D385</f>
        <v/>
      </c>
      <c r="F307" s="268" t="str">
        <f t="shared" si="62"/>
        <v/>
      </c>
      <c r="G307" s="199">
        <v>26000.0</v>
      </c>
      <c r="H307" s="263">
        <f t="shared" si="63"/>
        <v>26000</v>
      </c>
      <c r="I307" s="200">
        <v>26000.0</v>
      </c>
      <c r="J307" s="244">
        <f t="shared" si="64"/>
        <v>26000</v>
      </c>
      <c r="K307" s="250">
        <f t="shared" si="65"/>
        <v>0</v>
      </c>
      <c r="L307" s="251">
        <f t="shared" si="66"/>
        <v>0</v>
      </c>
      <c r="M307" s="252"/>
    </row>
    <row r="308" ht="15.75" customHeight="1">
      <c r="A308" s="248">
        <v>13.0</v>
      </c>
      <c r="B308" s="276" t="s">
        <v>1605</v>
      </c>
      <c r="C308" s="278" t="s">
        <v>1778</v>
      </c>
      <c r="D308" s="277">
        <v>1.0</v>
      </c>
      <c r="E308" s="267"/>
      <c r="F308" s="268"/>
      <c r="G308" s="353">
        <v>11250.0</v>
      </c>
      <c r="H308" s="263">
        <f t="shared" si="63"/>
        <v>11250</v>
      </c>
      <c r="I308" s="354">
        <v>12000.0</v>
      </c>
      <c r="J308" s="244">
        <f t="shared" si="64"/>
        <v>12000</v>
      </c>
      <c r="K308" s="250">
        <f t="shared" si="65"/>
        <v>750</v>
      </c>
      <c r="L308" s="251">
        <f t="shared" si="66"/>
        <v>0.06666666667</v>
      </c>
      <c r="M308" s="252"/>
    </row>
    <row r="309" ht="15.75" customHeight="1">
      <c r="A309" s="239">
        <v>14.0</v>
      </c>
      <c r="B309" s="276" t="s">
        <v>1645</v>
      </c>
      <c r="C309" s="239" t="s">
        <v>109</v>
      </c>
      <c r="D309" s="277">
        <v>10.0</v>
      </c>
      <c r="E309" s="267"/>
      <c r="F309" s="268"/>
      <c r="G309" s="353">
        <v>14000.0</v>
      </c>
      <c r="H309" s="263">
        <f t="shared" si="63"/>
        <v>140000</v>
      </c>
      <c r="I309" s="354">
        <v>14500.0</v>
      </c>
      <c r="J309" s="244">
        <f t="shared" si="64"/>
        <v>145000</v>
      </c>
      <c r="K309" s="250">
        <f t="shared" si="65"/>
        <v>5000</v>
      </c>
      <c r="L309" s="251">
        <f t="shared" si="66"/>
        <v>0.03571428571</v>
      </c>
      <c r="M309" s="252"/>
    </row>
    <row r="310" ht="15.75" customHeight="1">
      <c r="A310" s="248">
        <v>15.0</v>
      </c>
      <c r="B310" s="276" t="s">
        <v>1808</v>
      </c>
      <c r="C310" s="278" t="s">
        <v>1676</v>
      </c>
      <c r="D310" s="277">
        <v>1.0</v>
      </c>
      <c r="E310" s="267"/>
      <c r="F310" s="268"/>
      <c r="G310" s="353">
        <v>85000.0</v>
      </c>
      <c r="H310" s="263">
        <f t="shared" si="63"/>
        <v>85000</v>
      </c>
      <c r="I310" s="354">
        <v>95000.0</v>
      </c>
      <c r="J310" s="244">
        <f t="shared" si="64"/>
        <v>95000</v>
      </c>
      <c r="K310" s="250">
        <f t="shared" si="65"/>
        <v>10000</v>
      </c>
      <c r="L310" s="251">
        <f t="shared" si="66"/>
        <v>0.1176470588</v>
      </c>
      <c r="M310" s="252"/>
    </row>
    <row r="311" ht="15.75" customHeight="1">
      <c r="A311" s="248">
        <v>16.0</v>
      </c>
      <c r="B311" s="276" t="s">
        <v>1152</v>
      </c>
      <c r="C311" s="278" t="s">
        <v>69</v>
      </c>
      <c r="D311" s="277">
        <v>1115.0</v>
      </c>
      <c r="E311" s="267"/>
      <c r="F311" s="268"/>
      <c r="G311" s="353">
        <v>1650.0</v>
      </c>
      <c r="H311" s="263">
        <f t="shared" si="63"/>
        <v>1839750</v>
      </c>
      <c r="I311" s="354">
        <v>2000.0</v>
      </c>
      <c r="J311" s="244">
        <f t="shared" si="64"/>
        <v>2230000</v>
      </c>
      <c r="K311" s="250">
        <f t="shared" si="65"/>
        <v>390250</v>
      </c>
      <c r="L311" s="251">
        <f t="shared" si="66"/>
        <v>0.2121212121</v>
      </c>
      <c r="M311" s="252"/>
    </row>
    <row r="312" ht="15.75" customHeight="1">
      <c r="A312" s="239">
        <v>17.0</v>
      </c>
      <c r="B312" s="276" t="s">
        <v>1234</v>
      </c>
      <c r="C312" s="239" t="s">
        <v>109</v>
      </c>
      <c r="D312" s="277">
        <v>65.1</v>
      </c>
      <c r="E312" s="267"/>
      <c r="F312" s="268"/>
      <c r="G312" s="353">
        <v>11000.0</v>
      </c>
      <c r="H312" s="263">
        <f t="shared" si="63"/>
        <v>716100</v>
      </c>
      <c r="I312" s="354">
        <v>13000.0</v>
      </c>
      <c r="J312" s="244">
        <f t="shared" si="64"/>
        <v>846300</v>
      </c>
      <c r="K312" s="250">
        <f t="shared" si="65"/>
        <v>130200</v>
      </c>
      <c r="L312" s="251">
        <f t="shared" si="66"/>
        <v>0.1818181818</v>
      </c>
      <c r="M312" s="252"/>
    </row>
    <row r="313" ht="15.75" customHeight="1">
      <c r="A313" s="248">
        <v>18.0</v>
      </c>
      <c r="B313" s="276" t="s">
        <v>2251</v>
      </c>
      <c r="C313" s="278" t="s">
        <v>261</v>
      </c>
      <c r="D313" s="277">
        <v>1.0</v>
      </c>
      <c r="E313" s="267"/>
      <c r="F313" s="268"/>
      <c r="G313" s="353">
        <v>258000.0</v>
      </c>
      <c r="H313" s="263">
        <f t="shared" si="63"/>
        <v>258000</v>
      </c>
      <c r="I313" s="354">
        <v>270000.0</v>
      </c>
      <c r="J313" s="244">
        <f t="shared" si="64"/>
        <v>270000</v>
      </c>
      <c r="K313" s="250">
        <f t="shared" si="65"/>
        <v>12000</v>
      </c>
      <c r="L313" s="251">
        <f t="shared" si="66"/>
        <v>0.04651162791</v>
      </c>
      <c r="M313" s="252"/>
    </row>
    <row r="314" ht="15.75" customHeight="1">
      <c r="A314" s="355" t="s">
        <v>1704</v>
      </c>
      <c r="B314" s="356"/>
      <c r="C314" s="259"/>
      <c r="D314" s="356"/>
      <c r="E314" s="257"/>
      <c r="F314" s="258">
        <f>SUMIF(F296:F313,"&lt;&gt;",F296:F313)</f>
        <v>0</v>
      </c>
      <c r="G314" s="317"/>
      <c r="H314" s="260">
        <f>SUMIF(H296:H313,"&lt;&gt;",H296:H313)</f>
        <v>12466150</v>
      </c>
      <c r="I314" s="327"/>
      <c r="J314" s="260">
        <f>SUMIF(J296:J313,"&lt;&gt;",J296:J313)</f>
        <v>14690150</v>
      </c>
      <c r="K314" s="250">
        <f t="shared" si="65"/>
        <v>2224000</v>
      </c>
      <c r="L314" s="251">
        <f t="shared" si="66"/>
        <v>0.1784031156</v>
      </c>
      <c r="M314" s="257"/>
    </row>
    <row r="315" ht="15.75" customHeight="1"/>
    <row r="316" ht="15.75" customHeight="1">
      <c r="A316" s="273" t="s">
        <v>2252</v>
      </c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</row>
    <row r="317" ht="15.75" customHeight="1">
      <c r="A317" s="229" t="s">
        <v>1509</v>
      </c>
      <c r="B317" s="229" t="s">
        <v>1510</v>
      </c>
      <c r="C317" s="302" t="s">
        <v>1511</v>
      </c>
      <c r="D317" s="302" t="s">
        <v>1614</v>
      </c>
      <c r="E317" s="303" t="s">
        <v>1615</v>
      </c>
      <c r="F317" s="304"/>
      <c r="G317" s="305" t="s">
        <v>1616</v>
      </c>
      <c r="H317" s="304"/>
      <c r="I317" s="306" t="s">
        <v>1617</v>
      </c>
      <c r="J317" s="304"/>
      <c r="K317" s="307" t="s">
        <v>1618</v>
      </c>
      <c r="L317" s="304"/>
      <c r="M317" s="302" t="s">
        <v>1619</v>
      </c>
    </row>
    <row r="318" ht="15.75" customHeight="1">
      <c r="A318" s="234" t="s">
        <v>1509</v>
      </c>
      <c r="B318" s="234" t="s">
        <v>1510</v>
      </c>
      <c r="C318" s="234" t="s">
        <v>1511</v>
      </c>
      <c r="D318" s="234" t="s">
        <v>1614</v>
      </c>
      <c r="E318" s="235" t="s">
        <v>1620</v>
      </c>
      <c r="F318" s="235" t="s">
        <v>1621</v>
      </c>
      <c r="G318" s="236" t="s">
        <v>1622</v>
      </c>
      <c r="H318" s="236" t="s">
        <v>1623</v>
      </c>
      <c r="I318" s="237" t="s">
        <v>1624</v>
      </c>
      <c r="J318" s="237" t="s">
        <v>1625</v>
      </c>
      <c r="K318" s="238" t="s">
        <v>1626</v>
      </c>
      <c r="L318" s="238" t="s">
        <v>1627</v>
      </c>
      <c r="M318" s="234" t="s">
        <v>1619</v>
      </c>
    </row>
    <row r="319" ht="15.75" customHeight="1">
      <c r="A319" s="239">
        <v>1.0</v>
      </c>
      <c r="B319" s="240" t="s">
        <v>1527</v>
      </c>
      <c r="C319" s="239" t="s">
        <v>109</v>
      </c>
      <c r="D319" s="254">
        <v>125.0</v>
      </c>
      <c r="E319" s="267"/>
      <c r="F319" s="268" t="str">
        <f t="shared" ref="F319:F325" si="67">IF(E319&lt;&gt;"",D319*E319,"")</f>
        <v/>
      </c>
      <c r="G319" s="199">
        <v>15000.0</v>
      </c>
      <c r="H319" s="243">
        <f t="shared" ref="H319:H340" si="68">IF(G319&lt;&gt;"",D319*G319,"")</f>
        <v>1875000</v>
      </c>
      <c r="I319" s="200">
        <v>15700.0</v>
      </c>
      <c r="J319" s="244">
        <f t="shared" ref="J319:J340" si="69">IF(I319&lt;&gt;"",D319*I319,"")</f>
        <v>1962500</v>
      </c>
      <c r="K319" s="245">
        <f t="shared" ref="K319:K341" si="70">IF(J319&lt;&gt;"",IF(H319&lt;&gt;"",J319-H319,IF(F319&lt;&gt;"",J319-F319,"")),"")</f>
        <v>87500</v>
      </c>
      <c r="L319" s="246">
        <f t="shared" ref="L319:L325" si="71">IF(K319&lt;&gt;"",IF(H319&lt;&gt;"",IF(H319&lt;&gt;0,K319/H319,""),IF(F319&lt;&gt;"",IF(F319&lt;&gt;0,K319/F319,""),"")),"")</f>
        <v>0.04666666667</v>
      </c>
      <c r="M319" s="247"/>
    </row>
    <row r="320" ht="15.75" customHeight="1">
      <c r="A320" s="248">
        <v>2.0</v>
      </c>
      <c r="B320" s="276" t="s">
        <v>1600</v>
      </c>
      <c r="C320" s="239" t="s">
        <v>109</v>
      </c>
      <c r="D320" s="277">
        <v>145.0</v>
      </c>
      <c r="E320" s="267"/>
      <c r="F320" s="268" t="str">
        <f t="shared" si="67"/>
        <v/>
      </c>
      <c r="G320" s="199">
        <v>23800.0</v>
      </c>
      <c r="H320" s="243">
        <f t="shared" si="68"/>
        <v>3451000</v>
      </c>
      <c r="I320" s="200">
        <v>27000.0</v>
      </c>
      <c r="J320" s="244">
        <f t="shared" si="69"/>
        <v>3915000</v>
      </c>
      <c r="K320" s="245">
        <f t="shared" si="70"/>
        <v>464000</v>
      </c>
      <c r="L320" s="251">
        <f t="shared" si="71"/>
        <v>0.1344537815</v>
      </c>
      <c r="M320" s="252"/>
    </row>
    <row r="321" ht="15.75" customHeight="1">
      <c r="A321" s="239">
        <v>3.0</v>
      </c>
      <c r="B321" s="275" t="s">
        <v>1934</v>
      </c>
      <c r="C321" s="239" t="s">
        <v>109</v>
      </c>
      <c r="D321" s="254">
        <v>2.0</v>
      </c>
      <c r="E321" s="267"/>
      <c r="F321" s="268" t="str">
        <f t="shared" si="67"/>
        <v/>
      </c>
      <c r="G321" s="199">
        <v>45000.0</v>
      </c>
      <c r="H321" s="243">
        <f t="shared" si="68"/>
        <v>90000</v>
      </c>
      <c r="I321" s="200">
        <v>45000.0</v>
      </c>
      <c r="J321" s="244">
        <f t="shared" si="69"/>
        <v>90000</v>
      </c>
      <c r="K321" s="245">
        <f t="shared" si="70"/>
        <v>0</v>
      </c>
      <c r="L321" s="246">
        <f t="shared" si="71"/>
        <v>0</v>
      </c>
      <c r="M321" s="247"/>
    </row>
    <row r="322" ht="15.75" customHeight="1">
      <c r="A322" s="248">
        <v>4.0</v>
      </c>
      <c r="B322" s="276" t="s">
        <v>1935</v>
      </c>
      <c r="C322" s="239" t="s">
        <v>109</v>
      </c>
      <c r="D322" s="277">
        <v>1.0</v>
      </c>
      <c r="E322" s="267"/>
      <c r="F322" s="268" t="str">
        <f t="shared" si="67"/>
        <v/>
      </c>
      <c r="G322" s="199">
        <v>40000.0</v>
      </c>
      <c r="H322" s="243">
        <f t="shared" si="68"/>
        <v>40000</v>
      </c>
      <c r="I322" s="200">
        <v>36000.0</v>
      </c>
      <c r="J322" s="244">
        <f t="shared" si="69"/>
        <v>36000</v>
      </c>
      <c r="K322" s="245">
        <f t="shared" si="70"/>
        <v>-4000</v>
      </c>
      <c r="L322" s="251">
        <f t="shared" si="71"/>
        <v>-0.1</v>
      </c>
      <c r="M322" s="252"/>
    </row>
    <row r="323" ht="15.75" customHeight="1">
      <c r="A323" s="239">
        <v>5.0</v>
      </c>
      <c r="B323" s="275" t="s">
        <v>1543</v>
      </c>
      <c r="C323" s="239" t="s">
        <v>109</v>
      </c>
      <c r="D323" s="254">
        <v>4.95</v>
      </c>
      <c r="E323" s="267"/>
      <c r="F323" s="268" t="str">
        <f t="shared" si="67"/>
        <v/>
      </c>
      <c r="G323" s="199">
        <v>7000.0</v>
      </c>
      <c r="H323" s="243">
        <f t="shared" si="68"/>
        <v>34650</v>
      </c>
      <c r="I323" s="200">
        <v>10000.0</v>
      </c>
      <c r="J323" s="244">
        <f t="shared" si="69"/>
        <v>49500</v>
      </c>
      <c r="K323" s="245">
        <f t="shared" si="70"/>
        <v>14850</v>
      </c>
      <c r="L323" s="246">
        <f t="shared" si="71"/>
        <v>0.4285714286</v>
      </c>
      <c r="M323" s="247"/>
    </row>
    <row r="324" ht="15.75" customHeight="1">
      <c r="A324" s="248">
        <v>6.0</v>
      </c>
      <c r="B324" s="276" t="s">
        <v>1645</v>
      </c>
      <c r="C324" s="239" t="s">
        <v>109</v>
      </c>
      <c r="D324" s="277">
        <v>20.0</v>
      </c>
      <c r="E324" s="267"/>
      <c r="F324" s="268" t="str">
        <f t="shared" si="67"/>
        <v/>
      </c>
      <c r="G324" s="199">
        <v>14000.0</v>
      </c>
      <c r="H324" s="243">
        <f t="shared" si="68"/>
        <v>280000</v>
      </c>
      <c r="I324" s="200">
        <v>14500.0</v>
      </c>
      <c r="J324" s="244">
        <f t="shared" si="69"/>
        <v>290000</v>
      </c>
      <c r="K324" s="245">
        <f t="shared" si="70"/>
        <v>10000</v>
      </c>
      <c r="L324" s="251">
        <f t="shared" si="71"/>
        <v>0.03571428571</v>
      </c>
      <c r="M324" s="252"/>
    </row>
    <row r="325" ht="15.75" customHeight="1">
      <c r="A325" s="239">
        <v>7.0</v>
      </c>
      <c r="B325" s="275" t="s">
        <v>1609</v>
      </c>
      <c r="C325" s="239" t="s">
        <v>109</v>
      </c>
      <c r="D325" s="254">
        <v>11.05</v>
      </c>
      <c r="E325" s="267"/>
      <c r="F325" s="268" t="str">
        <f t="shared" si="67"/>
        <v/>
      </c>
      <c r="G325" s="199">
        <v>15000.0</v>
      </c>
      <c r="H325" s="243">
        <f t="shared" si="68"/>
        <v>165750</v>
      </c>
      <c r="I325" s="200">
        <v>16000.0</v>
      </c>
      <c r="J325" s="244">
        <f t="shared" si="69"/>
        <v>176800</v>
      </c>
      <c r="K325" s="245">
        <f t="shared" si="70"/>
        <v>11050</v>
      </c>
      <c r="L325" s="246">
        <f t="shared" si="71"/>
        <v>0.06666666667</v>
      </c>
      <c r="M325" s="247"/>
    </row>
    <row r="326" ht="15.75" customHeight="1">
      <c r="A326" s="248">
        <v>8.0</v>
      </c>
      <c r="B326" s="276" t="s">
        <v>1567</v>
      </c>
      <c r="C326" s="278" t="s">
        <v>109</v>
      </c>
      <c r="D326" s="277">
        <v>12.7</v>
      </c>
      <c r="E326" s="267"/>
      <c r="F326" s="268"/>
      <c r="G326" s="199">
        <v>7500.0</v>
      </c>
      <c r="H326" s="243">
        <f t="shared" si="68"/>
        <v>95250</v>
      </c>
      <c r="I326" s="200">
        <v>10000.0</v>
      </c>
      <c r="J326" s="244">
        <f t="shared" si="69"/>
        <v>127000</v>
      </c>
      <c r="K326" s="245">
        <f t="shared" si="70"/>
        <v>31750</v>
      </c>
      <c r="L326" s="251"/>
      <c r="M326" s="252"/>
    </row>
    <row r="327" ht="15.75" customHeight="1">
      <c r="A327" s="239">
        <v>9.0</v>
      </c>
      <c r="B327" s="276" t="s">
        <v>1643</v>
      </c>
      <c r="C327" s="278" t="s">
        <v>1676</v>
      </c>
      <c r="D327" s="277">
        <v>1.0</v>
      </c>
      <c r="E327" s="267" t="str">
        <f>'Daftar Harga'!D384</f>
        <v/>
      </c>
      <c r="F327" s="268" t="str">
        <f t="shared" ref="F327:F331" si="72">IF(E327&lt;&gt;"",D327*E327,"")</f>
        <v/>
      </c>
      <c r="G327" s="199">
        <v>180000.0</v>
      </c>
      <c r="H327" s="243">
        <f t="shared" si="68"/>
        <v>180000</v>
      </c>
      <c r="I327" s="200">
        <v>190000.0</v>
      </c>
      <c r="J327" s="244">
        <f t="shared" si="69"/>
        <v>190000</v>
      </c>
      <c r="K327" s="245">
        <f t="shared" si="70"/>
        <v>10000</v>
      </c>
      <c r="L327" s="251">
        <f t="shared" ref="L327:L341" si="73">IF(K327&lt;&gt;"",IF(H327&lt;&gt;"",IF(H327&lt;&gt;0,K327/H327,""),IF(F327&lt;&gt;"",IF(F327&lt;&gt;0,K327/F327,""),"")),"")</f>
        <v>0.05555555556</v>
      </c>
      <c r="M327" s="252"/>
    </row>
    <row r="328" ht="15.75" customHeight="1">
      <c r="A328" s="248">
        <v>10.0</v>
      </c>
      <c r="B328" s="275" t="s">
        <v>1808</v>
      </c>
      <c r="C328" s="278" t="s">
        <v>1676</v>
      </c>
      <c r="D328" s="254">
        <v>2.0</v>
      </c>
      <c r="E328" s="267" t="str">
        <f>'Daftar Harga'!D394</f>
        <v/>
      </c>
      <c r="F328" s="268" t="str">
        <f t="shared" si="72"/>
        <v/>
      </c>
      <c r="G328" s="199">
        <v>85000.0</v>
      </c>
      <c r="H328" s="243">
        <f t="shared" si="68"/>
        <v>170000</v>
      </c>
      <c r="I328" s="200">
        <v>95000.0</v>
      </c>
      <c r="J328" s="244">
        <f t="shared" si="69"/>
        <v>190000</v>
      </c>
      <c r="K328" s="245">
        <f t="shared" si="70"/>
        <v>20000</v>
      </c>
      <c r="L328" s="246">
        <f t="shared" si="73"/>
        <v>0.1176470588</v>
      </c>
      <c r="M328" s="247"/>
    </row>
    <row r="329" ht="15.75" customHeight="1">
      <c r="A329" s="239">
        <v>11.0</v>
      </c>
      <c r="B329" s="276" t="s">
        <v>2251</v>
      </c>
      <c r="C329" s="278" t="s">
        <v>261</v>
      </c>
      <c r="D329" s="277">
        <v>3.0</v>
      </c>
      <c r="E329" s="267" t="str">
        <f>'Daftar Harga'!D396</f>
        <v/>
      </c>
      <c r="F329" s="268" t="str">
        <f t="shared" si="72"/>
        <v/>
      </c>
      <c r="G329" s="199">
        <v>258000.0</v>
      </c>
      <c r="H329" s="243">
        <f t="shared" si="68"/>
        <v>774000</v>
      </c>
      <c r="I329" s="200">
        <v>270000.0</v>
      </c>
      <c r="J329" s="244">
        <f t="shared" si="69"/>
        <v>810000</v>
      </c>
      <c r="K329" s="245">
        <f t="shared" si="70"/>
        <v>36000</v>
      </c>
      <c r="L329" s="251">
        <f t="shared" si="73"/>
        <v>0.04651162791</v>
      </c>
      <c r="M329" s="252"/>
    </row>
    <row r="330" ht="15.75" customHeight="1">
      <c r="A330" s="248">
        <v>12.0</v>
      </c>
      <c r="B330" s="275" t="s">
        <v>1690</v>
      </c>
      <c r="C330" s="239" t="s">
        <v>109</v>
      </c>
      <c r="D330" s="254">
        <v>41.95</v>
      </c>
      <c r="E330" s="267" t="str">
        <f>'Daftar Harga'!D399</f>
        <v/>
      </c>
      <c r="F330" s="268" t="str">
        <f t="shared" si="72"/>
        <v/>
      </c>
      <c r="G330" s="199">
        <v>11000.0</v>
      </c>
      <c r="H330" s="243">
        <f t="shared" si="68"/>
        <v>461450</v>
      </c>
      <c r="I330" s="200">
        <v>10000.0</v>
      </c>
      <c r="J330" s="244">
        <f t="shared" si="69"/>
        <v>419500</v>
      </c>
      <c r="K330" s="245">
        <f t="shared" si="70"/>
        <v>-41950</v>
      </c>
      <c r="L330" s="246">
        <f t="shared" si="73"/>
        <v>-0.09090909091</v>
      </c>
      <c r="M330" s="247"/>
    </row>
    <row r="331" ht="15.75" customHeight="1">
      <c r="A331" s="239">
        <v>13.0</v>
      </c>
      <c r="B331" s="276" t="s">
        <v>1534</v>
      </c>
      <c r="C331" s="239" t="s">
        <v>109</v>
      </c>
      <c r="D331" s="277">
        <v>42.2</v>
      </c>
      <c r="E331" s="267" t="str">
        <f>'Daftar Harga'!D408</f>
        <v/>
      </c>
      <c r="F331" s="268" t="str">
        <f t="shared" si="72"/>
        <v/>
      </c>
      <c r="G331" s="199">
        <v>14000.0</v>
      </c>
      <c r="H331" s="243">
        <f t="shared" si="68"/>
        <v>590800</v>
      </c>
      <c r="I331" s="200">
        <v>14000.0</v>
      </c>
      <c r="J331" s="244">
        <f t="shared" si="69"/>
        <v>590800</v>
      </c>
      <c r="K331" s="245">
        <f t="shared" si="70"/>
        <v>0</v>
      </c>
      <c r="L331" s="251">
        <f t="shared" si="73"/>
        <v>0</v>
      </c>
      <c r="M331" s="252"/>
    </row>
    <row r="332" ht="15.75" customHeight="1">
      <c r="A332" s="248">
        <v>14.0</v>
      </c>
      <c r="B332" s="276" t="s">
        <v>1522</v>
      </c>
      <c r="C332" s="239" t="s">
        <v>109</v>
      </c>
      <c r="D332" s="277">
        <v>3.05</v>
      </c>
      <c r="E332" s="267"/>
      <c r="F332" s="268"/>
      <c r="G332" s="353">
        <v>28000.0</v>
      </c>
      <c r="H332" s="243">
        <f t="shared" si="68"/>
        <v>85400</v>
      </c>
      <c r="I332" s="354">
        <v>35000.0</v>
      </c>
      <c r="J332" s="244">
        <f t="shared" si="69"/>
        <v>106750</v>
      </c>
      <c r="K332" s="245">
        <f t="shared" si="70"/>
        <v>21350</v>
      </c>
      <c r="L332" s="251">
        <f t="shared" si="73"/>
        <v>0.25</v>
      </c>
      <c r="M332" s="252"/>
    </row>
    <row r="333" ht="15.75" customHeight="1">
      <c r="A333" s="239">
        <v>15.0</v>
      </c>
      <c r="B333" s="276" t="s">
        <v>1608</v>
      </c>
      <c r="C333" s="239" t="s">
        <v>109</v>
      </c>
      <c r="D333" s="277">
        <v>2.1</v>
      </c>
      <c r="E333" s="267"/>
      <c r="F333" s="268"/>
      <c r="G333" s="353">
        <v>12000.0</v>
      </c>
      <c r="H333" s="243">
        <f t="shared" si="68"/>
        <v>25200</v>
      </c>
      <c r="I333" s="354">
        <v>13000.0</v>
      </c>
      <c r="J333" s="244">
        <f t="shared" si="69"/>
        <v>27300</v>
      </c>
      <c r="K333" s="245">
        <f t="shared" si="70"/>
        <v>2100</v>
      </c>
      <c r="L333" s="251">
        <f t="shared" si="73"/>
        <v>0.08333333333</v>
      </c>
      <c r="M333" s="252"/>
    </row>
    <row r="334" ht="15.75" customHeight="1">
      <c r="A334" s="248">
        <v>16.0</v>
      </c>
      <c r="B334" s="276" t="s">
        <v>1818</v>
      </c>
      <c r="C334" s="239" t="s">
        <v>109</v>
      </c>
      <c r="D334" s="277">
        <v>5.0</v>
      </c>
      <c r="E334" s="267"/>
      <c r="F334" s="268"/>
      <c r="G334" s="353">
        <v>26000.0</v>
      </c>
      <c r="H334" s="243">
        <f t="shared" si="68"/>
        <v>130000</v>
      </c>
      <c r="I334" s="354">
        <v>26000.0</v>
      </c>
      <c r="J334" s="244">
        <f t="shared" si="69"/>
        <v>130000</v>
      </c>
      <c r="K334" s="245">
        <f t="shared" si="70"/>
        <v>0</v>
      </c>
      <c r="L334" s="251">
        <f t="shared" si="73"/>
        <v>0</v>
      </c>
      <c r="M334" s="252"/>
    </row>
    <row r="335" ht="15.75" customHeight="1">
      <c r="A335" s="239">
        <v>17.0</v>
      </c>
      <c r="B335" s="276" t="s">
        <v>2215</v>
      </c>
      <c r="C335" s="239" t="s">
        <v>109</v>
      </c>
      <c r="D335" s="277">
        <v>109.45</v>
      </c>
      <c r="E335" s="267"/>
      <c r="F335" s="268"/>
      <c r="G335" s="353">
        <v>65000.0</v>
      </c>
      <c r="H335" s="243">
        <f t="shared" si="68"/>
        <v>7114250</v>
      </c>
      <c r="I335" s="354">
        <v>74000.0</v>
      </c>
      <c r="J335" s="244">
        <f t="shared" si="69"/>
        <v>8099300</v>
      </c>
      <c r="K335" s="245">
        <f t="shared" si="70"/>
        <v>985050</v>
      </c>
      <c r="L335" s="251">
        <f t="shared" si="73"/>
        <v>0.1384615385</v>
      </c>
      <c r="M335" s="252"/>
    </row>
    <row r="336" ht="15.75" customHeight="1">
      <c r="A336" s="248">
        <v>18.0</v>
      </c>
      <c r="B336" s="276" t="s">
        <v>2237</v>
      </c>
      <c r="C336" s="278" t="s">
        <v>1557</v>
      </c>
      <c r="D336" s="277">
        <v>2.0</v>
      </c>
      <c r="E336" s="267"/>
      <c r="F336" s="268"/>
      <c r="G336" s="353">
        <v>17000.0</v>
      </c>
      <c r="H336" s="243">
        <f t="shared" si="68"/>
        <v>34000</v>
      </c>
      <c r="I336" s="354">
        <v>17000.0</v>
      </c>
      <c r="J336" s="244">
        <f t="shared" si="69"/>
        <v>34000</v>
      </c>
      <c r="K336" s="245">
        <f t="shared" si="70"/>
        <v>0</v>
      </c>
      <c r="L336" s="251">
        <f t="shared" si="73"/>
        <v>0</v>
      </c>
      <c r="M336" s="252"/>
    </row>
    <row r="337" ht="15.75" customHeight="1">
      <c r="A337" s="239">
        <v>19.0</v>
      </c>
      <c r="B337" s="276" t="s">
        <v>1538</v>
      </c>
      <c r="C337" s="239" t="s">
        <v>109</v>
      </c>
      <c r="D337" s="277">
        <v>70.0</v>
      </c>
      <c r="E337" s="267"/>
      <c r="F337" s="268"/>
      <c r="G337" s="353">
        <v>50000.0</v>
      </c>
      <c r="H337" s="243">
        <f t="shared" si="68"/>
        <v>3500000</v>
      </c>
      <c r="I337" s="354">
        <v>55000.0</v>
      </c>
      <c r="J337" s="244">
        <f t="shared" si="69"/>
        <v>3850000</v>
      </c>
      <c r="K337" s="245">
        <f t="shared" si="70"/>
        <v>350000</v>
      </c>
      <c r="L337" s="251">
        <f t="shared" si="73"/>
        <v>0.1</v>
      </c>
      <c r="M337" s="252"/>
    </row>
    <row r="338" ht="15.75" customHeight="1">
      <c r="A338" s="248">
        <v>20.0</v>
      </c>
      <c r="B338" s="276" t="s">
        <v>1833</v>
      </c>
      <c r="C338" s="239" t="s">
        <v>109</v>
      </c>
      <c r="D338" s="277">
        <v>24.0</v>
      </c>
      <c r="E338" s="267"/>
      <c r="F338" s="268"/>
      <c r="G338" s="353">
        <v>11250.0</v>
      </c>
      <c r="H338" s="243">
        <f t="shared" si="68"/>
        <v>270000</v>
      </c>
      <c r="I338" s="354">
        <v>12000.0</v>
      </c>
      <c r="J338" s="244">
        <f t="shared" si="69"/>
        <v>288000</v>
      </c>
      <c r="K338" s="245">
        <f t="shared" si="70"/>
        <v>18000</v>
      </c>
      <c r="L338" s="251">
        <f t="shared" si="73"/>
        <v>0.06666666667</v>
      </c>
      <c r="M338" s="252"/>
    </row>
    <row r="339" ht="15.75" customHeight="1">
      <c r="A339" s="239">
        <v>21.0</v>
      </c>
      <c r="B339" s="276" t="s">
        <v>2253</v>
      </c>
      <c r="C339" s="239" t="s">
        <v>109</v>
      </c>
      <c r="D339" s="277">
        <v>5.0</v>
      </c>
      <c r="E339" s="267"/>
      <c r="F339" s="268"/>
      <c r="G339" s="353">
        <v>36000.0</v>
      </c>
      <c r="H339" s="243">
        <f t="shared" si="68"/>
        <v>180000</v>
      </c>
      <c r="I339" s="354">
        <v>39000.0</v>
      </c>
      <c r="J339" s="244">
        <f t="shared" si="69"/>
        <v>195000</v>
      </c>
      <c r="K339" s="245">
        <f t="shared" si="70"/>
        <v>15000</v>
      </c>
      <c r="L339" s="251">
        <f t="shared" si="73"/>
        <v>0.08333333333</v>
      </c>
      <c r="M339" s="252"/>
    </row>
    <row r="340" ht="15.75" customHeight="1">
      <c r="A340" s="248">
        <v>22.0</v>
      </c>
      <c r="B340" s="276" t="s">
        <v>2254</v>
      </c>
      <c r="C340" s="239" t="s">
        <v>109</v>
      </c>
      <c r="D340" s="277">
        <v>2.0</v>
      </c>
      <c r="E340" s="267"/>
      <c r="F340" s="268"/>
      <c r="G340" s="353">
        <v>42000.0</v>
      </c>
      <c r="H340" s="263">
        <f t="shared" si="68"/>
        <v>84000</v>
      </c>
      <c r="I340" s="437">
        <v>42000.0</v>
      </c>
      <c r="J340" s="264">
        <f t="shared" si="69"/>
        <v>84000</v>
      </c>
      <c r="K340" s="245">
        <f t="shared" si="70"/>
        <v>0</v>
      </c>
      <c r="L340" s="251">
        <f t="shared" si="73"/>
        <v>0</v>
      </c>
      <c r="M340" s="252"/>
    </row>
    <row r="341" ht="15.75" customHeight="1">
      <c r="A341" s="355" t="s">
        <v>1708</v>
      </c>
      <c r="B341" s="356"/>
      <c r="C341" s="259"/>
      <c r="D341" s="356"/>
      <c r="E341" s="257"/>
      <c r="F341" s="258">
        <f>SUMIF(F319:F340,"&lt;&gt;",F319:F340)</f>
        <v>0</v>
      </c>
      <c r="G341" s="317"/>
      <c r="H341" s="282">
        <f>SUMIF(H319:H340,"&lt;&gt;",H319:H340)</f>
        <v>19630750</v>
      </c>
      <c r="I341" s="327"/>
      <c r="J341" s="282">
        <f>SUMIF(J319:J340,"&lt;&gt;",J319:J340)</f>
        <v>21661450</v>
      </c>
      <c r="K341" s="261">
        <f t="shared" si="70"/>
        <v>2030700</v>
      </c>
      <c r="L341" s="262">
        <f t="shared" si="73"/>
        <v>0.1034448506</v>
      </c>
      <c r="M341" s="257"/>
    </row>
    <row r="342" ht="15.75" customHeight="1"/>
    <row r="343" ht="15.75" customHeight="1">
      <c r="A343" s="273" t="s">
        <v>1963</v>
      </c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</row>
    <row r="344" ht="15.75" customHeight="1">
      <c r="A344" s="229" t="s">
        <v>1509</v>
      </c>
      <c r="B344" s="229" t="s">
        <v>1510</v>
      </c>
      <c r="C344" s="302" t="s">
        <v>1511</v>
      </c>
      <c r="D344" s="302" t="s">
        <v>1614</v>
      </c>
      <c r="E344" s="303" t="s">
        <v>1615</v>
      </c>
      <c r="F344" s="304"/>
      <c r="G344" s="305" t="s">
        <v>1616</v>
      </c>
      <c r="H344" s="304"/>
      <c r="I344" s="306" t="s">
        <v>1617</v>
      </c>
      <c r="J344" s="304"/>
      <c r="K344" s="307" t="s">
        <v>1618</v>
      </c>
      <c r="L344" s="304"/>
      <c r="M344" s="302" t="s">
        <v>1619</v>
      </c>
    </row>
    <row r="345" ht="15.75" customHeight="1">
      <c r="A345" s="234" t="s">
        <v>1509</v>
      </c>
      <c r="B345" s="234" t="s">
        <v>1510</v>
      </c>
      <c r="C345" s="234" t="s">
        <v>1511</v>
      </c>
      <c r="D345" s="234" t="s">
        <v>1614</v>
      </c>
      <c r="E345" s="235" t="s">
        <v>1620</v>
      </c>
      <c r="F345" s="235" t="s">
        <v>1621</v>
      </c>
      <c r="G345" s="236" t="s">
        <v>1622</v>
      </c>
      <c r="H345" s="236" t="s">
        <v>1623</v>
      </c>
      <c r="I345" s="237" t="s">
        <v>1624</v>
      </c>
      <c r="J345" s="237" t="s">
        <v>1625</v>
      </c>
      <c r="K345" s="238" t="s">
        <v>1626</v>
      </c>
      <c r="L345" s="238" t="s">
        <v>1627</v>
      </c>
      <c r="M345" s="234" t="s">
        <v>1619</v>
      </c>
    </row>
    <row r="346" ht="15.75" customHeight="1">
      <c r="A346" s="239">
        <v>1.0</v>
      </c>
      <c r="B346" s="240" t="s">
        <v>1527</v>
      </c>
      <c r="C346" s="239" t="s">
        <v>109</v>
      </c>
      <c r="D346" s="254">
        <v>125.0</v>
      </c>
      <c r="E346" s="267"/>
      <c r="F346" s="268" t="str">
        <f t="shared" ref="F346:F352" si="74">IF(E346&lt;&gt;"",D346*E346,"")</f>
        <v/>
      </c>
      <c r="G346" s="199">
        <v>14500.0</v>
      </c>
      <c r="H346" s="243">
        <f t="shared" ref="H346:H362" si="75">IF(G346&lt;&gt;"",D346*G346,"")</f>
        <v>1812500</v>
      </c>
      <c r="I346" s="200">
        <v>15700.0</v>
      </c>
      <c r="J346" s="244">
        <f t="shared" ref="J346:J362" si="76">IF(I346&lt;&gt;"",D346*I346,"")</f>
        <v>1962500</v>
      </c>
      <c r="K346" s="245">
        <f t="shared" ref="K346:K363" si="77">IF(J346&lt;&gt;"",IF(H346&lt;&gt;"",J346-H346,IF(F346&lt;&gt;"",J346-F346,"")),"")</f>
        <v>150000</v>
      </c>
      <c r="L346" s="246">
        <f t="shared" ref="L346:L352" si="78">IF(K346&lt;&gt;"",IF(H346&lt;&gt;"",IF(H346&lt;&gt;0,K346/H346,""),IF(F346&lt;&gt;"",IF(F346&lt;&gt;0,K346/F346,""),"")),"")</f>
        <v>0.08275862069</v>
      </c>
      <c r="M346" s="247"/>
    </row>
    <row r="347" ht="15.75" customHeight="1">
      <c r="A347" s="248">
        <v>2.0</v>
      </c>
      <c r="B347" s="276" t="s">
        <v>1838</v>
      </c>
      <c r="C347" s="239" t="s">
        <v>109</v>
      </c>
      <c r="D347" s="277">
        <v>100.0</v>
      </c>
      <c r="E347" s="267"/>
      <c r="F347" s="268" t="str">
        <f t="shared" si="74"/>
        <v/>
      </c>
      <c r="G347" s="199">
        <v>43000.0</v>
      </c>
      <c r="H347" s="243">
        <f t="shared" si="75"/>
        <v>4300000</v>
      </c>
      <c r="I347" s="200">
        <v>45000.0</v>
      </c>
      <c r="J347" s="244">
        <f t="shared" si="76"/>
        <v>4500000</v>
      </c>
      <c r="K347" s="245">
        <f t="shared" si="77"/>
        <v>200000</v>
      </c>
      <c r="L347" s="251">
        <f t="shared" si="78"/>
        <v>0.04651162791</v>
      </c>
      <c r="M347" s="252"/>
    </row>
    <row r="348" ht="15.75" customHeight="1">
      <c r="A348" s="239">
        <v>3.0</v>
      </c>
      <c r="B348" s="275" t="s">
        <v>1601</v>
      </c>
      <c r="C348" s="278" t="s">
        <v>67</v>
      </c>
      <c r="D348" s="254">
        <v>85.0</v>
      </c>
      <c r="E348" s="267"/>
      <c r="F348" s="268" t="str">
        <f t="shared" si="74"/>
        <v/>
      </c>
      <c r="G348" s="199">
        <v>12000.0</v>
      </c>
      <c r="H348" s="243">
        <f t="shared" si="75"/>
        <v>1020000</v>
      </c>
      <c r="I348" s="200">
        <v>13000.0</v>
      </c>
      <c r="J348" s="244">
        <f t="shared" si="76"/>
        <v>1105000</v>
      </c>
      <c r="K348" s="245">
        <f t="shared" si="77"/>
        <v>85000</v>
      </c>
      <c r="L348" s="246">
        <f t="shared" si="78"/>
        <v>0.08333333333</v>
      </c>
      <c r="M348" s="247"/>
    </row>
    <row r="349" ht="15.75" customHeight="1">
      <c r="A349" s="248">
        <v>4.0</v>
      </c>
      <c r="B349" s="276" t="s">
        <v>2255</v>
      </c>
      <c r="C349" s="239" t="s">
        <v>109</v>
      </c>
      <c r="D349" s="277">
        <v>19.9</v>
      </c>
      <c r="E349" s="267"/>
      <c r="F349" s="268" t="str">
        <f t="shared" si="74"/>
        <v/>
      </c>
      <c r="G349" s="199">
        <v>35000.0</v>
      </c>
      <c r="H349" s="243">
        <f t="shared" si="75"/>
        <v>696500</v>
      </c>
      <c r="I349" s="200">
        <v>35000.0</v>
      </c>
      <c r="J349" s="244">
        <f t="shared" si="76"/>
        <v>696500</v>
      </c>
      <c r="K349" s="245">
        <f t="shared" si="77"/>
        <v>0</v>
      </c>
      <c r="L349" s="251">
        <f t="shared" si="78"/>
        <v>0</v>
      </c>
      <c r="M349" s="252"/>
    </row>
    <row r="350" ht="15.75" customHeight="1">
      <c r="A350" s="239">
        <v>5.0</v>
      </c>
      <c r="B350" s="275" t="s">
        <v>1643</v>
      </c>
      <c r="C350" s="278" t="s">
        <v>1676</v>
      </c>
      <c r="D350" s="254">
        <v>2.0</v>
      </c>
      <c r="E350" s="267"/>
      <c r="F350" s="268" t="str">
        <f t="shared" si="74"/>
        <v/>
      </c>
      <c r="G350" s="199">
        <v>190000.0</v>
      </c>
      <c r="H350" s="243">
        <f t="shared" si="75"/>
        <v>380000</v>
      </c>
      <c r="I350" s="200">
        <v>190000.0</v>
      </c>
      <c r="J350" s="244">
        <f t="shared" si="76"/>
        <v>380000</v>
      </c>
      <c r="K350" s="245">
        <f t="shared" si="77"/>
        <v>0</v>
      </c>
      <c r="L350" s="246">
        <f t="shared" si="78"/>
        <v>0</v>
      </c>
      <c r="M350" s="247"/>
    </row>
    <row r="351" ht="15.75" customHeight="1">
      <c r="A351" s="248">
        <v>6.0</v>
      </c>
      <c r="B351" s="276" t="s">
        <v>1934</v>
      </c>
      <c r="C351" s="239" t="s">
        <v>109</v>
      </c>
      <c r="D351" s="277">
        <v>6.0</v>
      </c>
      <c r="E351" s="267"/>
      <c r="F351" s="268" t="str">
        <f t="shared" si="74"/>
        <v/>
      </c>
      <c r="G351" s="199">
        <v>32000.0</v>
      </c>
      <c r="H351" s="243">
        <f t="shared" si="75"/>
        <v>192000</v>
      </c>
      <c r="I351" s="200">
        <v>40000.0</v>
      </c>
      <c r="J351" s="244">
        <f t="shared" si="76"/>
        <v>240000</v>
      </c>
      <c r="K351" s="245">
        <f t="shared" si="77"/>
        <v>48000</v>
      </c>
      <c r="L351" s="251">
        <f t="shared" si="78"/>
        <v>0.25</v>
      </c>
      <c r="M351" s="252"/>
    </row>
    <row r="352" ht="15.75" customHeight="1">
      <c r="A352" s="239">
        <v>7.0</v>
      </c>
      <c r="B352" s="275" t="s">
        <v>1935</v>
      </c>
      <c r="C352" s="239" t="s">
        <v>109</v>
      </c>
      <c r="D352" s="254">
        <v>2.0</v>
      </c>
      <c r="E352" s="267"/>
      <c r="F352" s="268" t="str">
        <f t="shared" si="74"/>
        <v/>
      </c>
      <c r="G352" s="199">
        <v>40000.0</v>
      </c>
      <c r="H352" s="243">
        <f t="shared" si="75"/>
        <v>80000</v>
      </c>
      <c r="I352" s="200">
        <v>42000.0</v>
      </c>
      <c r="J352" s="244">
        <f t="shared" si="76"/>
        <v>84000</v>
      </c>
      <c r="K352" s="245">
        <f t="shared" si="77"/>
        <v>4000</v>
      </c>
      <c r="L352" s="246">
        <f t="shared" si="78"/>
        <v>0.05</v>
      </c>
      <c r="M352" s="247"/>
    </row>
    <row r="353" ht="15.75" customHeight="1">
      <c r="A353" s="248">
        <v>8.0</v>
      </c>
      <c r="B353" s="276" t="s">
        <v>1565</v>
      </c>
      <c r="C353" s="239" t="s">
        <v>109</v>
      </c>
      <c r="D353" s="277">
        <v>0.25</v>
      </c>
      <c r="E353" s="267"/>
      <c r="F353" s="268"/>
      <c r="G353" s="199">
        <v>24000.0</v>
      </c>
      <c r="H353" s="243">
        <f t="shared" si="75"/>
        <v>6000</v>
      </c>
      <c r="I353" s="200">
        <v>26000.0</v>
      </c>
      <c r="J353" s="244">
        <f t="shared" si="76"/>
        <v>6500</v>
      </c>
      <c r="K353" s="245">
        <f t="shared" si="77"/>
        <v>500</v>
      </c>
      <c r="L353" s="251"/>
      <c r="M353" s="252"/>
    </row>
    <row r="354" ht="15.75" customHeight="1">
      <c r="A354" s="239">
        <v>9.0</v>
      </c>
      <c r="B354" s="276" t="s">
        <v>1808</v>
      </c>
      <c r="C354" s="278" t="s">
        <v>1676</v>
      </c>
      <c r="D354" s="277">
        <v>1.0</v>
      </c>
      <c r="E354" s="267" t="str">
        <f>'Daftar Harga'!D411</f>
        <v/>
      </c>
      <c r="F354" s="268" t="str">
        <f t="shared" ref="F354:F358" si="79">IF(E354&lt;&gt;"",D354*E354,"")</f>
        <v/>
      </c>
      <c r="G354" s="199">
        <v>95000.0</v>
      </c>
      <c r="H354" s="243">
        <f t="shared" si="75"/>
        <v>95000</v>
      </c>
      <c r="I354" s="200">
        <v>95000.0</v>
      </c>
      <c r="J354" s="244">
        <f t="shared" si="76"/>
        <v>95000</v>
      </c>
      <c r="K354" s="245">
        <f t="shared" si="77"/>
        <v>0</v>
      </c>
      <c r="L354" s="251">
        <f t="shared" ref="L354:L363" si="80">IF(K354&lt;&gt;"",IF(H354&lt;&gt;"",IF(H354&lt;&gt;0,K354/H354,""),IF(F354&lt;&gt;"",IF(F354&lt;&gt;0,K354/F354,""),"")),"")</f>
        <v>0</v>
      </c>
      <c r="M354" s="252"/>
    </row>
    <row r="355" ht="15.75" customHeight="1">
      <c r="A355" s="248">
        <v>10.0</v>
      </c>
      <c r="B355" s="275" t="s">
        <v>2256</v>
      </c>
      <c r="C355" s="278" t="s">
        <v>1557</v>
      </c>
      <c r="D355" s="254">
        <v>2.0</v>
      </c>
      <c r="E355" s="267" t="str">
        <f>'Daftar Harga'!D421</f>
        <v/>
      </c>
      <c r="F355" s="268" t="str">
        <f t="shared" si="79"/>
        <v/>
      </c>
      <c r="G355" s="199">
        <v>6000.0</v>
      </c>
      <c r="H355" s="243">
        <f t="shared" si="75"/>
        <v>12000</v>
      </c>
      <c r="I355" s="200">
        <v>6000.0</v>
      </c>
      <c r="J355" s="244">
        <f t="shared" si="76"/>
        <v>12000</v>
      </c>
      <c r="K355" s="245">
        <f t="shared" si="77"/>
        <v>0</v>
      </c>
      <c r="L355" s="246">
        <f t="shared" si="80"/>
        <v>0</v>
      </c>
      <c r="M355" s="247"/>
    </row>
    <row r="356" ht="15.75" customHeight="1">
      <c r="A356" s="239">
        <v>11.0</v>
      </c>
      <c r="B356" s="276" t="s">
        <v>1655</v>
      </c>
      <c r="C356" s="239" t="s">
        <v>109</v>
      </c>
      <c r="D356" s="277">
        <v>4.85</v>
      </c>
      <c r="E356" s="267" t="str">
        <f>'Daftar Harga'!D423</f>
        <v/>
      </c>
      <c r="F356" s="268" t="str">
        <f t="shared" si="79"/>
        <v/>
      </c>
      <c r="G356" s="199">
        <v>18500.0</v>
      </c>
      <c r="H356" s="243">
        <f t="shared" si="75"/>
        <v>89725</v>
      </c>
      <c r="I356" s="200">
        <v>19000.0</v>
      </c>
      <c r="J356" s="244">
        <f t="shared" si="76"/>
        <v>92150</v>
      </c>
      <c r="K356" s="245">
        <f t="shared" si="77"/>
        <v>2425</v>
      </c>
      <c r="L356" s="251">
        <f t="shared" si="80"/>
        <v>0.02702702703</v>
      </c>
      <c r="M356" s="252"/>
    </row>
    <row r="357" ht="15.75" customHeight="1">
      <c r="A357" s="248">
        <v>12.0</v>
      </c>
      <c r="B357" s="275" t="s">
        <v>1543</v>
      </c>
      <c r="C357" s="239" t="s">
        <v>109</v>
      </c>
      <c r="D357" s="254">
        <v>5.15</v>
      </c>
      <c r="E357" s="267" t="str">
        <f>'Daftar Harga'!D426</f>
        <v/>
      </c>
      <c r="F357" s="268" t="str">
        <f t="shared" si="79"/>
        <v/>
      </c>
      <c r="G357" s="199">
        <v>8000.0</v>
      </c>
      <c r="H357" s="243">
        <f t="shared" si="75"/>
        <v>41200</v>
      </c>
      <c r="I357" s="200">
        <v>10000.0</v>
      </c>
      <c r="J357" s="244">
        <f t="shared" si="76"/>
        <v>51500</v>
      </c>
      <c r="K357" s="245">
        <f t="shared" si="77"/>
        <v>10300</v>
      </c>
      <c r="L357" s="246">
        <f t="shared" si="80"/>
        <v>0.25</v>
      </c>
      <c r="M357" s="247"/>
    </row>
    <row r="358" ht="15.75" customHeight="1">
      <c r="A358" s="239">
        <v>13.0</v>
      </c>
      <c r="B358" s="276" t="s">
        <v>2205</v>
      </c>
      <c r="C358" s="239" t="s">
        <v>109</v>
      </c>
      <c r="D358" s="277">
        <v>2.0</v>
      </c>
      <c r="E358" s="267" t="str">
        <f>'Daftar Harga'!D435</f>
        <v/>
      </c>
      <c r="F358" s="268" t="str">
        <f t="shared" si="79"/>
        <v/>
      </c>
      <c r="G358" s="199">
        <v>95000.0</v>
      </c>
      <c r="H358" s="243">
        <f t="shared" si="75"/>
        <v>190000</v>
      </c>
      <c r="I358" s="200">
        <v>95000.0</v>
      </c>
      <c r="J358" s="244">
        <f t="shared" si="76"/>
        <v>190000</v>
      </c>
      <c r="K358" s="245">
        <f t="shared" si="77"/>
        <v>0</v>
      </c>
      <c r="L358" s="251">
        <f t="shared" si="80"/>
        <v>0</v>
      </c>
      <c r="M358" s="252"/>
    </row>
    <row r="359" ht="15.75" customHeight="1">
      <c r="A359" s="248">
        <v>14.0</v>
      </c>
      <c r="B359" s="276" t="s">
        <v>1609</v>
      </c>
      <c r="C359" s="239" t="s">
        <v>109</v>
      </c>
      <c r="D359" s="277">
        <v>30.1</v>
      </c>
      <c r="E359" s="267"/>
      <c r="F359" s="268"/>
      <c r="G359" s="353">
        <v>15000.0</v>
      </c>
      <c r="H359" s="243">
        <f t="shared" si="75"/>
        <v>451500</v>
      </c>
      <c r="I359" s="200">
        <v>16000.0</v>
      </c>
      <c r="J359" s="244">
        <f t="shared" si="76"/>
        <v>481600</v>
      </c>
      <c r="K359" s="245">
        <f t="shared" si="77"/>
        <v>30100</v>
      </c>
      <c r="L359" s="251">
        <f t="shared" si="80"/>
        <v>0.06666666667</v>
      </c>
      <c r="M359" s="252"/>
    </row>
    <row r="360" ht="15.75" customHeight="1">
      <c r="A360" s="239">
        <v>15.0</v>
      </c>
      <c r="B360" s="276" t="s">
        <v>1607</v>
      </c>
      <c r="C360" s="239" t="s">
        <v>109</v>
      </c>
      <c r="D360" s="277">
        <v>31.1</v>
      </c>
      <c r="E360" s="267"/>
      <c r="F360" s="268"/>
      <c r="G360" s="353">
        <v>8000.0</v>
      </c>
      <c r="H360" s="243">
        <f t="shared" si="75"/>
        <v>248800</v>
      </c>
      <c r="I360" s="354">
        <v>11000.0</v>
      </c>
      <c r="J360" s="244">
        <f t="shared" si="76"/>
        <v>342100</v>
      </c>
      <c r="K360" s="245">
        <f t="shared" si="77"/>
        <v>93300</v>
      </c>
      <c r="L360" s="251">
        <f t="shared" si="80"/>
        <v>0.375</v>
      </c>
      <c r="M360" s="252"/>
    </row>
    <row r="361" ht="15.75" customHeight="1">
      <c r="A361" s="248">
        <v>16.0</v>
      </c>
      <c r="B361" s="276" t="s">
        <v>1680</v>
      </c>
      <c r="C361" s="239" t="s">
        <v>109</v>
      </c>
      <c r="D361" s="277">
        <v>1.0</v>
      </c>
      <c r="E361" s="267"/>
      <c r="F361" s="268"/>
      <c r="G361" s="353">
        <v>17000.0</v>
      </c>
      <c r="H361" s="243">
        <f t="shared" si="75"/>
        <v>17000</v>
      </c>
      <c r="I361" s="354">
        <v>20000.0</v>
      </c>
      <c r="J361" s="244">
        <f t="shared" si="76"/>
        <v>20000</v>
      </c>
      <c r="K361" s="245">
        <f t="shared" si="77"/>
        <v>3000</v>
      </c>
      <c r="L361" s="251">
        <f t="shared" si="80"/>
        <v>0.1764705882</v>
      </c>
      <c r="M361" s="252"/>
    </row>
    <row r="362" ht="15.75" customHeight="1">
      <c r="A362" s="239">
        <v>17.0</v>
      </c>
      <c r="B362" s="276" t="s">
        <v>2257</v>
      </c>
      <c r="C362" s="278" t="s">
        <v>261</v>
      </c>
      <c r="D362" s="277">
        <v>2.0</v>
      </c>
      <c r="E362" s="267"/>
      <c r="F362" s="268"/>
      <c r="G362" s="353">
        <v>261000.0</v>
      </c>
      <c r="H362" s="243">
        <f t="shared" si="75"/>
        <v>522000</v>
      </c>
      <c r="I362" s="354">
        <v>265000.0</v>
      </c>
      <c r="J362" s="244">
        <f t="shared" si="76"/>
        <v>530000</v>
      </c>
      <c r="K362" s="245">
        <f t="shared" si="77"/>
        <v>8000</v>
      </c>
      <c r="L362" s="251">
        <f t="shared" si="80"/>
        <v>0.0153256705</v>
      </c>
      <c r="M362" s="252"/>
    </row>
    <row r="363" ht="15.75" customHeight="1">
      <c r="A363" s="355" t="s">
        <v>1715</v>
      </c>
      <c r="B363" s="356"/>
      <c r="C363" s="259"/>
      <c r="D363" s="356"/>
      <c r="E363" s="257"/>
      <c r="F363" s="258">
        <f>SUMIF(F346:F362,"&lt;&gt;",F346:F362)</f>
        <v>0</v>
      </c>
      <c r="G363" s="317"/>
      <c r="H363" s="282">
        <f>SUMIF(H346:H362,"&lt;&gt;",H346:H362)</f>
        <v>10154225</v>
      </c>
      <c r="I363" s="327"/>
      <c r="J363" s="282">
        <f>SUMIF(J346:J362,"&lt;&gt;",J346:J362)</f>
        <v>10788850</v>
      </c>
      <c r="K363" s="261">
        <f t="shared" si="77"/>
        <v>634625</v>
      </c>
      <c r="L363" s="262">
        <f t="shared" si="80"/>
        <v>0.06249861511</v>
      </c>
      <c r="M363" s="257"/>
    </row>
    <row r="364" ht="15.75" customHeight="1"/>
    <row r="365" ht="15.75" customHeight="1">
      <c r="A365" s="273" t="s">
        <v>1965</v>
      </c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</row>
    <row r="366" ht="15.75" customHeight="1">
      <c r="A366" s="229" t="s">
        <v>1509</v>
      </c>
      <c r="B366" s="229" t="s">
        <v>1510</v>
      </c>
      <c r="C366" s="302" t="s">
        <v>1511</v>
      </c>
      <c r="D366" s="302" t="s">
        <v>1614</v>
      </c>
      <c r="E366" s="303" t="s">
        <v>1615</v>
      </c>
      <c r="F366" s="304"/>
      <c r="G366" s="305" t="s">
        <v>1616</v>
      </c>
      <c r="H366" s="304"/>
      <c r="I366" s="306" t="s">
        <v>1617</v>
      </c>
      <c r="J366" s="304"/>
      <c r="K366" s="307" t="s">
        <v>1618</v>
      </c>
      <c r="L366" s="304"/>
      <c r="M366" s="302" t="s">
        <v>1619</v>
      </c>
    </row>
    <row r="367" ht="15.75" customHeight="1">
      <c r="A367" s="234" t="s">
        <v>1509</v>
      </c>
      <c r="B367" s="234" t="s">
        <v>1510</v>
      </c>
      <c r="C367" s="234" t="s">
        <v>1511</v>
      </c>
      <c r="D367" s="234" t="s">
        <v>1614</v>
      </c>
      <c r="E367" s="235" t="s">
        <v>1620</v>
      </c>
      <c r="F367" s="235" t="s">
        <v>1621</v>
      </c>
      <c r="G367" s="236" t="s">
        <v>1622</v>
      </c>
      <c r="H367" s="236" t="s">
        <v>1623</v>
      </c>
      <c r="I367" s="237" t="s">
        <v>1624</v>
      </c>
      <c r="J367" s="237" t="s">
        <v>1625</v>
      </c>
      <c r="K367" s="238" t="s">
        <v>1626</v>
      </c>
      <c r="L367" s="238" t="s">
        <v>1627</v>
      </c>
      <c r="M367" s="234" t="s">
        <v>1619</v>
      </c>
    </row>
    <row r="368" ht="15.75" customHeight="1">
      <c r="A368" s="239">
        <v>1.0</v>
      </c>
      <c r="B368" s="275" t="s">
        <v>1527</v>
      </c>
      <c r="C368" s="239" t="s">
        <v>109</v>
      </c>
      <c r="D368" s="254">
        <v>75.0</v>
      </c>
      <c r="E368" s="267"/>
      <c r="F368" s="268" t="str">
        <f t="shared" ref="F368:F374" si="81">IF(E368&lt;&gt;"",D368*E368,"")</f>
        <v/>
      </c>
      <c r="G368" s="199">
        <v>14500.0</v>
      </c>
      <c r="H368" s="243">
        <f t="shared" ref="H368:H387" si="82">IF(G368&lt;&gt;"",D368*G368,"")</f>
        <v>1087500</v>
      </c>
      <c r="I368" s="200">
        <v>15700.0</v>
      </c>
      <c r="J368" s="244">
        <f t="shared" ref="J368:J387" si="83">IF(I368&lt;&gt;"",D368*I368,"")</f>
        <v>1177500</v>
      </c>
      <c r="K368" s="245">
        <f t="shared" ref="K368:K388" si="84">IF(J368&lt;&gt;"",IF(H368&lt;&gt;"",J368-H368,IF(F368&lt;&gt;"",J368-F368,"")),"")</f>
        <v>90000</v>
      </c>
      <c r="L368" s="246">
        <f t="shared" ref="L368:L374" si="85">IF(K368&lt;&gt;"",IF(H368&lt;&gt;"",IF(H368&lt;&gt;0,K368/H368,""),IF(F368&lt;&gt;"",IF(F368&lt;&gt;0,K368/F368,""),"")),"")</f>
        <v>0.08275862069</v>
      </c>
      <c r="M368" s="247"/>
    </row>
    <row r="369" ht="15.75" customHeight="1">
      <c r="A369" s="248">
        <v>2.0</v>
      </c>
      <c r="B369" s="276" t="s">
        <v>1600</v>
      </c>
      <c r="C369" s="239" t="s">
        <v>109</v>
      </c>
      <c r="D369" s="277">
        <v>105.0</v>
      </c>
      <c r="E369" s="267"/>
      <c r="F369" s="268" t="str">
        <f t="shared" si="81"/>
        <v/>
      </c>
      <c r="G369" s="199">
        <v>14500.0</v>
      </c>
      <c r="H369" s="243">
        <f t="shared" si="82"/>
        <v>1522500</v>
      </c>
      <c r="I369" s="200">
        <v>27000.0</v>
      </c>
      <c r="J369" s="244">
        <f t="shared" si="83"/>
        <v>2835000</v>
      </c>
      <c r="K369" s="245">
        <f t="shared" si="84"/>
        <v>1312500</v>
      </c>
      <c r="L369" s="251">
        <f t="shared" si="85"/>
        <v>0.8620689655</v>
      </c>
      <c r="M369" s="252"/>
    </row>
    <row r="370" ht="15.75" customHeight="1">
      <c r="A370" s="239">
        <v>3.0</v>
      </c>
      <c r="B370" s="275" t="s">
        <v>1534</v>
      </c>
      <c r="C370" s="239" t="s">
        <v>109</v>
      </c>
      <c r="D370" s="254">
        <v>86.9</v>
      </c>
      <c r="E370" s="267"/>
      <c r="F370" s="268" t="str">
        <f t="shared" si="81"/>
        <v/>
      </c>
      <c r="G370" s="199">
        <v>10000.0</v>
      </c>
      <c r="H370" s="243">
        <f t="shared" si="82"/>
        <v>869000</v>
      </c>
      <c r="I370" s="200">
        <v>13000.0</v>
      </c>
      <c r="J370" s="244">
        <f t="shared" si="83"/>
        <v>1129700</v>
      </c>
      <c r="K370" s="245">
        <f t="shared" si="84"/>
        <v>260700</v>
      </c>
      <c r="L370" s="246">
        <f t="shared" si="85"/>
        <v>0.3</v>
      </c>
      <c r="M370" s="247"/>
    </row>
    <row r="371" ht="15.75" customHeight="1">
      <c r="A371" s="248">
        <v>4.0</v>
      </c>
      <c r="B371" s="276" t="s">
        <v>1112</v>
      </c>
      <c r="C371" s="239" t="s">
        <v>109</v>
      </c>
      <c r="D371" s="277">
        <v>158.95</v>
      </c>
      <c r="E371" s="267"/>
      <c r="F371" s="268" t="str">
        <f t="shared" si="81"/>
        <v/>
      </c>
      <c r="G371" s="199">
        <v>15500.0</v>
      </c>
      <c r="H371" s="243">
        <f t="shared" si="82"/>
        <v>2463725</v>
      </c>
      <c r="I371" s="200">
        <v>17500.0</v>
      </c>
      <c r="J371" s="244">
        <f t="shared" si="83"/>
        <v>2781625</v>
      </c>
      <c r="K371" s="245">
        <f t="shared" si="84"/>
        <v>317900</v>
      </c>
      <c r="L371" s="251">
        <f t="shared" si="85"/>
        <v>0.1290322581</v>
      </c>
      <c r="M371" s="252"/>
    </row>
    <row r="372" ht="15.75" customHeight="1">
      <c r="A372" s="239">
        <v>5.0</v>
      </c>
      <c r="B372" s="275" t="s">
        <v>1934</v>
      </c>
      <c r="C372" s="239" t="s">
        <v>109</v>
      </c>
      <c r="D372" s="254">
        <v>2.05</v>
      </c>
      <c r="E372" s="267"/>
      <c r="F372" s="268" t="str">
        <f t="shared" si="81"/>
        <v/>
      </c>
      <c r="G372" s="199">
        <v>32000.0</v>
      </c>
      <c r="H372" s="243">
        <f t="shared" si="82"/>
        <v>65600</v>
      </c>
      <c r="I372" s="200">
        <v>45000.0</v>
      </c>
      <c r="J372" s="244">
        <f t="shared" si="83"/>
        <v>92250</v>
      </c>
      <c r="K372" s="245">
        <f t="shared" si="84"/>
        <v>26650</v>
      </c>
      <c r="L372" s="246">
        <f t="shared" si="85"/>
        <v>0.40625</v>
      </c>
      <c r="M372" s="247"/>
    </row>
    <row r="373" ht="15.75" customHeight="1">
      <c r="A373" s="248">
        <v>6.0</v>
      </c>
      <c r="B373" s="276" t="s">
        <v>1935</v>
      </c>
      <c r="C373" s="239" t="s">
        <v>109</v>
      </c>
      <c r="D373" s="277">
        <v>3.0</v>
      </c>
      <c r="E373" s="267"/>
      <c r="F373" s="268" t="str">
        <f t="shared" si="81"/>
        <v/>
      </c>
      <c r="G373" s="199">
        <v>35000.0</v>
      </c>
      <c r="H373" s="243">
        <f t="shared" si="82"/>
        <v>105000</v>
      </c>
      <c r="I373" s="200">
        <v>40000.0</v>
      </c>
      <c r="J373" s="244">
        <f t="shared" si="83"/>
        <v>120000</v>
      </c>
      <c r="K373" s="245">
        <f t="shared" si="84"/>
        <v>15000</v>
      </c>
      <c r="L373" s="251">
        <f t="shared" si="85"/>
        <v>0.1428571429</v>
      </c>
      <c r="M373" s="252"/>
    </row>
    <row r="374" ht="15.75" customHeight="1">
      <c r="A374" s="239">
        <v>7.0</v>
      </c>
      <c r="B374" s="275" t="s">
        <v>1522</v>
      </c>
      <c r="C374" s="239" t="s">
        <v>109</v>
      </c>
      <c r="D374" s="254">
        <v>2.05</v>
      </c>
      <c r="E374" s="267"/>
      <c r="F374" s="268" t="str">
        <f t="shared" si="81"/>
        <v/>
      </c>
      <c r="G374" s="199">
        <v>28000.0</v>
      </c>
      <c r="H374" s="243">
        <f t="shared" si="82"/>
        <v>57400</v>
      </c>
      <c r="I374" s="200">
        <v>35000.0</v>
      </c>
      <c r="J374" s="244">
        <f t="shared" si="83"/>
        <v>71750</v>
      </c>
      <c r="K374" s="245">
        <f t="shared" si="84"/>
        <v>14350</v>
      </c>
      <c r="L374" s="246">
        <f t="shared" si="85"/>
        <v>0.25</v>
      </c>
      <c r="M374" s="247"/>
    </row>
    <row r="375" ht="15.75" customHeight="1">
      <c r="A375" s="248">
        <v>8.0</v>
      </c>
      <c r="B375" s="276" t="s">
        <v>1643</v>
      </c>
      <c r="C375" s="278" t="s">
        <v>1676</v>
      </c>
      <c r="D375" s="277">
        <v>1.0</v>
      </c>
      <c r="E375" s="267"/>
      <c r="F375" s="268"/>
      <c r="G375" s="199">
        <v>190000.0</v>
      </c>
      <c r="H375" s="243">
        <f t="shared" si="82"/>
        <v>190000</v>
      </c>
      <c r="I375" s="200">
        <v>190000.0</v>
      </c>
      <c r="J375" s="244">
        <f t="shared" si="83"/>
        <v>190000</v>
      </c>
      <c r="K375" s="245">
        <f t="shared" si="84"/>
        <v>0</v>
      </c>
      <c r="L375" s="251"/>
      <c r="M375" s="252"/>
    </row>
    <row r="376" ht="15.75" customHeight="1">
      <c r="A376" s="239">
        <v>9.0</v>
      </c>
      <c r="B376" s="276" t="s">
        <v>1696</v>
      </c>
      <c r="C376" s="239" t="s">
        <v>109</v>
      </c>
      <c r="D376" s="277">
        <v>1.05</v>
      </c>
      <c r="E376" s="267" t="str">
        <f>'Daftar Harga'!D433</f>
        <v/>
      </c>
      <c r="F376" s="268" t="str">
        <f t="shared" ref="F376:F380" si="86">IF(E376&lt;&gt;"",D376*E376,"")</f>
        <v/>
      </c>
      <c r="G376" s="199">
        <v>35000.0</v>
      </c>
      <c r="H376" s="243">
        <f t="shared" si="82"/>
        <v>36750</v>
      </c>
      <c r="I376" s="200">
        <v>36000.0</v>
      </c>
      <c r="J376" s="244">
        <f t="shared" si="83"/>
        <v>37800</v>
      </c>
      <c r="K376" s="245">
        <f t="shared" si="84"/>
        <v>1050</v>
      </c>
      <c r="L376" s="251">
        <f t="shared" ref="L376:L388" si="87">IF(K376&lt;&gt;"",IF(H376&lt;&gt;"",IF(H376&lt;&gt;0,K376/H376,""),IF(F376&lt;&gt;"",IF(F376&lt;&gt;0,K376/F376,""),"")),"")</f>
        <v>0.02857142857</v>
      </c>
      <c r="M376" s="252"/>
    </row>
    <row r="377" ht="15.75" customHeight="1">
      <c r="A377" s="248">
        <v>10.0</v>
      </c>
      <c r="B377" s="275" t="s">
        <v>2121</v>
      </c>
      <c r="C377" s="278" t="s">
        <v>1557</v>
      </c>
      <c r="D377" s="254">
        <v>2.05</v>
      </c>
      <c r="E377" s="267" t="str">
        <f>'Daftar Harga'!D443</f>
        <v/>
      </c>
      <c r="F377" s="268" t="str">
        <f t="shared" si="86"/>
        <v/>
      </c>
      <c r="G377" s="199">
        <v>70000.0</v>
      </c>
      <c r="H377" s="243">
        <f t="shared" si="82"/>
        <v>143500</v>
      </c>
      <c r="I377" s="200">
        <v>70000.0</v>
      </c>
      <c r="J377" s="244">
        <f t="shared" si="83"/>
        <v>143500</v>
      </c>
      <c r="K377" s="245">
        <f t="shared" si="84"/>
        <v>0</v>
      </c>
      <c r="L377" s="246">
        <f t="shared" si="87"/>
        <v>0</v>
      </c>
      <c r="M377" s="247"/>
    </row>
    <row r="378" ht="15.75" customHeight="1">
      <c r="A378" s="239">
        <v>11.0</v>
      </c>
      <c r="B378" s="276" t="s">
        <v>1650</v>
      </c>
      <c r="C378" s="239" t="s">
        <v>109</v>
      </c>
      <c r="D378" s="277">
        <v>1.0</v>
      </c>
      <c r="E378" s="267" t="str">
        <f>'Daftar Harga'!D445</f>
        <v/>
      </c>
      <c r="F378" s="268" t="str">
        <f t="shared" si="86"/>
        <v/>
      </c>
      <c r="G378" s="199">
        <v>160000.0</v>
      </c>
      <c r="H378" s="243">
        <f t="shared" si="82"/>
        <v>160000</v>
      </c>
      <c r="I378" s="200">
        <v>160000.0</v>
      </c>
      <c r="J378" s="244">
        <f t="shared" si="83"/>
        <v>160000</v>
      </c>
      <c r="K378" s="245">
        <f t="shared" si="84"/>
        <v>0</v>
      </c>
      <c r="L378" s="251">
        <f t="shared" si="87"/>
        <v>0</v>
      </c>
      <c r="M378" s="252"/>
    </row>
    <row r="379" ht="15.75" customHeight="1">
      <c r="A379" s="248">
        <v>12.0</v>
      </c>
      <c r="B379" s="275" t="s">
        <v>1657</v>
      </c>
      <c r="C379" s="278" t="s">
        <v>1557</v>
      </c>
      <c r="D379" s="254">
        <v>1.0</v>
      </c>
      <c r="E379" s="267" t="str">
        <f>'Daftar Harga'!D448</f>
        <v/>
      </c>
      <c r="F379" s="268" t="str">
        <f t="shared" si="86"/>
        <v/>
      </c>
      <c r="G379" s="199">
        <v>47000.0</v>
      </c>
      <c r="H379" s="243">
        <f t="shared" si="82"/>
        <v>47000</v>
      </c>
      <c r="I379" s="200">
        <v>47000.0</v>
      </c>
      <c r="J379" s="244">
        <f t="shared" si="83"/>
        <v>47000</v>
      </c>
      <c r="K379" s="245">
        <f t="shared" si="84"/>
        <v>0</v>
      </c>
      <c r="L379" s="246">
        <f t="shared" si="87"/>
        <v>0</v>
      </c>
      <c r="M379" s="247"/>
    </row>
    <row r="380" ht="15.75" customHeight="1">
      <c r="A380" s="239">
        <v>13.0</v>
      </c>
      <c r="B380" s="276" t="s">
        <v>2214</v>
      </c>
      <c r="C380" s="278" t="s">
        <v>261</v>
      </c>
      <c r="D380" s="277">
        <v>4.0</v>
      </c>
      <c r="E380" s="267" t="str">
        <f>'Daftar Harga'!D457</f>
        <v/>
      </c>
      <c r="F380" s="268" t="str">
        <f t="shared" si="86"/>
        <v/>
      </c>
      <c r="G380" s="199">
        <v>258000.0</v>
      </c>
      <c r="H380" s="243">
        <f t="shared" si="82"/>
        <v>1032000</v>
      </c>
      <c r="I380" s="200">
        <v>270000.0</v>
      </c>
      <c r="J380" s="244">
        <f t="shared" si="83"/>
        <v>1080000</v>
      </c>
      <c r="K380" s="245">
        <f t="shared" si="84"/>
        <v>48000</v>
      </c>
      <c r="L380" s="251">
        <f t="shared" si="87"/>
        <v>0.04651162791</v>
      </c>
      <c r="M380" s="252"/>
    </row>
    <row r="381" ht="15.75" customHeight="1">
      <c r="A381" s="248">
        <v>14.0</v>
      </c>
      <c r="B381" s="276" t="s">
        <v>1594</v>
      </c>
      <c r="C381" s="239" t="s">
        <v>109</v>
      </c>
      <c r="D381" s="277">
        <v>7.15</v>
      </c>
      <c r="E381" s="267"/>
      <c r="F381" s="268"/>
      <c r="G381" s="353">
        <v>30000.0</v>
      </c>
      <c r="H381" s="243">
        <f t="shared" si="82"/>
        <v>214500</v>
      </c>
      <c r="I381" s="200">
        <v>34000.0</v>
      </c>
      <c r="J381" s="244">
        <f t="shared" si="83"/>
        <v>243100</v>
      </c>
      <c r="K381" s="245">
        <f t="shared" si="84"/>
        <v>28600</v>
      </c>
      <c r="L381" s="251">
        <f t="shared" si="87"/>
        <v>0.1333333333</v>
      </c>
      <c r="M381" s="252"/>
    </row>
    <row r="382" ht="15.75" customHeight="1">
      <c r="A382" s="239">
        <v>15.0</v>
      </c>
      <c r="B382" s="276" t="s">
        <v>1563</v>
      </c>
      <c r="C382" s="239" t="s">
        <v>109</v>
      </c>
      <c r="D382" s="277">
        <v>1.0</v>
      </c>
      <c r="E382" s="267"/>
      <c r="F382" s="268"/>
      <c r="G382" s="353">
        <v>46000.0</v>
      </c>
      <c r="H382" s="243">
        <f t="shared" si="82"/>
        <v>46000</v>
      </c>
      <c r="I382" s="354">
        <v>47000.0</v>
      </c>
      <c r="J382" s="244">
        <f t="shared" si="83"/>
        <v>47000</v>
      </c>
      <c r="K382" s="245">
        <f t="shared" si="84"/>
        <v>1000</v>
      </c>
      <c r="L382" s="251">
        <f t="shared" si="87"/>
        <v>0.02173913043</v>
      </c>
      <c r="M382" s="252"/>
    </row>
    <row r="383" ht="15.75" customHeight="1">
      <c r="A383" s="248">
        <v>16.0</v>
      </c>
      <c r="B383" s="276" t="s">
        <v>1808</v>
      </c>
      <c r="C383" s="278" t="s">
        <v>1676</v>
      </c>
      <c r="D383" s="277">
        <v>1.0</v>
      </c>
      <c r="E383" s="267"/>
      <c r="F383" s="268"/>
      <c r="G383" s="353">
        <v>95000.0</v>
      </c>
      <c r="H383" s="243">
        <f t="shared" si="82"/>
        <v>95000</v>
      </c>
      <c r="I383" s="354">
        <v>95000.0</v>
      </c>
      <c r="J383" s="244">
        <f t="shared" si="83"/>
        <v>95000</v>
      </c>
      <c r="K383" s="245">
        <f t="shared" si="84"/>
        <v>0</v>
      </c>
      <c r="L383" s="251">
        <f t="shared" si="87"/>
        <v>0</v>
      </c>
      <c r="M383" s="252"/>
    </row>
    <row r="384" ht="15.75" customHeight="1">
      <c r="A384" s="239">
        <v>17.0</v>
      </c>
      <c r="B384" s="276" t="s">
        <v>1680</v>
      </c>
      <c r="C384" s="239" t="s">
        <v>109</v>
      </c>
      <c r="D384" s="277">
        <v>1.0</v>
      </c>
      <c r="E384" s="267"/>
      <c r="F384" s="268"/>
      <c r="G384" s="353">
        <v>17000.0</v>
      </c>
      <c r="H384" s="243">
        <f t="shared" si="82"/>
        <v>17000</v>
      </c>
      <c r="I384" s="354">
        <v>20000.0</v>
      </c>
      <c r="J384" s="244">
        <f t="shared" si="83"/>
        <v>20000</v>
      </c>
      <c r="K384" s="245">
        <f t="shared" si="84"/>
        <v>3000</v>
      </c>
      <c r="L384" s="251">
        <f t="shared" si="87"/>
        <v>0.1764705882</v>
      </c>
      <c r="M384" s="252"/>
    </row>
    <row r="385" ht="15.75" customHeight="1">
      <c r="A385" s="248">
        <v>18.0</v>
      </c>
      <c r="B385" s="276" t="s">
        <v>2258</v>
      </c>
      <c r="C385" s="239" t="s">
        <v>109</v>
      </c>
      <c r="D385" s="277">
        <v>2.0</v>
      </c>
      <c r="E385" s="267"/>
      <c r="F385" s="268"/>
      <c r="G385" s="353">
        <v>95000.0</v>
      </c>
      <c r="H385" s="243">
        <f t="shared" si="82"/>
        <v>190000</v>
      </c>
      <c r="I385" s="354">
        <v>95000.0</v>
      </c>
      <c r="J385" s="244">
        <f t="shared" si="83"/>
        <v>190000</v>
      </c>
      <c r="K385" s="245">
        <f t="shared" si="84"/>
        <v>0</v>
      </c>
      <c r="L385" s="251">
        <f t="shared" si="87"/>
        <v>0</v>
      </c>
      <c r="M385" s="252"/>
    </row>
    <row r="386" ht="15.75" customHeight="1">
      <c r="A386" s="239">
        <v>19.0</v>
      </c>
      <c r="B386" s="276" t="s">
        <v>1655</v>
      </c>
      <c r="C386" s="239" t="s">
        <v>109</v>
      </c>
      <c r="D386" s="277">
        <v>3.4</v>
      </c>
      <c r="E386" s="267"/>
      <c r="F386" s="268"/>
      <c r="G386" s="353">
        <v>18500.0</v>
      </c>
      <c r="H386" s="243">
        <f t="shared" si="82"/>
        <v>62900</v>
      </c>
      <c r="I386" s="354">
        <v>19000.0</v>
      </c>
      <c r="J386" s="244">
        <f t="shared" si="83"/>
        <v>64600</v>
      </c>
      <c r="K386" s="245">
        <f t="shared" si="84"/>
        <v>1700</v>
      </c>
      <c r="L386" s="251">
        <f t="shared" si="87"/>
        <v>0.02702702703</v>
      </c>
      <c r="M386" s="252"/>
    </row>
    <row r="387" ht="15.75" customHeight="1">
      <c r="A387" s="248">
        <v>20.0</v>
      </c>
      <c r="B387" s="276" t="s">
        <v>1152</v>
      </c>
      <c r="C387" s="278" t="s">
        <v>1390</v>
      </c>
      <c r="D387" s="277">
        <v>120.0</v>
      </c>
      <c r="E387" s="267"/>
      <c r="F387" s="268"/>
      <c r="G387" s="353">
        <v>1650.0</v>
      </c>
      <c r="H387" s="243">
        <f t="shared" si="82"/>
        <v>198000</v>
      </c>
      <c r="I387" s="354">
        <v>2000.0</v>
      </c>
      <c r="J387" s="244">
        <f t="shared" si="83"/>
        <v>240000</v>
      </c>
      <c r="K387" s="245">
        <f t="shared" si="84"/>
        <v>42000</v>
      </c>
      <c r="L387" s="251">
        <f t="shared" si="87"/>
        <v>0.2121212121</v>
      </c>
      <c r="M387" s="252"/>
    </row>
    <row r="388" ht="15.75" customHeight="1">
      <c r="A388" s="355" t="s">
        <v>1721</v>
      </c>
      <c r="B388" s="356"/>
      <c r="C388" s="259"/>
      <c r="D388" s="356"/>
      <c r="E388" s="257"/>
      <c r="F388" s="258">
        <f>SUMIF(F368:F387,"&lt;&gt;",F368:F387)</f>
        <v>0</v>
      </c>
      <c r="G388" s="317"/>
      <c r="H388" s="282">
        <f>SUMIF(H368:H387,"&lt;&gt;",H368:H387)</f>
        <v>8603375</v>
      </c>
      <c r="I388" s="327"/>
      <c r="J388" s="282">
        <f>SUMIF(J368:J387,"&lt;&gt;",J368:J387)</f>
        <v>10765825</v>
      </c>
      <c r="K388" s="261">
        <f t="shared" si="84"/>
        <v>2162450</v>
      </c>
      <c r="L388" s="262">
        <f t="shared" si="87"/>
        <v>0.2513490345</v>
      </c>
      <c r="M388" s="257"/>
    </row>
    <row r="389" ht="15.75" customHeight="1"/>
    <row r="390" ht="15.75" customHeight="1">
      <c r="A390" s="273" t="s">
        <v>1789</v>
      </c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</row>
    <row r="391" ht="15.75" customHeight="1">
      <c r="A391" s="229" t="s">
        <v>1509</v>
      </c>
      <c r="B391" s="229" t="s">
        <v>1510</v>
      </c>
      <c r="C391" s="302" t="s">
        <v>1511</v>
      </c>
      <c r="D391" s="302" t="s">
        <v>1614</v>
      </c>
      <c r="E391" s="303" t="s">
        <v>1615</v>
      </c>
      <c r="F391" s="304"/>
      <c r="G391" s="305" t="s">
        <v>1616</v>
      </c>
      <c r="H391" s="304"/>
      <c r="I391" s="306" t="s">
        <v>1617</v>
      </c>
      <c r="J391" s="304"/>
      <c r="K391" s="307" t="s">
        <v>1618</v>
      </c>
      <c r="L391" s="304"/>
      <c r="M391" s="302" t="s">
        <v>1619</v>
      </c>
    </row>
    <row r="392" ht="15.75" customHeight="1">
      <c r="A392" s="234" t="s">
        <v>1509</v>
      </c>
      <c r="B392" s="234" t="s">
        <v>1510</v>
      </c>
      <c r="C392" s="234" t="s">
        <v>1511</v>
      </c>
      <c r="D392" s="234" t="s">
        <v>1614</v>
      </c>
      <c r="E392" s="235" t="s">
        <v>1620</v>
      </c>
      <c r="F392" s="235" t="s">
        <v>1621</v>
      </c>
      <c r="G392" s="236" t="s">
        <v>1622</v>
      </c>
      <c r="H392" s="236" t="s">
        <v>1623</v>
      </c>
      <c r="I392" s="237" t="s">
        <v>1624</v>
      </c>
      <c r="J392" s="237" t="s">
        <v>1625</v>
      </c>
      <c r="K392" s="238" t="s">
        <v>1626</v>
      </c>
      <c r="L392" s="238" t="s">
        <v>1627</v>
      </c>
      <c r="M392" s="234" t="s">
        <v>1619</v>
      </c>
    </row>
    <row r="393" ht="15.75" customHeight="1">
      <c r="A393" s="239">
        <v>1.0</v>
      </c>
      <c r="B393" s="275" t="s">
        <v>1527</v>
      </c>
      <c r="C393" s="239" t="s">
        <v>109</v>
      </c>
      <c r="D393" s="254">
        <v>100.0</v>
      </c>
      <c r="E393" s="267"/>
      <c r="F393" s="268" t="str">
        <f t="shared" ref="F393:F399" si="88">IF(E393&lt;&gt;"",D393*E393,"")</f>
        <v/>
      </c>
      <c r="G393" s="199">
        <v>14500.0</v>
      </c>
      <c r="H393" s="243">
        <f t="shared" ref="H393:H410" si="89">IF(G393&lt;&gt;"",D393*G393,"")</f>
        <v>1450000</v>
      </c>
      <c r="I393" s="200">
        <v>15700.0</v>
      </c>
      <c r="J393" s="244">
        <f t="shared" ref="J393:J410" si="90">IF(I393&lt;&gt;"",D393*I393,"")</f>
        <v>1570000</v>
      </c>
      <c r="K393" s="245">
        <f t="shared" ref="K393:K411" si="91">IF(J393&lt;&gt;"",IF(H393&lt;&gt;"",J393-H393,IF(F393&lt;&gt;"",J393-F393,"")),"")</f>
        <v>120000</v>
      </c>
      <c r="L393" s="246">
        <f t="shared" ref="L393:L399" si="92">IF(K393&lt;&gt;"",IF(H393&lt;&gt;"",IF(H393&lt;&gt;0,K393/H393,""),IF(F393&lt;&gt;"",IF(F393&lt;&gt;0,K393/F393,""),"")),"")</f>
        <v>0.08275862069</v>
      </c>
      <c r="M393" s="247"/>
    </row>
    <row r="394" ht="15.75" customHeight="1">
      <c r="A394" s="248">
        <v>2.0</v>
      </c>
      <c r="B394" s="276" t="s">
        <v>1952</v>
      </c>
      <c r="C394" s="239" t="s">
        <v>109</v>
      </c>
      <c r="D394" s="277">
        <v>280.0</v>
      </c>
      <c r="E394" s="267"/>
      <c r="F394" s="268" t="str">
        <f t="shared" si="88"/>
        <v/>
      </c>
      <c r="G394" s="199">
        <v>29000.0</v>
      </c>
      <c r="H394" s="243">
        <f t="shared" si="89"/>
        <v>8120000</v>
      </c>
      <c r="I394" s="200">
        <v>35000.0</v>
      </c>
      <c r="J394" s="244">
        <f t="shared" si="90"/>
        <v>9800000</v>
      </c>
      <c r="K394" s="245">
        <f t="shared" si="91"/>
        <v>1680000</v>
      </c>
      <c r="L394" s="251">
        <f t="shared" si="92"/>
        <v>0.2068965517</v>
      </c>
      <c r="M394" s="252"/>
    </row>
    <row r="395" ht="15.75" customHeight="1">
      <c r="A395" s="239">
        <v>3.0</v>
      </c>
      <c r="B395" s="275" t="s">
        <v>1690</v>
      </c>
      <c r="C395" s="239" t="s">
        <v>109</v>
      </c>
      <c r="D395" s="254">
        <v>50.7</v>
      </c>
      <c r="E395" s="267"/>
      <c r="F395" s="268" t="str">
        <f t="shared" si="88"/>
        <v/>
      </c>
      <c r="G395" s="199">
        <v>11000.0</v>
      </c>
      <c r="H395" s="243">
        <f t="shared" si="89"/>
        <v>557700</v>
      </c>
      <c r="I395" s="200">
        <v>12000.0</v>
      </c>
      <c r="J395" s="244">
        <f t="shared" si="90"/>
        <v>608400</v>
      </c>
      <c r="K395" s="245">
        <f t="shared" si="91"/>
        <v>50700</v>
      </c>
      <c r="L395" s="246">
        <f t="shared" si="92"/>
        <v>0.09090909091</v>
      </c>
      <c r="M395" s="247"/>
    </row>
    <row r="396" ht="15.75" customHeight="1">
      <c r="A396" s="248">
        <v>4.0</v>
      </c>
      <c r="B396" s="276" t="s">
        <v>1609</v>
      </c>
      <c r="C396" s="239" t="s">
        <v>109</v>
      </c>
      <c r="D396" s="277">
        <v>40.6</v>
      </c>
      <c r="E396" s="267"/>
      <c r="F396" s="268" t="str">
        <f t="shared" si="88"/>
        <v/>
      </c>
      <c r="G396" s="199">
        <v>16000.0</v>
      </c>
      <c r="H396" s="243">
        <f t="shared" si="89"/>
        <v>649600</v>
      </c>
      <c r="I396" s="200">
        <v>16000.0</v>
      </c>
      <c r="J396" s="244">
        <f t="shared" si="90"/>
        <v>649600</v>
      </c>
      <c r="K396" s="245">
        <f t="shared" si="91"/>
        <v>0</v>
      </c>
      <c r="L396" s="251">
        <f t="shared" si="92"/>
        <v>0</v>
      </c>
      <c r="M396" s="252"/>
    </row>
    <row r="397" ht="15.75" customHeight="1">
      <c r="A397" s="239">
        <v>5.0</v>
      </c>
      <c r="B397" s="275" t="s">
        <v>1934</v>
      </c>
      <c r="C397" s="239" t="s">
        <v>109</v>
      </c>
      <c r="D397" s="254">
        <v>6.05</v>
      </c>
      <c r="E397" s="267"/>
      <c r="F397" s="268" t="str">
        <f t="shared" si="88"/>
        <v/>
      </c>
      <c r="G397" s="199">
        <v>32000.0</v>
      </c>
      <c r="H397" s="243">
        <f t="shared" si="89"/>
        <v>193600</v>
      </c>
      <c r="I397" s="200">
        <v>42000.0</v>
      </c>
      <c r="J397" s="244">
        <f t="shared" si="90"/>
        <v>254100</v>
      </c>
      <c r="K397" s="245">
        <f t="shared" si="91"/>
        <v>60500</v>
      </c>
      <c r="L397" s="246">
        <f t="shared" si="92"/>
        <v>0.3125</v>
      </c>
      <c r="M397" s="247"/>
    </row>
    <row r="398" ht="15.75" customHeight="1">
      <c r="A398" s="248">
        <v>6.0</v>
      </c>
      <c r="B398" s="276" t="s">
        <v>1935</v>
      </c>
      <c r="C398" s="239" t="s">
        <v>109</v>
      </c>
      <c r="D398" s="277">
        <v>2.15</v>
      </c>
      <c r="E398" s="267"/>
      <c r="F398" s="268" t="str">
        <f t="shared" si="88"/>
        <v/>
      </c>
      <c r="G398" s="199">
        <v>40000.0</v>
      </c>
      <c r="H398" s="243">
        <f t="shared" si="89"/>
        <v>86000</v>
      </c>
      <c r="I398" s="200">
        <v>40000.0</v>
      </c>
      <c r="J398" s="244">
        <f t="shared" si="90"/>
        <v>86000</v>
      </c>
      <c r="K398" s="245">
        <f t="shared" si="91"/>
        <v>0</v>
      </c>
      <c r="L398" s="251">
        <f t="shared" si="92"/>
        <v>0</v>
      </c>
      <c r="M398" s="252"/>
    </row>
    <row r="399" ht="15.75" customHeight="1">
      <c r="A399" s="239">
        <v>7.0</v>
      </c>
      <c r="B399" s="275" t="s">
        <v>1959</v>
      </c>
      <c r="C399" s="239" t="s">
        <v>109</v>
      </c>
      <c r="D399" s="254">
        <v>20.0</v>
      </c>
      <c r="E399" s="267"/>
      <c r="F399" s="268" t="str">
        <f t="shared" si="88"/>
        <v/>
      </c>
      <c r="G399" s="199">
        <v>24000.0</v>
      </c>
      <c r="H399" s="243">
        <f t="shared" si="89"/>
        <v>480000</v>
      </c>
      <c r="I399" s="200">
        <v>25000.0</v>
      </c>
      <c r="J399" s="244">
        <f t="shared" si="90"/>
        <v>500000</v>
      </c>
      <c r="K399" s="245">
        <f t="shared" si="91"/>
        <v>20000</v>
      </c>
      <c r="L399" s="246">
        <f t="shared" si="92"/>
        <v>0.04166666667</v>
      </c>
      <c r="M399" s="247"/>
    </row>
    <row r="400" ht="15.75" customHeight="1">
      <c r="A400" s="248">
        <v>8.0</v>
      </c>
      <c r="B400" s="276" t="s">
        <v>1601</v>
      </c>
      <c r="C400" s="278" t="s">
        <v>67</v>
      </c>
      <c r="D400" s="277">
        <v>105.0</v>
      </c>
      <c r="E400" s="267"/>
      <c r="F400" s="268"/>
      <c r="G400" s="199">
        <v>12000.0</v>
      </c>
      <c r="H400" s="243">
        <f t="shared" si="89"/>
        <v>1260000</v>
      </c>
      <c r="I400" s="200">
        <v>13000.0</v>
      </c>
      <c r="J400" s="244">
        <f t="shared" si="90"/>
        <v>1365000</v>
      </c>
      <c r="K400" s="245">
        <f t="shared" si="91"/>
        <v>105000</v>
      </c>
      <c r="L400" s="251"/>
      <c r="M400" s="252"/>
    </row>
    <row r="401" ht="15.75" customHeight="1">
      <c r="A401" s="239">
        <v>9.0</v>
      </c>
      <c r="B401" s="276" t="s">
        <v>1578</v>
      </c>
      <c r="C401" s="239" t="s">
        <v>109</v>
      </c>
      <c r="D401" s="277">
        <v>3.0</v>
      </c>
      <c r="E401" s="267" t="str">
        <f>'Daftar Harga'!D458</f>
        <v/>
      </c>
      <c r="F401" s="268" t="str">
        <f t="shared" ref="F401:F405" si="93">IF(E401&lt;&gt;"",D401*E401,"")</f>
        <v/>
      </c>
      <c r="G401" s="199">
        <v>21750.0</v>
      </c>
      <c r="H401" s="243">
        <f t="shared" si="89"/>
        <v>65250</v>
      </c>
      <c r="I401" s="200">
        <v>270000.0</v>
      </c>
      <c r="J401" s="244">
        <f t="shared" si="90"/>
        <v>810000</v>
      </c>
      <c r="K401" s="245">
        <f t="shared" si="91"/>
        <v>744750</v>
      </c>
      <c r="L401" s="251">
        <f t="shared" ref="L401:L411" si="94">IF(K401&lt;&gt;"",IF(H401&lt;&gt;"",IF(H401&lt;&gt;0,K401/H401,""),IF(F401&lt;&gt;"",IF(F401&lt;&gt;0,K401/F401,""),"")),"")</f>
        <v>11.4137931</v>
      </c>
      <c r="M401" s="252"/>
    </row>
    <row r="402" ht="15.75" customHeight="1">
      <c r="A402" s="248">
        <v>10.0</v>
      </c>
      <c r="B402" s="275" t="s">
        <v>1655</v>
      </c>
      <c r="C402" s="239" t="s">
        <v>109</v>
      </c>
      <c r="D402" s="254">
        <v>4.9</v>
      </c>
      <c r="E402" s="267" t="str">
        <f>'Daftar Harga'!D468</f>
        <v/>
      </c>
      <c r="F402" s="268" t="str">
        <f t="shared" si="93"/>
        <v/>
      </c>
      <c r="G402" s="199">
        <v>18500.0</v>
      </c>
      <c r="H402" s="243">
        <f t="shared" si="89"/>
        <v>90650</v>
      </c>
      <c r="I402" s="200">
        <v>19000.0</v>
      </c>
      <c r="J402" s="244">
        <f t="shared" si="90"/>
        <v>93100</v>
      </c>
      <c r="K402" s="245">
        <f t="shared" si="91"/>
        <v>2450</v>
      </c>
      <c r="L402" s="246">
        <f t="shared" si="94"/>
        <v>0.02702702703</v>
      </c>
      <c r="M402" s="247"/>
    </row>
    <row r="403" ht="15.75" customHeight="1">
      <c r="A403" s="239">
        <v>11.0</v>
      </c>
      <c r="B403" s="276" t="s">
        <v>1680</v>
      </c>
      <c r="C403" s="239" t="s">
        <v>109</v>
      </c>
      <c r="D403" s="277">
        <v>1.1</v>
      </c>
      <c r="E403" s="267" t="str">
        <f>'Daftar Harga'!D470</f>
        <v/>
      </c>
      <c r="F403" s="268" t="str">
        <f t="shared" si="93"/>
        <v/>
      </c>
      <c r="G403" s="199">
        <v>17000.0</v>
      </c>
      <c r="H403" s="243">
        <f t="shared" si="89"/>
        <v>18700</v>
      </c>
      <c r="I403" s="200">
        <v>20000.0</v>
      </c>
      <c r="J403" s="244">
        <f t="shared" si="90"/>
        <v>22000</v>
      </c>
      <c r="K403" s="245">
        <f t="shared" si="91"/>
        <v>3300</v>
      </c>
      <c r="L403" s="251">
        <f t="shared" si="94"/>
        <v>0.1764705882</v>
      </c>
      <c r="M403" s="252"/>
    </row>
    <row r="404" ht="15.75" customHeight="1">
      <c r="A404" s="248">
        <v>12.0</v>
      </c>
      <c r="B404" s="275" t="s">
        <v>1563</v>
      </c>
      <c r="C404" s="239" t="s">
        <v>109</v>
      </c>
      <c r="D404" s="254">
        <v>1.0</v>
      </c>
      <c r="E404" s="267" t="str">
        <f>'Daftar Harga'!D473</f>
        <v/>
      </c>
      <c r="F404" s="268" t="str">
        <f t="shared" si="93"/>
        <v/>
      </c>
      <c r="G404" s="199">
        <v>46000.0</v>
      </c>
      <c r="H404" s="243">
        <f t="shared" si="89"/>
        <v>46000</v>
      </c>
      <c r="I404" s="200">
        <v>47000.0</v>
      </c>
      <c r="J404" s="244">
        <f t="shared" si="90"/>
        <v>47000</v>
      </c>
      <c r="K404" s="245">
        <f t="shared" si="91"/>
        <v>1000</v>
      </c>
      <c r="L404" s="246">
        <f t="shared" si="94"/>
        <v>0.02173913043</v>
      </c>
      <c r="M404" s="247"/>
    </row>
    <row r="405" ht="15.75" customHeight="1">
      <c r="A405" s="239">
        <v>13.0</v>
      </c>
      <c r="B405" s="276" t="s">
        <v>1569</v>
      </c>
      <c r="C405" s="239" t="s">
        <v>109</v>
      </c>
      <c r="D405" s="277">
        <v>2.0</v>
      </c>
      <c r="E405" s="267" t="str">
        <f>'Daftar Harga'!D482</f>
        <v/>
      </c>
      <c r="F405" s="268" t="str">
        <f t="shared" si="93"/>
        <v/>
      </c>
      <c r="G405" s="199">
        <v>16000.0</v>
      </c>
      <c r="H405" s="243">
        <f t="shared" si="89"/>
        <v>32000</v>
      </c>
      <c r="I405" s="200">
        <v>16000.0</v>
      </c>
      <c r="J405" s="244">
        <f t="shared" si="90"/>
        <v>32000</v>
      </c>
      <c r="K405" s="245">
        <f t="shared" si="91"/>
        <v>0</v>
      </c>
      <c r="L405" s="251">
        <f t="shared" si="94"/>
        <v>0</v>
      </c>
      <c r="M405" s="252"/>
    </row>
    <row r="406" ht="15.75" customHeight="1">
      <c r="A406" s="248">
        <v>14.0</v>
      </c>
      <c r="B406" s="276" t="s">
        <v>1595</v>
      </c>
      <c r="C406" s="239" t="s">
        <v>109</v>
      </c>
      <c r="D406" s="277">
        <v>0.75</v>
      </c>
      <c r="E406" s="267"/>
      <c r="F406" s="268"/>
      <c r="G406" s="353">
        <v>12500.0</v>
      </c>
      <c r="H406" s="243">
        <f t="shared" si="89"/>
        <v>9375</v>
      </c>
      <c r="I406" s="200">
        <v>15000.0</v>
      </c>
      <c r="J406" s="244">
        <f t="shared" si="90"/>
        <v>11250</v>
      </c>
      <c r="K406" s="245">
        <f t="shared" si="91"/>
        <v>1875</v>
      </c>
      <c r="L406" s="251">
        <f t="shared" si="94"/>
        <v>0.2</v>
      </c>
      <c r="M406" s="252"/>
    </row>
    <row r="407" ht="15.75" customHeight="1">
      <c r="A407" s="239">
        <v>15.0</v>
      </c>
      <c r="B407" s="276" t="s">
        <v>1542</v>
      </c>
      <c r="C407" s="239" t="s">
        <v>109</v>
      </c>
      <c r="D407" s="277">
        <v>0.5</v>
      </c>
      <c r="E407" s="267"/>
      <c r="F407" s="268"/>
      <c r="G407" s="353">
        <v>10000.0</v>
      </c>
      <c r="H407" s="243">
        <f t="shared" si="89"/>
        <v>5000</v>
      </c>
      <c r="I407" s="354">
        <v>25000.0</v>
      </c>
      <c r="J407" s="244">
        <f t="shared" si="90"/>
        <v>12500</v>
      </c>
      <c r="K407" s="245">
        <f t="shared" si="91"/>
        <v>7500</v>
      </c>
      <c r="L407" s="251">
        <f t="shared" si="94"/>
        <v>1.5</v>
      </c>
      <c r="M407" s="252"/>
    </row>
    <row r="408" ht="15.75" customHeight="1">
      <c r="A408" s="248">
        <v>16.0</v>
      </c>
      <c r="B408" s="276" t="s">
        <v>1574</v>
      </c>
      <c r="C408" s="239" t="s">
        <v>109</v>
      </c>
      <c r="D408" s="277">
        <v>1.05</v>
      </c>
      <c r="E408" s="267"/>
      <c r="F408" s="268"/>
      <c r="G408" s="353">
        <v>12000.0</v>
      </c>
      <c r="H408" s="243">
        <f t="shared" si="89"/>
        <v>12600</v>
      </c>
      <c r="I408" s="354">
        <v>15000.0</v>
      </c>
      <c r="J408" s="244">
        <f t="shared" si="90"/>
        <v>15750</v>
      </c>
      <c r="K408" s="245">
        <f t="shared" si="91"/>
        <v>3150</v>
      </c>
      <c r="L408" s="251">
        <f t="shared" si="94"/>
        <v>0.25</v>
      </c>
      <c r="M408" s="252"/>
    </row>
    <row r="409" ht="15.75" customHeight="1">
      <c r="A409" s="239">
        <v>17.0</v>
      </c>
      <c r="B409" s="276" t="s">
        <v>2259</v>
      </c>
      <c r="C409" s="239" t="s">
        <v>109</v>
      </c>
      <c r="D409" s="277">
        <v>113.4</v>
      </c>
      <c r="E409" s="267"/>
      <c r="F409" s="268"/>
      <c r="G409" s="353">
        <v>14000.0</v>
      </c>
      <c r="H409" s="243">
        <f t="shared" si="89"/>
        <v>1587600</v>
      </c>
      <c r="I409" s="354">
        <v>14000.0</v>
      </c>
      <c r="J409" s="244">
        <f t="shared" si="90"/>
        <v>1587600</v>
      </c>
      <c r="K409" s="245">
        <f t="shared" si="91"/>
        <v>0</v>
      </c>
      <c r="L409" s="251">
        <f t="shared" si="94"/>
        <v>0</v>
      </c>
      <c r="M409" s="252"/>
    </row>
    <row r="410" ht="15.75" customHeight="1">
      <c r="A410" s="248">
        <v>18.0</v>
      </c>
      <c r="B410" s="276" t="s">
        <v>1112</v>
      </c>
      <c r="C410" s="239" t="s">
        <v>109</v>
      </c>
      <c r="D410" s="277">
        <v>62.0</v>
      </c>
      <c r="E410" s="267"/>
      <c r="F410" s="268"/>
      <c r="G410" s="353">
        <v>17000.0</v>
      </c>
      <c r="H410" s="243">
        <f t="shared" si="89"/>
        <v>1054000</v>
      </c>
      <c r="I410" s="354">
        <v>17500.0</v>
      </c>
      <c r="J410" s="244">
        <f t="shared" si="90"/>
        <v>1085000</v>
      </c>
      <c r="K410" s="245">
        <f t="shared" si="91"/>
        <v>31000</v>
      </c>
      <c r="L410" s="251">
        <f t="shared" si="94"/>
        <v>0.02941176471</v>
      </c>
      <c r="M410" s="252"/>
    </row>
    <row r="411" ht="15.75" customHeight="1">
      <c r="A411" s="355" t="s">
        <v>1729</v>
      </c>
      <c r="B411" s="356"/>
      <c r="C411" s="259"/>
      <c r="D411" s="356"/>
      <c r="E411" s="257"/>
      <c r="F411" s="258">
        <f>SUMIF(F393:F410,"&lt;&gt;",F393:F410)</f>
        <v>0</v>
      </c>
      <c r="G411" s="317"/>
      <c r="H411" s="282">
        <f>SUMIF(H393:H410,"&lt;&gt;",H393:H410)</f>
        <v>15718075</v>
      </c>
      <c r="I411" s="327"/>
      <c r="J411" s="282">
        <f>SUMIF(J393:J410,"&lt;&gt;",J393:J410)</f>
        <v>18549300</v>
      </c>
      <c r="K411" s="261">
        <f t="shared" si="91"/>
        <v>2831225</v>
      </c>
      <c r="L411" s="262">
        <f t="shared" si="94"/>
        <v>0.1801254288</v>
      </c>
      <c r="M411" s="257"/>
    </row>
    <row r="412" ht="15.75" customHeight="1"/>
    <row r="413" ht="15.75" customHeight="1">
      <c r="A413" s="273" t="s">
        <v>2260</v>
      </c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</row>
    <row r="414" ht="15.75" customHeight="1">
      <c r="A414" s="229" t="s">
        <v>1509</v>
      </c>
      <c r="B414" s="229" t="s">
        <v>1510</v>
      </c>
      <c r="C414" s="229" t="s">
        <v>1511</v>
      </c>
      <c r="D414" s="229" t="s">
        <v>1614</v>
      </c>
      <c r="E414" s="230" t="s">
        <v>1615</v>
      </c>
      <c r="F414" s="174"/>
      <c r="G414" s="231" t="s">
        <v>1616</v>
      </c>
      <c r="H414" s="174"/>
      <c r="I414" s="232" t="s">
        <v>1617</v>
      </c>
      <c r="J414" s="174"/>
      <c r="K414" s="233" t="s">
        <v>1618</v>
      </c>
      <c r="L414" s="174"/>
      <c r="M414" s="229" t="s">
        <v>1619</v>
      </c>
    </row>
    <row r="415" ht="15.75" customHeight="1">
      <c r="A415" s="234" t="s">
        <v>1509</v>
      </c>
      <c r="B415" s="234" t="s">
        <v>1510</v>
      </c>
      <c r="C415" s="234" t="s">
        <v>1511</v>
      </c>
      <c r="D415" s="234" t="s">
        <v>1614</v>
      </c>
      <c r="E415" s="235" t="s">
        <v>1620</v>
      </c>
      <c r="F415" s="235" t="s">
        <v>1621</v>
      </c>
      <c r="G415" s="236" t="s">
        <v>1622</v>
      </c>
      <c r="H415" s="236" t="s">
        <v>1623</v>
      </c>
      <c r="I415" s="237" t="s">
        <v>1624</v>
      </c>
      <c r="J415" s="237" t="s">
        <v>1625</v>
      </c>
      <c r="K415" s="238" t="s">
        <v>1626</v>
      </c>
      <c r="L415" s="238" t="s">
        <v>1627</v>
      </c>
      <c r="M415" s="234" t="s">
        <v>1619</v>
      </c>
    </row>
    <row r="416" ht="15.75" customHeight="1">
      <c r="A416" s="248">
        <v>1.0</v>
      </c>
      <c r="B416" s="276" t="s">
        <v>1527</v>
      </c>
      <c r="C416" s="280" t="s">
        <v>109</v>
      </c>
      <c r="D416" s="309">
        <v>100.0</v>
      </c>
      <c r="E416" s="267"/>
      <c r="F416" s="268" t="str">
        <f t="shared" ref="F416:F417" si="95">IF(E416&lt;&gt;"",D416*E416,"")</f>
        <v/>
      </c>
      <c r="G416" s="199">
        <v>14500.0</v>
      </c>
      <c r="H416" s="243">
        <f t="shared" ref="H416:H417" si="96">IF(G416&lt;&gt;"",D416*G416,"")</f>
        <v>1450000</v>
      </c>
      <c r="I416" s="200">
        <v>15700.0</v>
      </c>
      <c r="J416" s="244">
        <f t="shared" ref="J416:J417" si="97">IF(I416&lt;&gt;"",D416*I416,"")</f>
        <v>1570000</v>
      </c>
      <c r="K416" s="245">
        <f t="shared" ref="K416:K418" si="98">IF(J416&lt;&gt;"",IF(H416&lt;&gt;"",J416-H416,IF(F416&lt;&gt;"",J416-F416,"")),"")</f>
        <v>120000</v>
      </c>
      <c r="L416" s="246">
        <f t="shared" ref="L416:L418" si="99">IF(K416&lt;&gt;"",IF(H416&lt;&gt;"",IF(H416&lt;&gt;0,K416/H416,""),IF(F416&lt;&gt;"",IF(F416&lt;&gt;0,K416/F416,""),"")),"")</f>
        <v>0.08275862069</v>
      </c>
      <c r="M416" s="252"/>
    </row>
    <row r="417" ht="15.75" customHeight="1">
      <c r="A417" s="239">
        <v>2.0</v>
      </c>
      <c r="B417" s="276" t="s">
        <v>1578</v>
      </c>
      <c r="C417" s="278" t="s">
        <v>261</v>
      </c>
      <c r="D417" s="274">
        <v>2.0</v>
      </c>
      <c r="E417" s="267"/>
      <c r="F417" s="268" t="str">
        <f t="shared" si="95"/>
        <v/>
      </c>
      <c r="G417" s="199">
        <v>258000.0</v>
      </c>
      <c r="H417" s="263">
        <f t="shared" si="96"/>
        <v>516000</v>
      </c>
      <c r="I417" s="200">
        <v>270000.0</v>
      </c>
      <c r="J417" s="244">
        <f t="shared" si="97"/>
        <v>540000</v>
      </c>
      <c r="K417" s="245">
        <f t="shared" si="98"/>
        <v>24000</v>
      </c>
      <c r="L417" s="246">
        <f t="shared" si="99"/>
        <v>0.04651162791</v>
      </c>
      <c r="M417" s="247"/>
    </row>
    <row r="418" ht="15.75" customHeight="1">
      <c r="A418" s="362" t="s">
        <v>10</v>
      </c>
      <c r="B418" s="206"/>
      <c r="C418" s="206"/>
      <c r="D418" s="174"/>
      <c r="E418" s="257"/>
      <c r="F418" s="258">
        <f>SUMIF(F416:F417,"&lt;&gt;",F416:F417)</f>
        <v>0</v>
      </c>
      <c r="G418" s="259"/>
      <c r="H418" s="260">
        <f>SUMIF(H416:H417,"&lt;&gt;",H416:H417)</f>
        <v>1966000</v>
      </c>
      <c r="I418" s="265"/>
      <c r="J418" s="260">
        <f>SUMIF(J416:J417,"&lt;&gt;",J416:J417)</f>
        <v>2110000</v>
      </c>
      <c r="K418" s="261">
        <f t="shared" si="98"/>
        <v>144000</v>
      </c>
      <c r="L418" s="262">
        <f t="shared" si="99"/>
        <v>0.07324516785</v>
      </c>
      <c r="M418" s="257"/>
    </row>
    <row r="419" ht="15.75" customHeight="1"/>
    <row r="420" ht="27.75" customHeight="1">
      <c r="A420" s="328" t="s">
        <v>2261</v>
      </c>
      <c r="B420" s="285"/>
      <c r="C420" s="285"/>
      <c r="D420" s="286"/>
      <c r="E420" s="287"/>
      <c r="F420" s="288">
        <f>F26+F54+F76+F97+F117+F140+F169+F186+F212+F241+F266+F291+F314+F341+F363+F388+F418+F411</f>
        <v>0</v>
      </c>
      <c r="G420" s="288"/>
      <c r="H420" s="288">
        <f>H26+H54+H76+H97+H117+H140+H169+H186+H212+H241+H266+H291+H314+H341+H363+H388+H418+H411</f>
        <v>245160350.6</v>
      </c>
      <c r="I420" s="288"/>
      <c r="J420" s="288">
        <f>J26+J54+J76+J97+J117+J140+J169+J186+J212+J241+J266+J291+J314+J341+J363+J388+J418+J411</f>
        <v>272979510</v>
      </c>
      <c r="K420" s="289">
        <f>IF(J420&lt;&gt;"",IF(H420&lt;&gt;0,J420-H420,J420-F420),"")</f>
        <v>27819159.4</v>
      </c>
      <c r="L420" s="290">
        <f>IF(K420&lt;&gt;"",IF(H420&lt;&gt;0,K420/H420,IF(F420&lt;&gt;0,K420/F420,"")),"")</f>
        <v>0.113473322</v>
      </c>
      <c r="M420" s="287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</sheetData>
  <mergeCells count="124">
    <mergeCell ref="A1:M1"/>
    <mergeCell ref="A2:M2"/>
    <mergeCell ref="A3:M3"/>
    <mergeCell ref="A4:M4"/>
    <mergeCell ref="G5:H5"/>
    <mergeCell ref="I5:J5"/>
    <mergeCell ref="K5:L5"/>
    <mergeCell ref="E5:F5"/>
    <mergeCell ref="A26:D26"/>
    <mergeCell ref="A28:M28"/>
    <mergeCell ref="E29:F29"/>
    <mergeCell ref="G29:H29"/>
    <mergeCell ref="I29:J29"/>
    <mergeCell ref="K29:L29"/>
    <mergeCell ref="A54:D54"/>
    <mergeCell ref="A56:M56"/>
    <mergeCell ref="E57:F57"/>
    <mergeCell ref="G57:H57"/>
    <mergeCell ref="I57:J57"/>
    <mergeCell ref="K57:L57"/>
    <mergeCell ref="A76:D76"/>
    <mergeCell ref="A79:M79"/>
    <mergeCell ref="E80:F80"/>
    <mergeCell ref="G80:H80"/>
    <mergeCell ref="I80:J80"/>
    <mergeCell ref="K80:L80"/>
    <mergeCell ref="A97:D97"/>
    <mergeCell ref="A99:M99"/>
    <mergeCell ref="E100:F100"/>
    <mergeCell ref="G100:H100"/>
    <mergeCell ref="I100:J100"/>
    <mergeCell ref="K100:L100"/>
    <mergeCell ref="A117:D117"/>
    <mergeCell ref="C119:L119"/>
    <mergeCell ref="E120:F120"/>
    <mergeCell ref="K120:L120"/>
    <mergeCell ref="I144:J144"/>
    <mergeCell ref="K144:L144"/>
    <mergeCell ref="G120:H120"/>
    <mergeCell ref="I120:J120"/>
    <mergeCell ref="A140:B140"/>
    <mergeCell ref="C140:D140"/>
    <mergeCell ref="C143:L143"/>
    <mergeCell ref="E144:F144"/>
    <mergeCell ref="G144:H144"/>
    <mergeCell ref="A341:B341"/>
    <mergeCell ref="C341:D341"/>
    <mergeCell ref="A343:M343"/>
    <mergeCell ref="E344:F344"/>
    <mergeCell ref="G344:H344"/>
    <mergeCell ref="I344:J344"/>
    <mergeCell ref="K344:L344"/>
    <mergeCell ref="A363:B363"/>
    <mergeCell ref="C363:D363"/>
    <mergeCell ref="A365:M365"/>
    <mergeCell ref="E366:F366"/>
    <mergeCell ref="G366:H366"/>
    <mergeCell ref="I366:J366"/>
    <mergeCell ref="K366:L366"/>
    <mergeCell ref="A388:B388"/>
    <mergeCell ref="C388:D388"/>
    <mergeCell ref="A390:M390"/>
    <mergeCell ref="E391:F391"/>
    <mergeCell ref="G391:H391"/>
    <mergeCell ref="I391:J391"/>
    <mergeCell ref="K391:L391"/>
    <mergeCell ref="A418:D418"/>
    <mergeCell ref="A420:D420"/>
    <mergeCell ref="A411:B411"/>
    <mergeCell ref="C411:D411"/>
    <mergeCell ref="A413:M413"/>
    <mergeCell ref="E414:F414"/>
    <mergeCell ref="G414:H414"/>
    <mergeCell ref="I414:J414"/>
    <mergeCell ref="K414:L414"/>
    <mergeCell ref="A169:B169"/>
    <mergeCell ref="C169:D169"/>
    <mergeCell ref="C171:L171"/>
    <mergeCell ref="E172:F172"/>
    <mergeCell ref="G172:H172"/>
    <mergeCell ref="I172:J172"/>
    <mergeCell ref="K172:L172"/>
    <mergeCell ref="A186:B186"/>
    <mergeCell ref="C186:D186"/>
    <mergeCell ref="A188:M188"/>
    <mergeCell ref="E189:F189"/>
    <mergeCell ref="G189:H189"/>
    <mergeCell ref="I189:J189"/>
    <mergeCell ref="K189:L189"/>
    <mergeCell ref="A212:B212"/>
    <mergeCell ref="C212:D212"/>
    <mergeCell ref="A214:M214"/>
    <mergeCell ref="E215:F215"/>
    <mergeCell ref="G215:H215"/>
    <mergeCell ref="I215:J215"/>
    <mergeCell ref="K215:L215"/>
    <mergeCell ref="A241:B241"/>
    <mergeCell ref="C241:D241"/>
    <mergeCell ref="A243:M243"/>
    <mergeCell ref="E244:F244"/>
    <mergeCell ref="G244:H244"/>
    <mergeCell ref="I244:J244"/>
    <mergeCell ref="K244:L244"/>
    <mergeCell ref="A266:B266"/>
    <mergeCell ref="C266:D266"/>
    <mergeCell ref="A268:M268"/>
    <mergeCell ref="E269:F269"/>
    <mergeCell ref="G269:H269"/>
    <mergeCell ref="I269:J269"/>
    <mergeCell ref="K269:L269"/>
    <mergeCell ref="A291:B291"/>
    <mergeCell ref="C291:D291"/>
    <mergeCell ref="A293:M293"/>
    <mergeCell ref="E294:F294"/>
    <mergeCell ref="G294:H294"/>
    <mergeCell ref="I294:J294"/>
    <mergeCell ref="K294:L294"/>
    <mergeCell ref="A314:B314"/>
    <mergeCell ref="C314:D314"/>
    <mergeCell ref="A316:M316"/>
    <mergeCell ref="E317:F317"/>
    <mergeCell ref="G317:H317"/>
    <mergeCell ref="I317:J317"/>
    <mergeCell ref="K317:L317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9.0"/>
    <col customWidth="1" min="5" max="5" width="14.0"/>
    <col customWidth="1" min="6" max="6" width="16.0"/>
    <col customWidth="1" min="7" max="7" width="14.0"/>
    <col customWidth="1" min="8" max="8" width="16.0"/>
    <col customWidth="1" min="9" max="9" width="13.0"/>
    <col customWidth="1" min="10" max="10" width="15.0"/>
    <col customWidth="1" min="11" max="11" width="13.0"/>
    <col customWidth="1" min="12" max="12" width="10.0"/>
    <col customWidth="1" min="13" max="13" width="22.0"/>
    <col customWidth="1" min="14" max="26" width="8.71"/>
  </cols>
  <sheetData>
    <row r="1" ht="31.5" customHeight="1">
      <c r="A1" s="329" t="s">
        <v>2202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5.75" customHeight="1">
      <c r="A2" s="330" t="s">
        <v>1866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ht="13.5" customHeight="1">
      <c r="A3" s="170" t="s">
        <v>1612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6"/>
    </row>
    <row r="4" ht="21.75" customHeight="1">
      <c r="A4" s="225" t="s">
        <v>2076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ht="19.5" customHeight="1">
      <c r="A5" s="172" t="s">
        <v>1509</v>
      </c>
      <c r="B5" s="172" t="s">
        <v>1510</v>
      </c>
      <c r="C5" s="172" t="s">
        <v>1511</v>
      </c>
      <c r="D5" s="172" t="s">
        <v>1614</v>
      </c>
      <c r="E5" s="173" t="s">
        <v>1615</v>
      </c>
      <c r="F5" s="174"/>
      <c r="G5" s="175" t="s">
        <v>1616</v>
      </c>
      <c r="H5" s="174"/>
      <c r="I5" s="176" t="s">
        <v>1617</v>
      </c>
      <c r="J5" s="174"/>
      <c r="K5" s="177" t="s">
        <v>1618</v>
      </c>
      <c r="L5" s="174"/>
      <c r="M5" s="172" t="s">
        <v>1619</v>
      </c>
    </row>
    <row r="6" ht="27.75" customHeight="1">
      <c r="A6" s="178" t="s">
        <v>1509</v>
      </c>
      <c r="B6" s="178" t="s">
        <v>1510</v>
      </c>
      <c r="C6" s="178" t="s">
        <v>1511</v>
      </c>
      <c r="D6" s="178" t="s">
        <v>1614</v>
      </c>
      <c r="E6" s="179" t="s">
        <v>1620</v>
      </c>
      <c r="F6" s="179" t="s">
        <v>1621</v>
      </c>
      <c r="G6" s="180" t="s">
        <v>1622</v>
      </c>
      <c r="H6" s="180" t="s">
        <v>1623</v>
      </c>
      <c r="I6" s="181" t="s">
        <v>1624</v>
      </c>
      <c r="J6" s="181" t="s">
        <v>1625</v>
      </c>
      <c r="K6" s="182" t="s">
        <v>1626</v>
      </c>
      <c r="L6" s="182" t="s">
        <v>1627</v>
      </c>
      <c r="M6" s="178" t="s">
        <v>1619</v>
      </c>
    </row>
    <row r="7" ht="15.75" customHeight="1">
      <c r="A7" s="159">
        <v>1.0</v>
      </c>
      <c r="B7" s="226" t="s">
        <v>1746</v>
      </c>
      <c r="C7" s="223" t="s">
        <v>1176</v>
      </c>
      <c r="D7" s="227">
        <v>3.0</v>
      </c>
      <c r="E7" s="184"/>
      <c r="F7" s="185" t="str">
        <f>IF(E7&lt;&gt;"",D7*E7,"")</f>
        <v/>
      </c>
      <c r="G7" s="221">
        <v>1125000.0</v>
      </c>
      <c r="H7" s="187">
        <f>IF(G7&lt;&gt;"",D7*G7,"")</f>
        <v>3375000</v>
      </c>
      <c r="I7" s="222">
        <v>1200000.0</v>
      </c>
      <c r="J7" s="215">
        <f>IF(I7&lt;&gt;"",D7*I7,"")</f>
        <v>3600000</v>
      </c>
      <c r="K7" s="190">
        <f t="shared" ref="K7:K8" si="1">IF(J7&lt;&gt;"",IF(H7&lt;&gt;"",J7-H7,IF(F7&lt;&gt;"",J7-F7,"")),"")</f>
        <v>225000</v>
      </c>
      <c r="L7" s="191">
        <f t="shared" ref="L7:L8" si="2">IF(K7&lt;&gt;"",IF(H7&lt;&gt;"",IF(H7&lt;&gt;0,K7/H7,""),IF(F7&lt;&gt;"",IF(F7&lt;&gt;0,K7/F7,""),"")),"")</f>
        <v>0.06666666667</v>
      </c>
      <c r="M7" s="192"/>
    </row>
    <row r="8" ht="19.5" customHeight="1">
      <c r="A8" s="300" t="s">
        <v>2262</v>
      </c>
      <c r="B8" s="206"/>
      <c r="C8" s="206"/>
      <c r="D8" s="174"/>
      <c r="E8" s="207"/>
      <c r="F8" s="208">
        <f>SUMIF(F7,"&lt;&gt;",F7)</f>
        <v>0</v>
      </c>
      <c r="G8" s="207"/>
      <c r="H8" s="208">
        <f>SUMIF(H7,"&lt;&gt;",H7)</f>
        <v>3375000</v>
      </c>
      <c r="I8" s="207"/>
      <c r="J8" s="208">
        <f>SUMIF(J7,"&lt;&gt;",J7)</f>
        <v>3600000</v>
      </c>
      <c r="K8" s="208">
        <f t="shared" si="1"/>
        <v>225000</v>
      </c>
      <c r="L8" s="212">
        <f t="shared" si="2"/>
        <v>0.06666666667</v>
      </c>
      <c r="M8" s="207"/>
    </row>
    <row r="10" ht="15.75" customHeight="1">
      <c r="A10" s="438"/>
      <c r="C10" s="363" t="s">
        <v>1667</v>
      </c>
      <c r="D10" s="155"/>
      <c r="E10" s="155"/>
      <c r="F10" s="155"/>
      <c r="G10" s="155"/>
      <c r="H10" s="155"/>
      <c r="I10" s="155"/>
      <c r="J10" s="155"/>
      <c r="K10" s="155"/>
      <c r="L10" s="155"/>
      <c r="M10" s="438"/>
    </row>
    <row r="11" ht="15.75" customHeight="1">
      <c r="A11" s="229" t="s">
        <v>1509</v>
      </c>
      <c r="B11" s="229" t="s">
        <v>1510</v>
      </c>
      <c r="C11" s="229" t="s">
        <v>1511</v>
      </c>
      <c r="D11" s="229" t="s">
        <v>1614</v>
      </c>
      <c r="E11" s="230" t="s">
        <v>1615</v>
      </c>
      <c r="F11" s="174"/>
      <c r="G11" s="231" t="s">
        <v>1616</v>
      </c>
      <c r="H11" s="174"/>
      <c r="I11" s="232" t="s">
        <v>1617</v>
      </c>
      <c r="J11" s="174"/>
      <c r="K11" s="233" t="s">
        <v>1618</v>
      </c>
      <c r="L11" s="174"/>
      <c r="M11" s="229" t="s">
        <v>1619</v>
      </c>
    </row>
    <row r="12" ht="15.75" customHeight="1">
      <c r="A12" s="234" t="s">
        <v>1509</v>
      </c>
      <c r="B12" s="234" t="s">
        <v>1510</v>
      </c>
      <c r="C12" s="234" t="s">
        <v>1511</v>
      </c>
      <c r="D12" s="234" t="s">
        <v>1614</v>
      </c>
      <c r="E12" s="235" t="s">
        <v>1620</v>
      </c>
      <c r="F12" s="235" t="s">
        <v>1621</v>
      </c>
      <c r="G12" s="236" t="s">
        <v>1622</v>
      </c>
      <c r="H12" s="236" t="s">
        <v>1623</v>
      </c>
      <c r="I12" s="237" t="s">
        <v>1624</v>
      </c>
      <c r="J12" s="237" t="s">
        <v>1625</v>
      </c>
      <c r="K12" s="238" t="s">
        <v>1626</v>
      </c>
      <c r="L12" s="238" t="s">
        <v>1627</v>
      </c>
      <c r="M12" s="234" t="s">
        <v>1619</v>
      </c>
    </row>
    <row r="13" ht="15.75" customHeight="1">
      <c r="A13" s="248">
        <v>1.0</v>
      </c>
      <c r="B13" s="249" t="s">
        <v>1746</v>
      </c>
      <c r="C13" s="248" t="s">
        <v>1176</v>
      </c>
      <c r="D13" s="270">
        <v>3.0</v>
      </c>
      <c r="E13" s="267"/>
      <c r="F13" s="268" t="str">
        <f>IF(E13&lt;&gt;"",D13*E13,"")</f>
        <v/>
      </c>
      <c r="G13" s="186">
        <v>1125000.0</v>
      </c>
      <c r="H13" s="263">
        <f>IF(G13&lt;&gt;"",D13*G13,"")</f>
        <v>3375000</v>
      </c>
      <c r="I13" s="188">
        <v>1200000.0</v>
      </c>
      <c r="J13" s="264">
        <f>IF(I13&lt;&gt;"",D13*I13,"")</f>
        <v>3600000</v>
      </c>
      <c r="K13" s="245">
        <f t="shared" ref="K13:K14" si="3">IF(J13&lt;&gt;"",IF(H13&lt;&gt;"",J13-H13,IF(F13&lt;&gt;"",J13-F13,"")),"")</f>
        <v>225000</v>
      </c>
      <c r="L13" s="246">
        <f t="shared" ref="L13:L14" si="4">IF(K13&lt;&gt;"",IF(H13&lt;&gt;"",IF(H13&lt;&gt;0,K13/H13,""),IF(F13&lt;&gt;"",IF(F13&lt;&gt;0,K13/F13,""),"")),"")</f>
        <v>0.06666666667</v>
      </c>
      <c r="M13" s="252"/>
    </row>
    <row r="14" ht="15.75" customHeight="1">
      <c r="A14" s="272" t="s">
        <v>2263</v>
      </c>
      <c r="B14" s="206"/>
      <c r="C14" s="206"/>
      <c r="D14" s="174"/>
      <c r="E14" s="257"/>
      <c r="F14" s="258">
        <f>SUMIF(F13,"&lt;&gt;",F13)</f>
        <v>0</v>
      </c>
      <c r="G14" s="259"/>
      <c r="H14" s="260">
        <f>SUMIF(H13,"&lt;&gt;",H13)</f>
        <v>3375000</v>
      </c>
      <c r="I14" s="265"/>
      <c r="J14" s="260">
        <f>SUMIF(J13,"&lt;&gt;",J13)</f>
        <v>3600000</v>
      </c>
      <c r="K14" s="261">
        <f t="shared" si="3"/>
        <v>225000</v>
      </c>
      <c r="L14" s="262">
        <f t="shared" si="4"/>
        <v>0.06666666667</v>
      </c>
      <c r="M14" s="257"/>
    </row>
    <row r="15" ht="15.75" customHeight="1">
      <c r="A15" s="266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</row>
    <row r="16" ht="15.75" customHeight="1">
      <c r="A16" s="266"/>
      <c r="B16" s="266"/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</row>
    <row r="17" ht="15.75" customHeight="1">
      <c r="A17" s="228" t="s">
        <v>1667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</row>
    <row r="18" ht="15.75" customHeight="1">
      <c r="A18" s="229" t="s">
        <v>1509</v>
      </c>
      <c r="B18" s="229" t="s">
        <v>1510</v>
      </c>
      <c r="C18" s="229" t="s">
        <v>1511</v>
      </c>
      <c r="D18" s="229" t="s">
        <v>1614</v>
      </c>
      <c r="E18" s="230" t="s">
        <v>1615</v>
      </c>
      <c r="F18" s="174"/>
      <c r="G18" s="231" t="s">
        <v>1616</v>
      </c>
      <c r="H18" s="174"/>
      <c r="I18" s="232" t="s">
        <v>1617</v>
      </c>
      <c r="J18" s="174"/>
      <c r="K18" s="233" t="s">
        <v>1618</v>
      </c>
      <c r="L18" s="174"/>
      <c r="M18" s="229" t="s">
        <v>1619</v>
      </c>
    </row>
    <row r="19" ht="15.75" customHeight="1">
      <c r="A19" s="234" t="s">
        <v>1509</v>
      </c>
      <c r="B19" s="234" t="s">
        <v>1510</v>
      </c>
      <c r="C19" s="234" t="s">
        <v>1511</v>
      </c>
      <c r="D19" s="234" t="s">
        <v>1614</v>
      </c>
      <c r="E19" s="235" t="s">
        <v>1620</v>
      </c>
      <c r="F19" s="235" t="s">
        <v>1621</v>
      </c>
      <c r="G19" s="236" t="s">
        <v>1622</v>
      </c>
      <c r="H19" s="236" t="s">
        <v>1623</v>
      </c>
      <c r="I19" s="237" t="s">
        <v>1624</v>
      </c>
      <c r="J19" s="237" t="s">
        <v>1625</v>
      </c>
      <c r="K19" s="238" t="s">
        <v>1626</v>
      </c>
      <c r="L19" s="238" t="s">
        <v>1627</v>
      </c>
      <c r="M19" s="234" t="s">
        <v>1619</v>
      </c>
    </row>
    <row r="20" ht="15.75" customHeight="1">
      <c r="A20" s="248">
        <v>1.0</v>
      </c>
      <c r="B20" s="249" t="s">
        <v>1790</v>
      </c>
      <c r="C20" s="248" t="s">
        <v>1762</v>
      </c>
      <c r="D20" s="270">
        <v>1.0</v>
      </c>
      <c r="E20" s="267"/>
      <c r="F20" s="268" t="str">
        <f t="shared" ref="F20:F21" si="5">IF(E20&lt;&gt;"",D20*E20,"")</f>
        <v/>
      </c>
      <c r="G20" s="186">
        <v>2700000.0</v>
      </c>
      <c r="H20" s="243">
        <f t="shared" ref="H20:H21" si="6">IF(G20&lt;&gt;"",D20*G20,"")</f>
        <v>2700000</v>
      </c>
      <c r="I20" s="188">
        <v>2700000.0</v>
      </c>
      <c r="J20" s="244">
        <f t="shared" ref="J20:J21" si="7">IF(I20&lt;&gt;"",D20*I20,"")</f>
        <v>2700000</v>
      </c>
      <c r="K20" s="245">
        <f t="shared" ref="K20:K22" si="8">IF(J20&lt;&gt;"",IF(H20&lt;&gt;"",J20-H20,IF(F20&lt;&gt;"",J20-F20,"")),"")</f>
        <v>0</v>
      </c>
      <c r="L20" s="246">
        <f t="shared" ref="L20:L22" si="9">IF(K20&lt;&gt;"",IF(H20&lt;&gt;"",IF(H20&lt;&gt;0,K20/H20,""),IF(F20&lt;&gt;"",IF(F20&lt;&gt;0,K20/F20,""),"")),"")</f>
        <v>0</v>
      </c>
      <c r="M20" s="252"/>
    </row>
    <row r="21" ht="15.75" customHeight="1">
      <c r="A21" s="239">
        <v>2.0</v>
      </c>
      <c r="B21" s="249" t="s">
        <v>1790</v>
      </c>
      <c r="C21" s="239" t="s">
        <v>1762</v>
      </c>
      <c r="D21" s="271">
        <v>1.0</v>
      </c>
      <c r="E21" s="267"/>
      <c r="F21" s="268" t="str">
        <f t="shared" si="5"/>
        <v/>
      </c>
      <c r="G21" s="186">
        <v>2700000.0</v>
      </c>
      <c r="H21" s="263">
        <f t="shared" si="6"/>
        <v>2700000</v>
      </c>
      <c r="I21" s="188">
        <v>2700000.0</v>
      </c>
      <c r="J21" s="244">
        <f t="shared" si="7"/>
        <v>2700000</v>
      </c>
      <c r="K21" s="245">
        <f t="shared" si="8"/>
        <v>0</v>
      </c>
      <c r="L21" s="246">
        <f t="shared" si="9"/>
        <v>0</v>
      </c>
      <c r="M21" s="247"/>
    </row>
    <row r="22" ht="15.75" customHeight="1">
      <c r="A22" s="362" t="s">
        <v>10</v>
      </c>
      <c r="B22" s="206"/>
      <c r="C22" s="206"/>
      <c r="D22" s="174"/>
      <c r="E22" s="257"/>
      <c r="F22" s="258">
        <f>SUMIF(F20:F21,"&lt;&gt;",F20:F21)</f>
        <v>0</v>
      </c>
      <c r="G22" s="259"/>
      <c r="H22" s="260">
        <f>SUMIF(H20:H21,"&lt;&gt;",H20:H21)</f>
        <v>5400000</v>
      </c>
      <c r="I22" s="265"/>
      <c r="J22" s="260">
        <f>SUMIF(J20:J21,"&lt;&gt;",J20:J21)</f>
        <v>5400000</v>
      </c>
      <c r="K22" s="261">
        <f t="shared" si="8"/>
        <v>0</v>
      </c>
      <c r="L22" s="262">
        <f t="shared" si="9"/>
        <v>0</v>
      </c>
      <c r="M22" s="257"/>
    </row>
    <row r="23" ht="15.75" customHeight="1"/>
    <row r="24" ht="15.75" customHeight="1">
      <c r="A24" s="438"/>
      <c r="C24" s="439" t="s">
        <v>1914</v>
      </c>
      <c r="D24" s="155"/>
      <c r="E24" s="155"/>
      <c r="F24" s="155"/>
      <c r="G24" s="155"/>
      <c r="H24" s="155"/>
      <c r="I24" s="155"/>
      <c r="J24" s="155"/>
      <c r="K24" s="155"/>
      <c r="L24" s="155"/>
      <c r="M24" s="438"/>
    </row>
    <row r="25" ht="15.75" customHeight="1">
      <c r="A25" s="364" t="s">
        <v>1509</v>
      </c>
      <c r="B25" s="364" t="s">
        <v>1510</v>
      </c>
      <c r="C25" s="364" t="s">
        <v>1511</v>
      </c>
      <c r="D25" s="364" t="s">
        <v>1614</v>
      </c>
      <c r="E25" s="365" t="s">
        <v>1615</v>
      </c>
      <c r="F25" s="174"/>
      <c r="G25" s="366" t="s">
        <v>1616</v>
      </c>
      <c r="H25" s="174"/>
      <c r="I25" s="367" t="s">
        <v>1617</v>
      </c>
      <c r="J25" s="174"/>
      <c r="K25" s="368" t="s">
        <v>1618</v>
      </c>
      <c r="L25" s="174"/>
      <c r="M25" s="364" t="s">
        <v>1619</v>
      </c>
    </row>
    <row r="26" ht="15.75" customHeight="1">
      <c r="A26" s="369" t="s">
        <v>1509</v>
      </c>
      <c r="B26" s="369" t="s">
        <v>1510</v>
      </c>
      <c r="C26" s="369" t="s">
        <v>1511</v>
      </c>
      <c r="D26" s="369" t="s">
        <v>1614</v>
      </c>
      <c r="E26" s="370" t="s">
        <v>1620</v>
      </c>
      <c r="F26" s="370" t="s">
        <v>1621</v>
      </c>
      <c r="G26" s="371" t="s">
        <v>1622</v>
      </c>
      <c r="H26" s="371" t="s">
        <v>1623</v>
      </c>
      <c r="I26" s="372" t="s">
        <v>1624</v>
      </c>
      <c r="J26" s="372" t="s">
        <v>1625</v>
      </c>
      <c r="K26" s="373" t="s">
        <v>1626</v>
      </c>
      <c r="L26" s="373" t="s">
        <v>1627</v>
      </c>
      <c r="M26" s="369" t="s">
        <v>1619</v>
      </c>
    </row>
    <row r="27" ht="15.75" customHeight="1">
      <c r="A27" s="374">
        <v>1.0</v>
      </c>
      <c r="B27" s="387" t="s">
        <v>1746</v>
      </c>
      <c r="C27" s="411" t="s">
        <v>2264</v>
      </c>
      <c r="D27" s="412">
        <v>3.0</v>
      </c>
      <c r="E27" s="377"/>
      <c r="F27" s="378" t="str">
        <f>IF(E27&lt;&gt;"",D27*E27,"")</f>
        <v/>
      </c>
      <c r="G27" s="379">
        <v>1125000.0</v>
      </c>
      <c r="H27" s="389">
        <f>IF(G27&lt;&gt;"",D27*G27,"")</f>
        <v>3375000</v>
      </c>
      <c r="I27" s="440">
        <v>1200000.0</v>
      </c>
      <c r="J27" s="441">
        <f>IF(I27&lt;&gt;"",D27*I27,"")</f>
        <v>3600000</v>
      </c>
      <c r="K27" s="383">
        <f t="shared" ref="K27:K28" si="10">IF(J27&lt;&gt;"",IF(H27&lt;&gt;"",J27-H27,IF(F27&lt;&gt;"",J27-F27,"")),"")</f>
        <v>225000</v>
      </c>
      <c r="L27" s="384">
        <f t="shared" ref="L27:L28" si="11">IF(K27&lt;&gt;"",IF(H27&lt;&gt;"",IF(H27&lt;&gt;0,K27/H27,""),IF(F27&lt;&gt;"",IF(F27&lt;&gt;0,K27/F27,""),"")),"")</f>
        <v>0.06666666667</v>
      </c>
      <c r="M27" s="385"/>
    </row>
    <row r="28" ht="15.75" customHeight="1">
      <c r="A28" s="442" t="s">
        <v>2265</v>
      </c>
      <c r="B28" s="206"/>
      <c r="C28" s="206"/>
      <c r="D28" s="174"/>
      <c r="E28" s="257"/>
      <c r="F28" s="392">
        <f>SUMIF(F27,"&lt;&gt;",F27)</f>
        <v>0</v>
      </c>
      <c r="G28" s="259"/>
      <c r="H28" s="443">
        <f>SUMIF(H27,"&lt;&gt;",H27)</f>
        <v>3375000</v>
      </c>
      <c r="I28" s="283"/>
      <c r="J28" s="443">
        <f>SUMIF(J27,"&lt;&gt;",J27)</f>
        <v>3600000</v>
      </c>
      <c r="K28" s="394">
        <f t="shared" si="10"/>
        <v>225000</v>
      </c>
      <c r="L28" s="395">
        <f t="shared" si="11"/>
        <v>0.06666666667</v>
      </c>
      <c r="M28" s="257"/>
    </row>
    <row r="29" ht="15.75" customHeight="1"/>
    <row r="30" ht="15.75" customHeight="1">
      <c r="A30" s="438"/>
      <c r="C30" s="439" t="s">
        <v>1963</v>
      </c>
      <c r="D30" s="155"/>
      <c r="E30" s="155"/>
      <c r="F30" s="155"/>
      <c r="G30" s="155"/>
      <c r="H30" s="155"/>
      <c r="I30" s="155"/>
      <c r="J30" s="155"/>
      <c r="K30" s="155"/>
      <c r="L30" s="155"/>
      <c r="M30" s="438"/>
    </row>
    <row r="31" ht="15.75" customHeight="1">
      <c r="A31" s="364" t="s">
        <v>1509</v>
      </c>
      <c r="B31" s="364" t="s">
        <v>1510</v>
      </c>
      <c r="C31" s="364" t="s">
        <v>1511</v>
      </c>
      <c r="D31" s="364" t="s">
        <v>1614</v>
      </c>
      <c r="E31" s="365" t="s">
        <v>1615</v>
      </c>
      <c r="F31" s="174"/>
      <c r="G31" s="366" t="s">
        <v>1616</v>
      </c>
      <c r="H31" s="174"/>
      <c r="I31" s="367" t="s">
        <v>1617</v>
      </c>
      <c r="J31" s="174"/>
      <c r="K31" s="368" t="s">
        <v>1618</v>
      </c>
      <c r="L31" s="174"/>
      <c r="M31" s="364" t="s">
        <v>1619</v>
      </c>
    </row>
    <row r="32" ht="15.75" customHeight="1">
      <c r="A32" s="369" t="s">
        <v>1509</v>
      </c>
      <c r="B32" s="369" t="s">
        <v>1510</v>
      </c>
      <c r="C32" s="369" t="s">
        <v>1511</v>
      </c>
      <c r="D32" s="369" t="s">
        <v>1614</v>
      </c>
      <c r="E32" s="370" t="s">
        <v>1620</v>
      </c>
      <c r="F32" s="370" t="s">
        <v>1621</v>
      </c>
      <c r="G32" s="371" t="s">
        <v>1622</v>
      </c>
      <c r="H32" s="371" t="s">
        <v>1623</v>
      </c>
      <c r="I32" s="372" t="s">
        <v>1624</v>
      </c>
      <c r="J32" s="372" t="s">
        <v>1625</v>
      </c>
      <c r="K32" s="373" t="s">
        <v>1626</v>
      </c>
      <c r="L32" s="373" t="s">
        <v>1627</v>
      </c>
      <c r="M32" s="369" t="s">
        <v>1619</v>
      </c>
    </row>
    <row r="33" ht="15.75" customHeight="1">
      <c r="A33" s="374">
        <v>1.0</v>
      </c>
      <c r="B33" s="387" t="s">
        <v>1746</v>
      </c>
      <c r="C33" s="411" t="s">
        <v>2264</v>
      </c>
      <c r="D33" s="412">
        <v>3.0</v>
      </c>
      <c r="E33" s="377"/>
      <c r="F33" s="378" t="str">
        <f>IF(E33&lt;&gt;"",D33*E33,"")</f>
        <v/>
      </c>
      <c r="G33" s="379">
        <v>1190000.0</v>
      </c>
      <c r="H33" s="389">
        <f>IF(G33&lt;&gt;"",D33*G33,"")</f>
        <v>3570000</v>
      </c>
      <c r="I33" s="440">
        <v>1350000.0</v>
      </c>
      <c r="J33" s="441">
        <f>IF(I33&lt;&gt;"",D33*I33,"")</f>
        <v>4050000</v>
      </c>
      <c r="K33" s="383">
        <f t="shared" ref="K33:K34" si="12">IF(J33&lt;&gt;"",IF(H33&lt;&gt;"",J33-H33,IF(F33&lt;&gt;"",J33-F33,"")),"")</f>
        <v>480000</v>
      </c>
      <c r="L33" s="384">
        <f t="shared" ref="L33:L34" si="13">IF(K33&lt;&gt;"",IF(H33&lt;&gt;"",IF(H33&lt;&gt;0,K33/H33,""),IF(F33&lt;&gt;"",IF(F33&lt;&gt;0,K33/F33,""),"")),"")</f>
        <v>0.1344537815</v>
      </c>
      <c r="M33" s="385"/>
    </row>
    <row r="34" ht="15.75" customHeight="1">
      <c r="A34" s="442" t="s">
        <v>2266</v>
      </c>
      <c r="B34" s="206"/>
      <c r="C34" s="206"/>
      <c r="D34" s="174"/>
      <c r="E34" s="257"/>
      <c r="F34" s="392">
        <f>SUMIF(F33,"&lt;&gt;",F33)</f>
        <v>0</v>
      </c>
      <c r="G34" s="259"/>
      <c r="H34" s="443">
        <f>SUMIF(H33,"&lt;&gt;",H33)</f>
        <v>3570000</v>
      </c>
      <c r="I34" s="283"/>
      <c r="J34" s="443">
        <f>SUMIF(J33,"&lt;&gt;",J33)</f>
        <v>4050000</v>
      </c>
      <c r="K34" s="394">
        <f t="shared" si="12"/>
        <v>480000</v>
      </c>
      <c r="L34" s="395">
        <f t="shared" si="13"/>
        <v>0.1344537815</v>
      </c>
      <c r="M34" s="257"/>
    </row>
    <row r="35" ht="15.75" customHeight="1"/>
    <row r="36" ht="15.75" customHeight="1">
      <c r="A36" s="273" t="s">
        <v>1970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</row>
    <row r="37" ht="15.75" customHeight="1">
      <c r="A37" s="229" t="s">
        <v>1509</v>
      </c>
      <c r="B37" s="229" t="s">
        <v>1510</v>
      </c>
      <c r="C37" s="229" t="s">
        <v>1511</v>
      </c>
      <c r="D37" s="229" t="s">
        <v>1614</v>
      </c>
      <c r="E37" s="230" t="s">
        <v>1615</v>
      </c>
      <c r="F37" s="174"/>
      <c r="G37" s="231" t="s">
        <v>1616</v>
      </c>
      <c r="H37" s="174"/>
      <c r="I37" s="232" t="s">
        <v>1617</v>
      </c>
      <c r="J37" s="174"/>
      <c r="K37" s="233" t="s">
        <v>1618</v>
      </c>
      <c r="L37" s="174"/>
      <c r="M37" s="229" t="s">
        <v>1619</v>
      </c>
    </row>
    <row r="38" ht="15.75" customHeight="1">
      <c r="A38" s="234" t="s">
        <v>1509</v>
      </c>
      <c r="B38" s="234" t="s">
        <v>1510</v>
      </c>
      <c r="C38" s="234" t="s">
        <v>1511</v>
      </c>
      <c r="D38" s="234" t="s">
        <v>1614</v>
      </c>
      <c r="E38" s="235" t="s">
        <v>1620</v>
      </c>
      <c r="F38" s="235" t="s">
        <v>1621</v>
      </c>
      <c r="G38" s="236" t="s">
        <v>1622</v>
      </c>
      <c r="H38" s="236" t="s">
        <v>1623</v>
      </c>
      <c r="I38" s="237" t="s">
        <v>1624</v>
      </c>
      <c r="J38" s="237" t="s">
        <v>1625</v>
      </c>
      <c r="K38" s="238" t="s">
        <v>1626</v>
      </c>
      <c r="L38" s="238" t="s">
        <v>1627</v>
      </c>
      <c r="M38" s="234" t="s">
        <v>1619</v>
      </c>
    </row>
    <row r="39" ht="15.75" customHeight="1">
      <c r="A39" s="248">
        <v>1.0</v>
      </c>
      <c r="B39" s="249" t="s">
        <v>1790</v>
      </c>
      <c r="C39" s="248" t="s">
        <v>1762</v>
      </c>
      <c r="D39" s="270">
        <v>1.0</v>
      </c>
      <c r="E39" s="267"/>
      <c r="F39" s="268" t="str">
        <f t="shared" ref="F39:F40" si="14">IF(E39&lt;&gt;"",D39*E39,"")</f>
        <v/>
      </c>
      <c r="G39" s="186">
        <v>2700000.0</v>
      </c>
      <c r="H39" s="243">
        <f t="shared" ref="H39:H40" si="15">IF(G39&lt;&gt;"",D39*G39,"")</f>
        <v>2700000</v>
      </c>
      <c r="I39" s="188">
        <v>2700000.0</v>
      </c>
      <c r="J39" s="244">
        <f t="shared" ref="J39:J40" si="16">IF(I39&lt;&gt;"",D39*I39,"")</f>
        <v>2700000</v>
      </c>
      <c r="K39" s="245">
        <f t="shared" ref="K39:K41" si="17">IF(J39&lt;&gt;"",IF(H39&lt;&gt;"",J39-H39,IF(F39&lt;&gt;"",J39-F39,"")),"")</f>
        <v>0</v>
      </c>
      <c r="L39" s="246">
        <f t="shared" ref="L39:L41" si="18">IF(K39&lt;&gt;"",IF(H39&lt;&gt;"",IF(H39&lt;&gt;0,K39/H39,""),IF(F39&lt;&gt;"",IF(F39&lt;&gt;0,K39/F39,""),"")),"")</f>
        <v>0</v>
      </c>
      <c r="M39" s="252"/>
    </row>
    <row r="40" ht="15.75" customHeight="1">
      <c r="A40" s="239">
        <v>2.0</v>
      </c>
      <c r="B40" s="249" t="s">
        <v>1790</v>
      </c>
      <c r="C40" s="239" t="s">
        <v>1762</v>
      </c>
      <c r="D40" s="271">
        <v>1.0</v>
      </c>
      <c r="E40" s="267"/>
      <c r="F40" s="268" t="str">
        <f t="shared" si="14"/>
        <v/>
      </c>
      <c r="G40" s="186">
        <v>2700000.0</v>
      </c>
      <c r="H40" s="263">
        <f t="shared" si="15"/>
        <v>2700000</v>
      </c>
      <c r="I40" s="188">
        <v>2700000.0</v>
      </c>
      <c r="J40" s="244">
        <f t="shared" si="16"/>
        <v>2700000</v>
      </c>
      <c r="K40" s="245">
        <f t="shared" si="17"/>
        <v>0</v>
      </c>
      <c r="L40" s="246">
        <f t="shared" si="18"/>
        <v>0</v>
      </c>
      <c r="M40" s="247"/>
    </row>
    <row r="41" ht="15.75" customHeight="1">
      <c r="A41" s="362" t="s">
        <v>10</v>
      </c>
      <c r="B41" s="206"/>
      <c r="C41" s="206"/>
      <c r="D41" s="174"/>
      <c r="E41" s="257"/>
      <c r="F41" s="258">
        <f>SUMIF(F39:F40,"&lt;&gt;",F39:F40)</f>
        <v>0</v>
      </c>
      <c r="G41" s="259"/>
      <c r="H41" s="260">
        <f>SUMIF(H39:H40,"&lt;&gt;",H39:H40)</f>
        <v>5400000</v>
      </c>
      <c r="I41" s="265"/>
      <c r="J41" s="260">
        <f>SUMIF(J39:J40,"&lt;&gt;",J39:J40)</f>
        <v>5400000</v>
      </c>
      <c r="K41" s="261">
        <f t="shared" si="17"/>
        <v>0</v>
      </c>
      <c r="L41" s="262">
        <f t="shared" si="18"/>
        <v>0</v>
      </c>
      <c r="M41" s="257"/>
    </row>
    <row r="42" ht="15.75" customHeight="1"/>
    <row r="43" ht="15.75" customHeight="1"/>
    <row r="44" ht="27.75" customHeight="1">
      <c r="A44" s="328" t="s">
        <v>2261</v>
      </c>
      <c r="B44" s="285"/>
      <c r="C44" s="285"/>
      <c r="D44" s="286"/>
      <c r="E44" s="287"/>
      <c r="F44" s="288">
        <f>F8+F14+F22+F28+F34+F41</f>
        <v>0</v>
      </c>
      <c r="G44" s="288"/>
      <c r="H44" s="288">
        <f>H8+H14+H22+H28+H34+H41</f>
        <v>24495000</v>
      </c>
      <c r="I44" s="288"/>
      <c r="J44" s="288">
        <f>J8+J14+J22+J28+J34+J41</f>
        <v>25650000</v>
      </c>
      <c r="K44" s="289">
        <f>IF(J44&lt;&gt;"",IF(H44&lt;&gt;0,J44-H44,J44-F44),"")</f>
        <v>1155000</v>
      </c>
      <c r="L44" s="290">
        <f>IF(K44&lt;&gt;"",IF(H44&lt;&gt;0,K44/H44,IF(F44&lt;&gt;0,K44/F44,"")),"")</f>
        <v>0.0471524801</v>
      </c>
      <c r="M44" s="28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3">
    <mergeCell ref="A1:M1"/>
    <mergeCell ref="A2:M2"/>
    <mergeCell ref="A3:M3"/>
    <mergeCell ref="A4:M4"/>
    <mergeCell ref="G5:H5"/>
    <mergeCell ref="I5:J5"/>
    <mergeCell ref="K5:L5"/>
    <mergeCell ref="E5:F5"/>
    <mergeCell ref="A8:D8"/>
    <mergeCell ref="C10:L10"/>
    <mergeCell ref="E11:F11"/>
    <mergeCell ref="G11:H11"/>
    <mergeCell ref="I11:J11"/>
    <mergeCell ref="K11:L11"/>
    <mergeCell ref="A10:B10"/>
    <mergeCell ref="A14:D14"/>
    <mergeCell ref="A17:M17"/>
    <mergeCell ref="E18:F18"/>
    <mergeCell ref="G18:H18"/>
    <mergeCell ref="I18:J18"/>
    <mergeCell ref="K18:L18"/>
    <mergeCell ref="A22:D22"/>
    <mergeCell ref="A24:B24"/>
    <mergeCell ref="C24:L24"/>
    <mergeCell ref="E25:F25"/>
    <mergeCell ref="G25:H25"/>
    <mergeCell ref="I25:J25"/>
    <mergeCell ref="K25:L25"/>
    <mergeCell ref="A34:D34"/>
    <mergeCell ref="A36:M36"/>
    <mergeCell ref="E37:F37"/>
    <mergeCell ref="G37:H37"/>
    <mergeCell ref="I37:J37"/>
    <mergeCell ref="K37:L37"/>
    <mergeCell ref="A41:D41"/>
    <mergeCell ref="A44:D44"/>
    <mergeCell ref="A28:D28"/>
    <mergeCell ref="A30:B30"/>
    <mergeCell ref="C30:L30"/>
    <mergeCell ref="E31:F31"/>
    <mergeCell ref="G31:H31"/>
    <mergeCell ref="I31:J31"/>
    <mergeCell ref="K31:L31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5" width="22.0"/>
    <col customWidth="1" min="6" max="7" width="8.71"/>
    <col customWidth="1" min="8" max="8" width="10.14"/>
    <col customWidth="1" min="9" max="10" width="15.57"/>
    <col customWidth="1" min="11" max="11" width="14.0"/>
    <col customWidth="1" min="12" max="12" width="7.71"/>
    <col customWidth="1" min="13" max="13" width="15.14"/>
    <col customWidth="1" min="14" max="14" width="15.0"/>
    <col customWidth="1" min="15" max="26" width="8.71"/>
  </cols>
  <sheetData>
    <row r="1" ht="30.0" customHeight="1">
      <c r="A1" s="444" t="s">
        <v>2267</v>
      </c>
      <c r="B1" s="155"/>
      <c r="C1" s="155"/>
      <c r="D1" s="155"/>
      <c r="E1" s="156"/>
      <c r="M1" s="40"/>
      <c r="N1" s="40"/>
    </row>
    <row r="2" ht="24.0" customHeight="1">
      <c r="A2" s="445" t="s">
        <v>2268</v>
      </c>
      <c r="B2" s="445" t="s">
        <v>2269</v>
      </c>
      <c r="C2" s="445" t="s">
        <v>2270</v>
      </c>
      <c r="D2" s="445" t="s">
        <v>1514</v>
      </c>
      <c r="E2" s="445" t="s">
        <v>1515</v>
      </c>
      <c r="I2" s="39" t="s">
        <v>2271</v>
      </c>
      <c r="J2" s="39" t="s">
        <v>2272</v>
      </c>
      <c r="K2" s="39" t="s">
        <v>2273</v>
      </c>
      <c r="M2" s="40"/>
      <c r="N2" s="40"/>
    </row>
    <row r="3" ht="21.75" customHeight="1">
      <c r="A3" s="446" t="s">
        <v>2274</v>
      </c>
      <c r="B3" s="447">
        <f>'Invoice B01'!H332</f>
        <v>390416900</v>
      </c>
      <c r="C3" s="447">
        <f>'Invoice B01'!J332</f>
        <v>431120200</v>
      </c>
      <c r="D3" s="448">
        <f>'Invoice B01'!K332</f>
        <v>40703300</v>
      </c>
      <c r="E3" s="449">
        <f>'Invoice B01'!L332</f>
        <v>0.1042559889</v>
      </c>
      <c r="H3" s="39" t="s">
        <v>2275</v>
      </c>
      <c r="I3" s="40">
        <f t="shared" ref="I3:K3" si="1">SUM(B3:B4)</f>
        <v>443868500</v>
      </c>
      <c r="J3" s="40">
        <f t="shared" si="1"/>
        <v>493817700</v>
      </c>
      <c r="K3" s="40">
        <f t="shared" si="1"/>
        <v>49753800</v>
      </c>
      <c r="L3" s="39" t="s">
        <v>17</v>
      </c>
      <c r="M3" s="38"/>
      <c r="N3" s="40"/>
    </row>
    <row r="4" ht="21.75" customHeight="1">
      <c r="A4" s="446" t="s">
        <v>2276</v>
      </c>
      <c r="B4" s="447">
        <f>'Invoice OPS B01'!H110</f>
        <v>53451600</v>
      </c>
      <c r="C4" s="447">
        <f>'Invoice OPS B01'!J110</f>
        <v>62697500</v>
      </c>
      <c r="D4" s="448">
        <f>'Invoice OPS B01'!K110</f>
        <v>9050500</v>
      </c>
      <c r="E4" s="449">
        <f>'Invoice OPS B01'!L110</f>
        <v>0.1693214048</v>
      </c>
      <c r="H4" s="39" t="s">
        <v>2277</v>
      </c>
      <c r="I4" s="40">
        <f t="shared" ref="I4:K4" si="2">SUM(B5:B6)</f>
        <v>267149840.1</v>
      </c>
      <c r="J4" s="40">
        <f t="shared" si="2"/>
        <v>296716950</v>
      </c>
      <c r="K4" s="40">
        <f t="shared" si="2"/>
        <v>29567109.9</v>
      </c>
      <c r="L4" s="39" t="s">
        <v>17</v>
      </c>
      <c r="M4" s="38"/>
      <c r="N4" s="40"/>
    </row>
    <row r="5" ht="21.75" customHeight="1">
      <c r="A5" s="450" t="s">
        <v>2278</v>
      </c>
      <c r="B5" s="451">
        <f>'Invoice B02'!H383</f>
        <v>221070040.1</v>
      </c>
      <c r="C5" s="451">
        <f>'Invoice B02'!J383</f>
        <v>244794200</v>
      </c>
      <c r="D5" s="448">
        <f>'Invoice B02'!K383</f>
        <v>23724159.9</v>
      </c>
      <c r="E5" s="452">
        <f>'Invoice B02'!L383</f>
        <v>0.1073151291</v>
      </c>
      <c r="H5" s="39" t="s">
        <v>2279</v>
      </c>
      <c r="I5" s="40">
        <f t="shared" ref="I5:K5" si="3">SUM(B7:B8)</f>
        <v>303404416</v>
      </c>
      <c r="J5" s="141">
        <f t="shared" si="3"/>
        <v>349289849.8</v>
      </c>
      <c r="K5" s="40">
        <f t="shared" si="3"/>
        <v>45885433.75</v>
      </c>
      <c r="L5" s="39" t="s">
        <v>17</v>
      </c>
      <c r="M5" s="38">
        <v>3.4922985E8</v>
      </c>
      <c r="N5" s="40">
        <f t="shared" ref="N5:N6" si="5">M5-J5</f>
        <v>-59999.75</v>
      </c>
    </row>
    <row r="6" ht="21.75" customHeight="1">
      <c r="A6" s="450" t="s">
        <v>2280</v>
      </c>
      <c r="B6" s="451">
        <f>'Invoice OPS B02'!H170</f>
        <v>46079800</v>
      </c>
      <c r="C6" s="451">
        <f>'Invoice OPS B02'!J170</f>
        <v>51922750</v>
      </c>
      <c r="D6" s="448">
        <f>'Invoice OPS B02'!K170</f>
        <v>5842950</v>
      </c>
      <c r="E6" s="452">
        <f>'Invoice OPS B02'!L170</f>
        <v>0.1268006806</v>
      </c>
      <c r="H6" s="39" t="s">
        <v>2281</v>
      </c>
      <c r="I6" s="40">
        <f t="shared" ref="I6:K6" si="4">SUM(B9:B10)</f>
        <v>262945325</v>
      </c>
      <c r="J6" s="40">
        <f t="shared" si="4"/>
        <v>303890065</v>
      </c>
      <c r="K6" s="40">
        <f t="shared" si="4"/>
        <v>40944739.97</v>
      </c>
      <c r="L6" s="39" t="s">
        <v>17</v>
      </c>
      <c r="M6" s="38">
        <v>3.03630065E8</v>
      </c>
      <c r="N6" s="40">
        <f t="shared" si="5"/>
        <v>-260000</v>
      </c>
    </row>
    <row r="7" ht="21.75" customHeight="1">
      <c r="A7" s="446" t="s">
        <v>2282</v>
      </c>
      <c r="B7" s="447">
        <f>'Invoice Wer'!H414</f>
        <v>267983516</v>
      </c>
      <c r="C7" s="447">
        <f>'Invoice Wer'!J414</f>
        <v>309303349.8</v>
      </c>
      <c r="D7" s="448">
        <f>'Invoice Wer'!K414</f>
        <v>41319833.75</v>
      </c>
      <c r="E7" s="449">
        <f>'Invoice Wer'!L414</f>
        <v>0.1541879679</v>
      </c>
      <c r="H7" s="39" t="s">
        <v>2283</v>
      </c>
      <c r="I7" s="40">
        <f t="shared" ref="I7:K7" si="6">SUM(B11:B12)</f>
        <v>284574423</v>
      </c>
      <c r="J7" s="40">
        <f t="shared" si="6"/>
        <v>317584000</v>
      </c>
      <c r="K7" s="40">
        <f t="shared" si="6"/>
        <v>33009577</v>
      </c>
      <c r="L7" s="39" t="s">
        <v>17</v>
      </c>
      <c r="M7" s="38"/>
      <c r="N7" s="40"/>
    </row>
    <row r="8" ht="21.75" customHeight="1">
      <c r="A8" s="446" t="s">
        <v>2284</v>
      </c>
      <c r="B8" s="447">
        <f>'Invoice OPS Wer'!H137</f>
        <v>35420900</v>
      </c>
      <c r="C8" s="447">
        <f>'Invoice OPS Wer'!J137</f>
        <v>39986500</v>
      </c>
      <c r="D8" s="448">
        <f>'Invoice OPS Wer'!K137</f>
        <v>4565600</v>
      </c>
      <c r="E8" s="449">
        <f>'Invoice OPS Wer'!L137</f>
        <v>0.128895652</v>
      </c>
      <c r="H8" s="39" t="s">
        <v>2285</v>
      </c>
      <c r="I8" s="40">
        <f t="shared" ref="I8:K8" si="7">SUM(B13:B14)</f>
        <v>269655350.6</v>
      </c>
      <c r="J8" s="40">
        <f t="shared" si="7"/>
        <v>298629510</v>
      </c>
      <c r="K8" s="40">
        <f t="shared" si="7"/>
        <v>28974159.4</v>
      </c>
      <c r="L8" s="39" t="s">
        <v>17</v>
      </c>
      <c r="M8" s="38">
        <v>2.9862841E8</v>
      </c>
      <c r="N8" s="40">
        <f>M8-J8</f>
        <v>-1100</v>
      </c>
    </row>
    <row r="9" ht="21.75" customHeight="1">
      <c r="A9" s="450" t="s">
        <v>2286</v>
      </c>
      <c r="B9" s="451">
        <f>'Invoice Bin'!H366</f>
        <v>218926375</v>
      </c>
      <c r="C9" s="451">
        <f>'Invoice Bin'!J366</f>
        <v>254105065</v>
      </c>
      <c r="D9" s="448">
        <f>'Invoice Bin'!K366</f>
        <v>35178689.97</v>
      </c>
      <c r="E9" s="452">
        <f>'Invoice Bin'!L366</f>
        <v>0.1606873085</v>
      </c>
      <c r="H9" s="39" t="s">
        <v>11</v>
      </c>
      <c r="I9" s="40">
        <f t="shared" ref="I9:K9" si="8">SUM(I3:I8)</f>
        <v>1831597855</v>
      </c>
      <c r="J9" s="40">
        <f t="shared" si="8"/>
        <v>2059928075</v>
      </c>
      <c r="K9" s="40">
        <f t="shared" si="8"/>
        <v>228134820</v>
      </c>
      <c r="N9" s="40"/>
    </row>
    <row r="10" ht="21.75" customHeight="1">
      <c r="A10" s="450" t="s">
        <v>2287</v>
      </c>
      <c r="B10" s="451">
        <f>'Invoice OPS Bin'!H187</f>
        <v>44018950</v>
      </c>
      <c r="C10" s="451">
        <f>'Invoice OPS Bin'!J187</f>
        <v>49785000</v>
      </c>
      <c r="D10" s="448">
        <f>'Invoice OPS Bin'!K187</f>
        <v>5766050</v>
      </c>
      <c r="E10" s="452">
        <f>'Invoice OPS Bin'!L187</f>
        <v>0.1309901758</v>
      </c>
      <c r="J10" s="39">
        <v>2.059606975E9</v>
      </c>
      <c r="M10" s="40"/>
      <c r="N10" s="40"/>
    </row>
    <row r="11" ht="21.75" customHeight="1">
      <c r="A11" s="446" t="s">
        <v>2288</v>
      </c>
      <c r="B11" s="447">
        <f>'Invoice Teg'!H384</f>
        <v>241636073</v>
      </c>
      <c r="C11" s="447">
        <f>'Invoice Teg'!J384</f>
        <v>269813000</v>
      </c>
      <c r="D11" s="448">
        <f>'Invoice Teg'!K384</f>
        <v>28176927</v>
      </c>
      <c r="E11" s="449">
        <f>'Invoice Teg'!L384</f>
        <v>0.1166089427</v>
      </c>
      <c r="J11" s="40">
        <f>J9-J10</f>
        <v>321099.75</v>
      </c>
      <c r="M11" s="40"/>
      <c r="N11" s="40"/>
    </row>
    <row r="12" ht="21.75" customHeight="1">
      <c r="A12" s="453" t="s">
        <v>2289</v>
      </c>
      <c r="B12" s="454">
        <f>'Invoice OPS Teg'!H160</f>
        <v>42938350</v>
      </c>
      <c r="C12" s="454">
        <f>'Invoice OPS Teg'!J160</f>
        <v>47771000</v>
      </c>
      <c r="D12" s="455">
        <f>'Invoice OPS Teg'!K160</f>
        <v>4832650</v>
      </c>
      <c r="E12" s="456">
        <f>'Invoice OPS Teg'!L160</f>
        <v>0.1125485725</v>
      </c>
      <c r="M12" s="40"/>
      <c r="N12" s="40"/>
    </row>
    <row r="13" ht="21.75" customHeight="1">
      <c r="A13" s="450" t="s">
        <v>2290</v>
      </c>
      <c r="B13" s="451">
        <f>'Invoice Kal'!H420</f>
        <v>245160350.6</v>
      </c>
      <c r="C13" s="451">
        <f>'Invoice Kal'!J420</f>
        <v>272979510</v>
      </c>
      <c r="D13" s="448">
        <f>'Invoice Kal'!K420</f>
        <v>27819159.4</v>
      </c>
      <c r="E13" s="452">
        <f>'Invoice Kal'!L420</f>
        <v>0.113473322</v>
      </c>
      <c r="M13" s="40"/>
      <c r="N13" s="40"/>
    </row>
    <row r="14" ht="21.75" customHeight="1">
      <c r="A14" s="450" t="s">
        <v>2291</v>
      </c>
      <c r="B14" s="451">
        <f>'Invoice OPS Kal'!H44</f>
        <v>24495000</v>
      </c>
      <c r="C14" s="451">
        <f>'Invoice OPS Kal'!J44</f>
        <v>25650000</v>
      </c>
      <c r="D14" s="448">
        <f>'Invoice OPS Kal'!K44</f>
        <v>1155000</v>
      </c>
      <c r="E14" s="452">
        <f>'Invoice OPS Kal'!L44</f>
        <v>0.0471524801</v>
      </c>
      <c r="M14" s="40"/>
      <c r="N14" s="40"/>
    </row>
    <row r="15" ht="27.75" customHeight="1">
      <c r="A15" s="457" t="s">
        <v>2292</v>
      </c>
      <c r="B15" s="458">
        <f t="shared" ref="B15:D15" si="9">SUM(B3:B14)</f>
        <v>1831597855</v>
      </c>
      <c r="C15" s="458">
        <f t="shared" si="9"/>
        <v>2059928075</v>
      </c>
      <c r="D15" s="458">
        <f t="shared" si="9"/>
        <v>228134820</v>
      </c>
      <c r="E15" s="290">
        <f>(C15-B15)/C15</f>
        <v>0.1108437828</v>
      </c>
      <c r="G15" s="459"/>
      <c r="M15" s="40"/>
      <c r="N15" s="40"/>
    </row>
    <row r="16">
      <c r="M16" s="40"/>
      <c r="N16" s="40"/>
    </row>
    <row r="17">
      <c r="M17" s="40"/>
      <c r="N17" s="40"/>
    </row>
    <row r="18">
      <c r="M18" s="40"/>
      <c r="N18" s="40"/>
    </row>
    <row r="19">
      <c r="M19" s="40"/>
      <c r="N19" s="40"/>
    </row>
    <row r="20">
      <c r="M20" s="40"/>
      <c r="N20" s="40"/>
    </row>
    <row r="21">
      <c r="M21" s="40"/>
      <c r="N21" s="40"/>
    </row>
    <row r="22">
      <c r="M22" s="40"/>
      <c r="N22" s="40"/>
    </row>
    <row r="23">
      <c r="M23" s="40"/>
      <c r="N23" s="40"/>
    </row>
    <row r="24">
      <c r="M24" s="40"/>
      <c r="N24" s="40"/>
    </row>
    <row r="25">
      <c r="M25" s="40"/>
      <c r="N25" s="40"/>
    </row>
    <row r="26">
      <c r="M26" s="40"/>
      <c r="N26" s="40"/>
    </row>
    <row r="27">
      <c r="M27" s="40"/>
      <c r="N27" s="40"/>
    </row>
    <row r="28" ht="15.75" customHeight="1">
      <c r="M28" s="40"/>
      <c r="N28" s="40"/>
    </row>
    <row r="29" ht="15.75" customHeight="1">
      <c r="M29" s="40"/>
      <c r="N29" s="40"/>
    </row>
    <row r="30" ht="15.75" customHeight="1">
      <c r="M30" s="40"/>
      <c r="N30" s="40"/>
    </row>
    <row r="31" ht="15.75" customHeight="1">
      <c r="M31" s="40"/>
      <c r="N31" s="40"/>
    </row>
    <row r="32" ht="15.75" customHeight="1">
      <c r="M32" s="40"/>
      <c r="N32" s="40"/>
    </row>
    <row r="33" ht="15.75" customHeight="1">
      <c r="M33" s="40"/>
      <c r="N33" s="40"/>
    </row>
    <row r="34" ht="15.75" customHeight="1">
      <c r="M34" s="40"/>
      <c r="N34" s="40"/>
    </row>
    <row r="35" ht="15.75" customHeight="1">
      <c r="M35" s="40"/>
      <c r="N35" s="40"/>
    </row>
    <row r="36" ht="15.75" customHeight="1">
      <c r="M36" s="40"/>
      <c r="N36" s="40"/>
    </row>
    <row r="37" ht="15.75" customHeight="1">
      <c r="M37" s="40"/>
      <c r="N37" s="40"/>
    </row>
    <row r="38" ht="15.75" customHeight="1">
      <c r="M38" s="40"/>
      <c r="N38" s="40"/>
    </row>
    <row r="39" ht="15.75" customHeight="1">
      <c r="M39" s="40"/>
      <c r="N39" s="40"/>
    </row>
    <row r="40" ht="15.75" customHeight="1">
      <c r="M40" s="40"/>
      <c r="N40" s="40"/>
    </row>
    <row r="41" ht="15.75" customHeight="1">
      <c r="M41" s="40"/>
      <c r="N41" s="40"/>
    </row>
    <row r="42" ht="15.75" customHeight="1">
      <c r="M42" s="40"/>
      <c r="N42" s="40"/>
    </row>
    <row r="43" ht="15.75" customHeight="1">
      <c r="M43" s="40"/>
      <c r="N43" s="40"/>
    </row>
    <row r="44" ht="15.75" customHeight="1">
      <c r="M44" s="40"/>
      <c r="N44" s="40"/>
    </row>
    <row r="45" ht="15.75" customHeight="1">
      <c r="M45" s="40"/>
      <c r="N45" s="40"/>
    </row>
    <row r="46" ht="15.75" customHeight="1">
      <c r="M46" s="40"/>
      <c r="N46" s="40"/>
    </row>
    <row r="47" ht="15.75" customHeight="1">
      <c r="M47" s="40"/>
      <c r="N47" s="40"/>
    </row>
    <row r="48" ht="15.75" customHeight="1">
      <c r="M48" s="40"/>
      <c r="N48" s="40"/>
    </row>
    <row r="49" ht="15.75" customHeight="1">
      <c r="M49" s="40"/>
      <c r="N49" s="40"/>
    </row>
    <row r="50" ht="15.75" customHeight="1">
      <c r="M50" s="40"/>
      <c r="N50" s="40"/>
    </row>
    <row r="51" ht="15.75" customHeight="1">
      <c r="M51" s="40"/>
      <c r="N51" s="40"/>
    </row>
    <row r="52" ht="15.75" customHeight="1">
      <c r="M52" s="40"/>
      <c r="N52" s="40"/>
    </row>
    <row r="53" ht="15.75" customHeight="1">
      <c r="M53" s="40"/>
      <c r="N53" s="40"/>
    </row>
    <row r="54" ht="15.75" customHeight="1">
      <c r="M54" s="40"/>
      <c r="N54" s="40"/>
    </row>
    <row r="55" ht="15.75" customHeight="1">
      <c r="M55" s="40"/>
      <c r="N55" s="40"/>
    </row>
    <row r="56" ht="15.75" customHeight="1">
      <c r="M56" s="40"/>
      <c r="N56" s="40"/>
    </row>
    <row r="57" ht="15.75" customHeight="1">
      <c r="M57" s="40"/>
      <c r="N57" s="40"/>
    </row>
    <row r="58" ht="15.75" customHeight="1">
      <c r="M58" s="40"/>
      <c r="N58" s="40"/>
    </row>
    <row r="59" ht="15.75" customHeight="1">
      <c r="M59" s="40"/>
      <c r="N59" s="40"/>
    </row>
    <row r="60" ht="15.75" customHeight="1">
      <c r="M60" s="40"/>
      <c r="N60" s="40"/>
    </row>
    <row r="61" ht="15.75" customHeight="1">
      <c r="M61" s="40"/>
      <c r="N61" s="40"/>
    </row>
    <row r="62" ht="15.75" customHeight="1">
      <c r="M62" s="40"/>
      <c r="N62" s="40"/>
    </row>
    <row r="63" ht="15.75" customHeight="1">
      <c r="M63" s="40"/>
      <c r="N63" s="40"/>
    </row>
    <row r="64" ht="15.75" customHeight="1">
      <c r="M64" s="40"/>
      <c r="N64" s="40"/>
    </row>
    <row r="65" ht="15.75" customHeight="1">
      <c r="M65" s="40"/>
      <c r="N65" s="40"/>
    </row>
    <row r="66" ht="15.75" customHeight="1">
      <c r="M66" s="40"/>
      <c r="N66" s="40"/>
    </row>
    <row r="67" ht="15.75" customHeight="1">
      <c r="M67" s="40"/>
      <c r="N67" s="40"/>
    </row>
    <row r="68" ht="15.75" customHeight="1">
      <c r="M68" s="40"/>
      <c r="N68" s="40"/>
    </row>
    <row r="69" ht="15.75" customHeight="1">
      <c r="M69" s="40"/>
      <c r="N69" s="40"/>
    </row>
    <row r="70" ht="15.75" customHeight="1">
      <c r="M70" s="40"/>
      <c r="N70" s="40"/>
    </row>
    <row r="71" ht="15.75" customHeight="1">
      <c r="M71" s="40"/>
      <c r="N71" s="40"/>
    </row>
    <row r="72" ht="15.75" customHeight="1">
      <c r="M72" s="40"/>
      <c r="N72" s="40"/>
    </row>
    <row r="73" ht="15.75" customHeight="1">
      <c r="M73" s="40"/>
      <c r="N73" s="40"/>
    </row>
    <row r="74" ht="15.75" customHeight="1">
      <c r="M74" s="40"/>
      <c r="N74" s="40"/>
    </row>
    <row r="75" ht="15.75" customHeight="1">
      <c r="M75" s="40"/>
      <c r="N75" s="40"/>
    </row>
    <row r="76" ht="15.75" customHeight="1">
      <c r="M76" s="40"/>
      <c r="N76" s="40"/>
    </row>
    <row r="77" ht="15.75" customHeight="1">
      <c r="M77" s="40"/>
      <c r="N77" s="40"/>
    </row>
    <row r="78" ht="15.75" customHeight="1">
      <c r="M78" s="40"/>
      <c r="N78" s="40"/>
    </row>
    <row r="79" ht="15.75" customHeight="1">
      <c r="M79" s="40"/>
      <c r="N79" s="40"/>
    </row>
    <row r="80" ht="15.75" customHeight="1">
      <c r="M80" s="40"/>
      <c r="N80" s="40"/>
    </row>
    <row r="81" ht="15.75" customHeight="1">
      <c r="M81" s="40"/>
      <c r="N81" s="40"/>
    </row>
    <row r="82" ht="15.75" customHeight="1">
      <c r="M82" s="40"/>
      <c r="N82" s="40"/>
    </row>
    <row r="83" ht="15.75" customHeight="1">
      <c r="M83" s="40"/>
      <c r="N83" s="40"/>
    </row>
    <row r="84" ht="15.75" customHeight="1">
      <c r="M84" s="40"/>
      <c r="N84" s="40"/>
    </row>
    <row r="85" ht="15.75" customHeight="1">
      <c r="M85" s="40"/>
      <c r="N85" s="40"/>
    </row>
    <row r="86" ht="15.75" customHeight="1">
      <c r="M86" s="40"/>
      <c r="N86" s="40"/>
    </row>
    <row r="87" ht="15.75" customHeight="1">
      <c r="M87" s="40"/>
      <c r="N87" s="40"/>
    </row>
    <row r="88" ht="15.75" customHeight="1">
      <c r="M88" s="40"/>
      <c r="N88" s="40"/>
    </row>
    <row r="89" ht="15.75" customHeight="1">
      <c r="M89" s="40"/>
      <c r="N89" s="40"/>
    </row>
    <row r="90" ht="15.75" customHeight="1">
      <c r="M90" s="40"/>
      <c r="N90" s="40"/>
    </row>
    <row r="91" ht="15.75" customHeight="1">
      <c r="M91" s="40"/>
      <c r="N91" s="40"/>
    </row>
    <row r="92" ht="15.75" customHeight="1">
      <c r="M92" s="40"/>
      <c r="N92" s="40"/>
    </row>
    <row r="93" ht="15.75" customHeight="1">
      <c r="M93" s="40"/>
      <c r="N93" s="40"/>
    </row>
    <row r="94" ht="15.75" customHeight="1">
      <c r="M94" s="40"/>
      <c r="N94" s="40"/>
    </row>
    <row r="95" ht="15.75" customHeight="1">
      <c r="M95" s="40"/>
      <c r="N95" s="40"/>
    </row>
    <row r="96" ht="15.75" customHeight="1">
      <c r="M96" s="40"/>
      <c r="N96" s="40"/>
    </row>
    <row r="97" ht="15.75" customHeight="1">
      <c r="M97" s="40"/>
      <c r="N97" s="40"/>
    </row>
    <row r="98" ht="15.75" customHeight="1">
      <c r="M98" s="40"/>
      <c r="N98" s="40"/>
    </row>
    <row r="99" ht="15.75" customHeight="1">
      <c r="M99" s="40"/>
      <c r="N99" s="40"/>
    </row>
    <row r="100" ht="15.75" customHeight="1">
      <c r="M100" s="40"/>
      <c r="N100" s="40"/>
    </row>
    <row r="101" ht="15.75" customHeight="1">
      <c r="M101" s="40"/>
      <c r="N101" s="40"/>
    </row>
    <row r="102" ht="15.75" customHeight="1">
      <c r="M102" s="40"/>
      <c r="N102" s="40"/>
    </row>
    <row r="103" ht="15.75" customHeight="1">
      <c r="M103" s="40"/>
      <c r="N103" s="40"/>
    </row>
    <row r="104" ht="15.75" customHeight="1">
      <c r="M104" s="40"/>
      <c r="N104" s="40"/>
    </row>
    <row r="105" ht="15.75" customHeight="1">
      <c r="M105" s="40"/>
      <c r="N105" s="40"/>
    </row>
    <row r="106" ht="15.75" customHeight="1">
      <c r="M106" s="40"/>
      <c r="N106" s="40"/>
    </row>
    <row r="107" ht="15.75" customHeight="1">
      <c r="M107" s="40"/>
      <c r="N107" s="40"/>
    </row>
    <row r="108" ht="15.75" customHeight="1">
      <c r="M108" s="40"/>
      <c r="N108" s="40"/>
    </row>
    <row r="109" ht="15.75" customHeight="1">
      <c r="M109" s="40"/>
      <c r="N109" s="40"/>
    </row>
    <row r="110" ht="15.75" customHeight="1">
      <c r="M110" s="40"/>
      <c r="N110" s="40"/>
    </row>
    <row r="111" ht="15.75" customHeight="1">
      <c r="M111" s="40"/>
      <c r="N111" s="40"/>
    </row>
    <row r="112" ht="15.75" customHeight="1">
      <c r="M112" s="40"/>
      <c r="N112" s="40"/>
    </row>
    <row r="113" ht="15.75" customHeight="1">
      <c r="M113" s="40"/>
      <c r="N113" s="40"/>
    </row>
    <row r="114" ht="15.75" customHeight="1">
      <c r="M114" s="40"/>
      <c r="N114" s="40"/>
    </row>
    <row r="115" ht="15.75" customHeight="1">
      <c r="M115" s="40"/>
      <c r="N115" s="40"/>
    </row>
    <row r="116" ht="15.75" customHeight="1">
      <c r="M116" s="40"/>
      <c r="N116" s="40"/>
    </row>
    <row r="117" ht="15.75" customHeight="1">
      <c r="M117" s="40"/>
      <c r="N117" s="40"/>
    </row>
    <row r="118" ht="15.75" customHeight="1">
      <c r="M118" s="40"/>
      <c r="N118" s="40"/>
    </row>
    <row r="119" ht="15.75" customHeight="1">
      <c r="M119" s="40"/>
      <c r="N119" s="40"/>
    </row>
    <row r="120" ht="15.75" customHeight="1">
      <c r="M120" s="40"/>
      <c r="N120" s="40"/>
    </row>
    <row r="121" ht="15.75" customHeight="1">
      <c r="M121" s="40"/>
      <c r="N121" s="40"/>
    </row>
    <row r="122" ht="15.75" customHeight="1">
      <c r="M122" s="40"/>
      <c r="N122" s="40"/>
    </row>
    <row r="123" ht="15.75" customHeight="1">
      <c r="M123" s="40"/>
      <c r="N123" s="40"/>
    </row>
    <row r="124" ht="15.75" customHeight="1">
      <c r="M124" s="40"/>
      <c r="N124" s="40"/>
    </row>
    <row r="125" ht="15.75" customHeight="1">
      <c r="M125" s="40"/>
      <c r="N125" s="40"/>
    </row>
    <row r="126" ht="15.75" customHeight="1">
      <c r="M126" s="40"/>
      <c r="N126" s="40"/>
    </row>
    <row r="127" ht="15.75" customHeight="1">
      <c r="M127" s="40"/>
      <c r="N127" s="40"/>
    </row>
    <row r="128" ht="15.75" customHeight="1">
      <c r="M128" s="40"/>
      <c r="N128" s="40"/>
    </row>
    <row r="129" ht="15.75" customHeight="1">
      <c r="M129" s="40"/>
      <c r="N129" s="40"/>
    </row>
    <row r="130" ht="15.75" customHeight="1">
      <c r="M130" s="40"/>
      <c r="N130" s="40"/>
    </row>
    <row r="131" ht="15.75" customHeight="1">
      <c r="M131" s="40"/>
      <c r="N131" s="40"/>
    </row>
    <row r="132" ht="15.75" customHeight="1">
      <c r="M132" s="40"/>
      <c r="N132" s="40"/>
    </row>
    <row r="133" ht="15.75" customHeight="1">
      <c r="M133" s="40"/>
      <c r="N133" s="40"/>
    </row>
    <row r="134" ht="15.75" customHeight="1">
      <c r="M134" s="40"/>
      <c r="N134" s="40"/>
    </row>
    <row r="135" ht="15.75" customHeight="1">
      <c r="M135" s="40"/>
      <c r="N135" s="40"/>
    </row>
    <row r="136" ht="15.75" customHeight="1">
      <c r="M136" s="40"/>
      <c r="N136" s="40"/>
    </row>
    <row r="137" ht="15.75" customHeight="1">
      <c r="M137" s="40"/>
      <c r="N137" s="40"/>
    </row>
    <row r="138" ht="15.75" customHeight="1">
      <c r="M138" s="40"/>
      <c r="N138" s="40"/>
    </row>
    <row r="139" ht="15.75" customHeight="1">
      <c r="M139" s="40"/>
      <c r="N139" s="40"/>
    </row>
    <row r="140" ht="15.75" customHeight="1">
      <c r="M140" s="40"/>
      <c r="N140" s="40"/>
    </row>
    <row r="141" ht="15.75" customHeight="1">
      <c r="M141" s="40"/>
      <c r="N141" s="40"/>
    </row>
    <row r="142" ht="15.75" customHeight="1">
      <c r="M142" s="40"/>
      <c r="N142" s="40"/>
    </row>
    <row r="143" ht="15.75" customHeight="1">
      <c r="M143" s="40"/>
      <c r="N143" s="40"/>
    </row>
    <row r="144" ht="15.75" customHeight="1">
      <c r="M144" s="40"/>
      <c r="N144" s="40"/>
    </row>
    <row r="145" ht="15.75" customHeight="1">
      <c r="M145" s="40"/>
      <c r="N145" s="40"/>
    </row>
    <row r="146" ht="15.75" customHeight="1">
      <c r="M146" s="40"/>
      <c r="N146" s="40"/>
    </row>
    <row r="147" ht="15.75" customHeight="1">
      <c r="M147" s="40"/>
      <c r="N147" s="40"/>
    </row>
    <row r="148" ht="15.75" customHeight="1">
      <c r="M148" s="40"/>
      <c r="N148" s="40"/>
    </row>
    <row r="149" ht="15.75" customHeight="1">
      <c r="M149" s="40"/>
      <c r="N149" s="40"/>
    </row>
    <row r="150" ht="15.75" customHeight="1">
      <c r="M150" s="40"/>
      <c r="N150" s="40"/>
    </row>
    <row r="151" ht="15.75" customHeight="1">
      <c r="M151" s="40"/>
      <c r="N151" s="40"/>
    </row>
    <row r="152" ht="15.75" customHeight="1">
      <c r="M152" s="40"/>
      <c r="N152" s="40"/>
    </row>
    <row r="153" ht="15.75" customHeight="1">
      <c r="M153" s="40"/>
      <c r="N153" s="40"/>
    </row>
    <row r="154" ht="15.75" customHeight="1">
      <c r="M154" s="40"/>
      <c r="N154" s="40"/>
    </row>
    <row r="155" ht="15.75" customHeight="1">
      <c r="M155" s="40"/>
      <c r="N155" s="40"/>
    </row>
    <row r="156" ht="15.75" customHeight="1">
      <c r="M156" s="40"/>
      <c r="N156" s="40"/>
    </row>
    <row r="157" ht="15.75" customHeight="1">
      <c r="M157" s="40"/>
      <c r="N157" s="40"/>
    </row>
    <row r="158" ht="15.75" customHeight="1">
      <c r="M158" s="40"/>
      <c r="N158" s="40"/>
    </row>
    <row r="159" ht="15.75" customHeight="1">
      <c r="M159" s="40"/>
      <c r="N159" s="40"/>
    </row>
    <row r="160" ht="15.75" customHeight="1">
      <c r="M160" s="40"/>
      <c r="N160" s="40"/>
    </row>
    <row r="161" ht="15.75" customHeight="1">
      <c r="M161" s="40"/>
      <c r="N161" s="40"/>
    </row>
    <row r="162" ht="15.75" customHeight="1">
      <c r="M162" s="40"/>
      <c r="N162" s="40"/>
    </row>
    <row r="163" ht="15.75" customHeight="1">
      <c r="M163" s="40"/>
      <c r="N163" s="40"/>
    </row>
    <row r="164" ht="15.75" customHeight="1">
      <c r="M164" s="40"/>
      <c r="N164" s="40"/>
    </row>
    <row r="165" ht="15.75" customHeight="1">
      <c r="M165" s="40"/>
      <c r="N165" s="40"/>
    </row>
    <row r="166" ht="15.75" customHeight="1">
      <c r="M166" s="40"/>
      <c r="N166" s="40"/>
    </row>
    <row r="167" ht="15.75" customHeight="1">
      <c r="M167" s="40"/>
      <c r="N167" s="40"/>
    </row>
    <row r="168" ht="15.75" customHeight="1">
      <c r="M168" s="40"/>
      <c r="N168" s="40"/>
    </row>
    <row r="169" ht="15.75" customHeight="1">
      <c r="M169" s="40"/>
      <c r="N169" s="40"/>
    </row>
    <row r="170" ht="15.75" customHeight="1">
      <c r="M170" s="40"/>
      <c r="N170" s="40"/>
    </row>
    <row r="171" ht="15.75" customHeight="1">
      <c r="M171" s="40"/>
      <c r="N171" s="40"/>
    </row>
    <row r="172" ht="15.75" customHeight="1">
      <c r="M172" s="40"/>
      <c r="N172" s="40"/>
    </row>
    <row r="173" ht="15.75" customHeight="1">
      <c r="M173" s="40"/>
      <c r="N173" s="40"/>
    </row>
    <row r="174" ht="15.75" customHeight="1">
      <c r="M174" s="40"/>
      <c r="N174" s="40"/>
    </row>
    <row r="175" ht="15.75" customHeight="1">
      <c r="M175" s="40"/>
      <c r="N175" s="40"/>
    </row>
    <row r="176" ht="15.75" customHeight="1">
      <c r="M176" s="40"/>
      <c r="N176" s="40"/>
    </row>
    <row r="177" ht="15.75" customHeight="1">
      <c r="M177" s="40"/>
      <c r="N177" s="40"/>
    </row>
    <row r="178" ht="15.75" customHeight="1">
      <c r="M178" s="40"/>
      <c r="N178" s="40"/>
    </row>
    <row r="179" ht="15.75" customHeight="1">
      <c r="M179" s="40"/>
      <c r="N179" s="40"/>
    </row>
    <row r="180" ht="15.75" customHeight="1">
      <c r="M180" s="40"/>
      <c r="N180" s="40"/>
    </row>
    <row r="181" ht="15.75" customHeight="1">
      <c r="M181" s="40"/>
      <c r="N181" s="40"/>
    </row>
    <row r="182" ht="15.75" customHeight="1">
      <c r="M182" s="40"/>
      <c r="N182" s="40"/>
    </row>
    <row r="183" ht="15.75" customHeight="1">
      <c r="M183" s="40"/>
      <c r="N183" s="40"/>
    </row>
    <row r="184" ht="15.75" customHeight="1">
      <c r="M184" s="40"/>
      <c r="N184" s="40"/>
    </row>
    <row r="185" ht="15.75" customHeight="1">
      <c r="M185" s="40"/>
      <c r="N185" s="40"/>
    </row>
    <row r="186" ht="15.75" customHeight="1">
      <c r="M186" s="40"/>
      <c r="N186" s="40"/>
    </row>
    <row r="187" ht="15.75" customHeight="1">
      <c r="M187" s="40"/>
      <c r="N187" s="40"/>
    </row>
    <row r="188" ht="15.75" customHeight="1">
      <c r="M188" s="40"/>
      <c r="N188" s="40"/>
    </row>
    <row r="189" ht="15.75" customHeight="1">
      <c r="M189" s="40"/>
      <c r="N189" s="40"/>
    </row>
    <row r="190" ht="15.75" customHeight="1">
      <c r="M190" s="40"/>
      <c r="N190" s="40"/>
    </row>
    <row r="191" ht="15.75" customHeight="1">
      <c r="M191" s="40"/>
      <c r="N191" s="40"/>
    </row>
    <row r="192" ht="15.75" customHeight="1">
      <c r="M192" s="40"/>
      <c r="N192" s="40"/>
    </row>
    <row r="193" ht="15.75" customHeight="1">
      <c r="M193" s="40"/>
      <c r="N193" s="40"/>
    </row>
    <row r="194" ht="15.75" customHeight="1">
      <c r="M194" s="40"/>
      <c r="N194" s="40"/>
    </row>
    <row r="195" ht="15.75" customHeight="1">
      <c r="M195" s="40"/>
      <c r="N195" s="40"/>
    </row>
    <row r="196" ht="15.75" customHeight="1">
      <c r="M196" s="40"/>
      <c r="N196" s="40"/>
    </row>
    <row r="197" ht="15.75" customHeight="1">
      <c r="M197" s="40"/>
      <c r="N197" s="40"/>
    </row>
    <row r="198" ht="15.75" customHeight="1">
      <c r="M198" s="40"/>
      <c r="N198" s="40"/>
    </row>
    <row r="199" ht="15.75" customHeight="1">
      <c r="M199" s="40"/>
      <c r="N199" s="40"/>
    </row>
    <row r="200" ht="15.75" customHeight="1">
      <c r="M200" s="40"/>
      <c r="N200" s="40"/>
    </row>
    <row r="201" ht="15.75" customHeight="1">
      <c r="M201" s="40"/>
      <c r="N201" s="40"/>
    </row>
    <row r="202" ht="15.75" customHeight="1">
      <c r="M202" s="40"/>
      <c r="N202" s="40"/>
    </row>
    <row r="203" ht="15.75" customHeight="1">
      <c r="M203" s="40"/>
      <c r="N203" s="40"/>
    </row>
    <row r="204" ht="15.75" customHeight="1">
      <c r="M204" s="40"/>
      <c r="N204" s="40"/>
    </row>
    <row r="205" ht="15.75" customHeight="1">
      <c r="M205" s="40"/>
      <c r="N205" s="40"/>
    </row>
    <row r="206" ht="15.75" customHeight="1">
      <c r="M206" s="40"/>
      <c r="N206" s="40"/>
    </row>
    <row r="207" ht="15.75" customHeight="1">
      <c r="M207" s="40"/>
      <c r="N207" s="40"/>
    </row>
    <row r="208" ht="15.75" customHeight="1">
      <c r="M208" s="40"/>
      <c r="N208" s="40"/>
    </row>
    <row r="209" ht="15.75" customHeight="1">
      <c r="M209" s="40"/>
      <c r="N209" s="40"/>
    </row>
    <row r="210" ht="15.75" customHeight="1">
      <c r="M210" s="40"/>
      <c r="N210" s="40"/>
    </row>
    <row r="211" ht="15.75" customHeight="1">
      <c r="M211" s="40"/>
      <c r="N211" s="40"/>
    </row>
    <row r="212" ht="15.75" customHeight="1">
      <c r="M212" s="40"/>
      <c r="N212" s="40"/>
    </row>
    <row r="213" ht="15.75" customHeight="1">
      <c r="M213" s="40"/>
      <c r="N213" s="40"/>
    </row>
    <row r="214" ht="15.75" customHeight="1">
      <c r="M214" s="40"/>
      <c r="N214" s="40"/>
    </row>
    <row r="215" ht="15.75" customHeight="1">
      <c r="M215" s="40"/>
      <c r="N215" s="40"/>
    </row>
    <row r="216" ht="15.75" customHeight="1">
      <c r="M216" s="40"/>
      <c r="N216" s="40"/>
    </row>
    <row r="217" ht="15.75" customHeight="1">
      <c r="M217" s="40"/>
      <c r="N217" s="40"/>
    </row>
    <row r="218" ht="15.75" customHeight="1">
      <c r="M218" s="40"/>
      <c r="N218" s="40"/>
    </row>
    <row r="219" ht="15.75" customHeight="1">
      <c r="M219" s="40"/>
      <c r="N219" s="40"/>
    </row>
    <row r="220" ht="15.75" customHeight="1">
      <c r="M220" s="40"/>
      <c r="N220" s="40"/>
    </row>
    <row r="221" ht="15.75" customHeight="1">
      <c r="M221" s="40"/>
      <c r="N221" s="40"/>
    </row>
    <row r="222" ht="15.75" customHeight="1">
      <c r="M222" s="40"/>
      <c r="N222" s="40"/>
    </row>
    <row r="223" ht="15.75" customHeight="1">
      <c r="M223" s="40"/>
      <c r="N223" s="40"/>
    </row>
    <row r="224" ht="15.75" customHeight="1">
      <c r="M224" s="40"/>
      <c r="N224" s="40"/>
    </row>
    <row r="225" ht="15.75" customHeight="1">
      <c r="M225" s="40"/>
      <c r="N225" s="40"/>
    </row>
    <row r="226" ht="15.75" customHeight="1">
      <c r="M226" s="40"/>
      <c r="N226" s="40"/>
    </row>
    <row r="227" ht="15.75" customHeight="1">
      <c r="M227" s="40"/>
      <c r="N227" s="40"/>
    </row>
    <row r="228" ht="15.75" customHeight="1">
      <c r="M228" s="40"/>
      <c r="N228" s="40"/>
    </row>
    <row r="229" ht="15.75" customHeight="1">
      <c r="M229" s="40"/>
      <c r="N229" s="40"/>
    </row>
    <row r="230" ht="15.75" customHeight="1">
      <c r="M230" s="40"/>
      <c r="N230" s="40"/>
    </row>
    <row r="231" ht="15.75" customHeight="1">
      <c r="M231" s="40"/>
      <c r="N231" s="40"/>
    </row>
    <row r="232" ht="15.75" customHeight="1">
      <c r="M232" s="40"/>
      <c r="N232" s="40"/>
    </row>
    <row r="233" ht="15.75" customHeight="1">
      <c r="M233" s="40"/>
      <c r="N233" s="40"/>
    </row>
    <row r="234" ht="15.75" customHeight="1">
      <c r="M234" s="40"/>
      <c r="N234" s="40"/>
    </row>
    <row r="235" ht="15.75" customHeight="1">
      <c r="M235" s="40"/>
      <c r="N235" s="40"/>
    </row>
    <row r="236" ht="15.75" customHeight="1">
      <c r="M236" s="40"/>
      <c r="N236" s="40"/>
    </row>
    <row r="237" ht="15.75" customHeight="1">
      <c r="M237" s="40"/>
      <c r="N237" s="40"/>
    </row>
    <row r="238" ht="15.75" customHeight="1">
      <c r="M238" s="40"/>
      <c r="N238" s="40"/>
    </row>
    <row r="239" ht="15.75" customHeight="1">
      <c r="M239" s="40"/>
      <c r="N239" s="40"/>
    </row>
    <row r="240" ht="15.75" customHeight="1">
      <c r="M240" s="40"/>
      <c r="N240" s="40"/>
    </row>
    <row r="241" ht="15.75" customHeight="1">
      <c r="M241" s="40"/>
      <c r="N241" s="40"/>
    </row>
    <row r="242" ht="15.75" customHeight="1">
      <c r="M242" s="40"/>
      <c r="N242" s="40"/>
    </row>
    <row r="243" ht="15.75" customHeight="1">
      <c r="M243" s="40"/>
      <c r="N243" s="40"/>
    </row>
    <row r="244" ht="15.75" customHeight="1">
      <c r="M244" s="40"/>
      <c r="N244" s="40"/>
    </row>
    <row r="245" ht="15.75" customHeight="1">
      <c r="M245" s="40"/>
      <c r="N245" s="40"/>
    </row>
    <row r="246" ht="15.75" customHeight="1">
      <c r="M246" s="40"/>
      <c r="N246" s="40"/>
    </row>
    <row r="247" ht="15.75" customHeight="1">
      <c r="M247" s="40"/>
      <c r="N247" s="40"/>
    </row>
    <row r="248" ht="15.75" customHeight="1">
      <c r="M248" s="40"/>
      <c r="N248" s="40"/>
    </row>
    <row r="249" ht="15.75" customHeight="1">
      <c r="M249" s="40"/>
      <c r="N249" s="40"/>
    </row>
    <row r="250" ht="15.75" customHeight="1">
      <c r="M250" s="40"/>
      <c r="N250" s="40"/>
    </row>
    <row r="251" ht="15.75" customHeight="1">
      <c r="M251" s="40"/>
      <c r="N251" s="40"/>
    </row>
    <row r="252" ht="15.75" customHeight="1">
      <c r="M252" s="40"/>
      <c r="N252" s="40"/>
    </row>
    <row r="253" ht="15.75" customHeight="1">
      <c r="M253" s="40"/>
      <c r="N253" s="40"/>
    </row>
    <row r="254" ht="15.75" customHeight="1">
      <c r="M254" s="40"/>
      <c r="N254" s="40"/>
    </row>
    <row r="255" ht="15.75" customHeight="1">
      <c r="M255" s="40"/>
      <c r="N255" s="40"/>
    </row>
    <row r="256" ht="15.75" customHeight="1">
      <c r="M256" s="40"/>
      <c r="N256" s="40"/>
    </row>
    <row r="257" ht="15.75" customHeight="1">
      <c r="M257" s="40"/>
      <c r="N257" s="40"/>
    </row>
    <row r="258" ht="15.75" customHeight="1">
      <c r="M258" s="40"/>
      <c r="N258" s="40"/>
    </row>
    <row r="259" ht="15.75" customHeight="1">
      <c r="M259" s="40"/>
      <c r="N259" s="40"/>
    </row>
    <row r="260" ht="15.75" customHeight="1">
      <c r="M260" s="40"/>
      <c r="N260" s="40"/>
    </row>
    <row r="261" ht="15.75" customHeight="1">
      <c r="M261" s="40"/>
      <c r="N261" s="40"/>
    </row>
    <row r="262" ht="15.75" customHeight="1">
      <c r="M262" s="40"/>
      <c r="N262" s="40"/>
    </row>
    <row r="263" ht="15.75" customHeight="1">
      <c r="M263" s="40"/>
      <c r="N263" s="40"/>
    </row>
    <row r="264" ht="15.75" customHeight="1">
      <c r="M264" s="40"/>
      <c r="N264" s="40"/>
    </row>
    <row r="265" ht="15.75" customHeight="1">
      <c r="M265" s="40"/>
      <c r="N265" s="40"/>
    </row>
    <row r="266" ht="15.75" customHeight="1">
      <c r="M266" s="40"/>
      <c r="N266" s="40"/>
    </row>
    <row r="267" ht="15.75" customHeight="1">
      <c r="M267" s="40"/>
      <c r="N267" s="40"/>
    </row>
    <row r="268" ht="15.75" customHeight="1">
      <c r="M268" s="40"/>
      <c r="N268" s="40"/>
    </row>
    <row r="269" ht="15.75" customHeight="1">
      <c r="M269" s="40"/>
      <c r="N269" s="40"/>
    </row>
    <row r="270" ht="15.75" customHeight="1">
      <c r="M270" s="40"/>
      <c r="N270" s="40"/>
    </row>
    <row r="271" ht="15.75" customHeight="1">
      <c r="M271" s="40"/>
      <c r="N271" s="40"/>
    </row>
    <row r="272" ht="15.75" customHeight="1">
      <c r="M272" s="40"/>
      <c r="N272" s="40"/>
    </row>
    <row r="273" ht="15.75" customHeight="1">
      <c r="M273" s="40"/>
      <c r="N273" s="40"/>
    </row>
    <row r="274" ht="15.75" customHeight="1">
      <c r="M274" s="40"/>
      <c r="N274" s="40"/>
    </row>
    <row r="275" ht="15.75" customHeight="1">
      <c r="M275" s="40"/>
      <c r="N275" s="40"/>
    </row>
    <row r="276" ht="15.75" customHeight="1">
      <c r="M276" s="40"/>
      <c r="N276" s="40"/>
    </row>
    <row r="277" ht="15.75" customHeight="1">
      <c r="M277" s="40"/>
      <c r="N277" s="40"/>
    </row>
    <row r="278" ht="15.75" customHeight="1">
      <c r="M278" s="40"/>
      <c r="N278" s="40"/>
    </row>
    <row r="279" ht="15.75" customHeight="1">
      <c r="M279" s="40"/>
      <c r="N279" s="40"/>
    </row>
    <row r="280" ht="15.75" customHeight="1">
      <c r="M280" s="40"/>
      <c r="N280" s="40"/>
    </row>
    <row r="281" ht="15.75" customHeight="1">
      <c r="M281" s="40"/>
      <c r="N281" s="40"/>
    </row>
    <row r="282" ht="15.75" customHeight="1">
      <c r="M282" s="40"/>
      <c r="N282" s="40"/>
    </row>
    <row r="283" ht="15.75" customHeight="1">
      <c r="M283" s="40"/>
      <c r="N283" s="40"/>
    </row>
    <row r="284" ht="15.75" customHeight="1">
      <c r="M284" s="40"/>
      <c r="N284" s="40"/>
    </row>
    <row r="285" ht="15.75" customHeight="1">
      <c r="M285" s="40"/>
      <c r="N285" s="40"/>
    </row>
    <row r="286" ht="15.75" customHeight="1">
      <c r="M286" s="40"/>
      <c r="N286" s="40"/>
    </row>
    <row r="287" ht="15.75" customHeight="1">
      <c r="M287" s="40"/>
      <c r="N287" s="40"/>
    </row>
    <row r="288" ht="15.75" customHeight="1">
      <c r="M288" s="40"/>
      <c r="N288" s="40"/>
    </row>
    <row r="289" ht="15.75" customHeight="1">
      <c r="M289" s="40"/>
      <c r="N289" s="40"/>
    </row>
    <row r="290" ht="15.75" customHeight="1">
      <c r="M290" s="40"/>
      <c r="N290" s="40"/>
    </row>
    <row r="291" ht="15.75" customHeight="1">
      <c r="M291" s="40"/>
      <c r="N291" s="40"/>
    </row>
    <row r="292" ht="15.75" customHeight="1">
      <c r="M292" s="40"/>
      <c r="N292" s="40"/>
    </row>
    <row r="293" ht="15.75" customHeight="1">
      <c r="M293" s="40"/>
      <c r="N293" s="40"/>
    </row>
    <row r="294" ht="15.75" customHeight="1">
      <c r="M294" s="40"/>
      <c r="N294" s="40"/>
    </row>
    <row r="295" ht="15.75" customHeight="1">
      <c r="M295" s="40"/>
      <c r="N295" s="40"/>
    </row>
    <row r="296" ht="15.75" customHeight="1">
      <c r="M296" s="40"/>
      <c r="N296" s="40"/>
    </row>
    <row r="297" ht="15.75" customHeight="1">
      <c r="M297" s="40"/>
      <c r="N297" s="40"/>
    </row>
    <row r="298" ht="15.75" customHeight="1">
      <c r="M298" s="40"/>
      <c r="N298" s="40"/>
    </row>
    <row r="299" ht="15.75" customHeight="1">
      <c r="M299" s="40"/>
      <c r="N299" s="40"/>
    </row>
    <row r="300" ht="15.75" customHeight="1">
      <c r="M300" s="40"/>
      <c r="N300" s="40"/>
    </row>
    <row r="301" ht="15.75" customHeight="1">
      <c r="M301" s="40"/>
      <c r="N301" s="40"/>
    </row>
    <row r="302" ht="15.75" customHeight="1">
      <c r="M302" s="40"/>
      <c r="N302" s="40"/>
    </row>
    <row r="303" ht="15.75" customHeight="1">
      <c r="M303" s="40"/>
      <c r="N303" s="40"/>
    </row>
    <row r="304" ht="15.75" customHeight="1">
      <c r="M304" s="40"/>
      <c r="N304" s="40"/>
    </row>
    <row r="305" ht="15.75" customHeight="1">
      <c r="M305" s="40"/>
      <c r="N305" s="40"/>
    </row>
    <row r="306" ht="15.75" customHeight="1">
      <c r="M306" s="40"/>
      <c r="N306" s="40"/>
    </row>
    <row r="307" ht="15.75" customHeight="1">
      <c r="M307" s="40"/>
      <c r="N307" s="40"/>
    </row>
    <row r="308" ht="15.75" customHeight="1">
      <c r="M308" s="40"/>
      <c r="N308" s="40"/>
    </row>
    <row r="309" ht="15.75" customHeight="1">
      <c r="M309" s="40"/>
      <c r="N309" s="40"/>
    </row>
    <row r="310" ht="15.75" customHeight="1">
      <c r="M310" s="40"/>
      <c r="N310" s="40"/>
    </row>
    <row r="311" ht="15.75" customHeight="1">
      <c r="M311" s="40"/>
      <c r="N311" s="40"/>
    </row>
    <row r="312" ht="15.75" customHeight="1">
      <c r="M312" s="40"/>
      <c r="N312" s="40"/>
    </row>
    <row r="313" ht="15.75" customHeight="1">
      <c r="M313" s="40"/>
      <c r="N313" s="40"/>
    </row>
    <row r="314" ht="15.75" customHeight="1">
      <c r="M314" s="40"/>
      <c r="N314" s="40"/>
    </row>
    <row r="315" ht="15.75" customHeight="1">
      <c r="M315" s="40"/>
      <c r="N315" s="40"/>
    </row>
    <row r="316" ht="15.75" customHeight="1">
      <c r="M316" s="40"/>
      <c r="N316" s="40"/>
    </row>
    <row r="317" ht="15.75" customHeight="1">
      <c r="M317" s="40"/>
      <c r="N317" s="40"/>
    </row>
    <row r="318" ht="15.75" customHeight="1">
      <c r="M318" s="40"/>
      <c r="N318" s="40"/>
    </row>
    <row r="319" ht="15.75" customHeight="1">
      <c r="M319" s="40"/>
      <c r="N319" s="40"/>
    </row>
    <row r="320" ht="15.75" customHeight="1">
      <c r="M320" s="40"/>
      <c r="N320" s="40"/>
    </row>
    <row r="321" ht="15.75" customHeight="1">
      <c r="M321" s="40"/>
      <c r="N321" s="40"/>
    </row>
    <row r="322" ht="15.75" customHeight="1">
      <c r="M322" s="40"/>
      <c r="N322" s="40"/>
    </row>
    <row r="323" ht="15.75" customHeight="1">
      <c r="M323" s="40"/>
      <c r="N323" s="40"/>
    </row>
    <row r="324" ht="15.75" customHeight="1">
      <c r="M324" s="40"/>
      <c r="N324" s="40"/>
    </row>
    <row r="325" ht="15.75" customHeight="1">
      <c r="M325" s="40"/>
      <c r="N325" s="40"/>
    </row>
    <row r="326" ht="15.75" customHeight="1">
      <c r="M326" s="40"/>
      <c r="N326" s="40"/>
    </row>
    <row r="327" ht="15.75" customHeight="1">
      <c r="M327" s="40"/>
      <c r="N327" s="40"/>
    </row>
    <row r="328" ht="15.75" customHeight="1">
      <c r="M328" s="40"/>
      <c r="N328" s="40"/>
    </row>
    <row r="329" ht="15.75" customHeight="1">
      <c r="M329" s="40"/>
      <c r="N329" s="40"/>
    </row>
    <row r="330" ht="15.75" customHeight="1">
      <c r="M330" s="40"/>
      <c r="N330" s="40"/>
    </row>
    <row r="331" ht="15.75" customHeight="1">
      <c r="M331" s="40"/>
      <c r="N331" s="40"/>
    </row>
    <row r="332" ht="15.75" customHeight="1">
      <c r="M332" s="40"/>
      <c r="N332" s="40"/>
    </row>
    <row r="333" ht="15.75" customHeight="1">
      <c r="M333" s="40"/>
      <c r="N333" s="40"/>
    </row>
    <row r="334" ht="15.75" customHeight="1">
      <c r="M334" s="40"/>
      <c r="N334" s="40"/>
    </row>
    <row r="335" ht="15.75" customHeight="1">
      <c r="M335" s="40"/>
      <c r="N335" s="40"/>
    </row>
    <row r="336" ht="15.75" customHeight="1">
      <c r="M336" s="40"/>
      <c r="N336" s="40"/>
    </row>
    <row r="337" ht="15.75" customHeight="1">
      <c r="M337" s="40"/>
      <c r="N337" s="40"/>
    </row>
    <row r="338" ht="15.75" customHeight="1">
      <c r="M338" s="40"/>
      <c r="N338" s="40"/>
    </row>
    <row r="339" ht="15.75" customHeight="1">
      <c r="M339" s="40"/>
      <c r="N339" s="40"/>
    </row>
    <row r="340" ht="15.75" customHeight="1">
      <c r="M340" s="40"/>
      <c r="N340" s="40"/>
    </row>
    <row r="341" ht="15.75" customHeight="1">
      <c r="M341" s="40"/>
      <c r="N341" s="40"/>
    </row>
    <row r="342" ht="15.75" customHeight="1">
      <c r="M342" s="40"/>
      <c r="N342" s="40"/>
    </row>
    <row r="343" ht="15.75" customHeight="1">
      <c r="M343" s="40"/>
      <c r="N343" s="40"/>
    </row>
    <row r="344" ht="15.75" customHeight="1">
      <c r="M344" s="40"/>
      <c r="N344" s="40"/>
    </row>
    <row r="345" ht="15.75" customHeight="1">
      <c r="M345" s="40"/>
      <c r="N345" s="40"/>
    </row>
    <row r="346" ht="15.75" customHeight="1">
      <c r="M346" s="40"/>
      <c r="N346" s="40"/>
    </row>
    <row r="347" ht="15.75" customHeight="1">
      <c r="M347" s="40"/>
      <c r="N347" s="40"/>
    </row>
    <row r="348" ht="15.75" customHeight="1">
      <c r="M348" s="40"/>
      <c r="N348" s="40"/>
    </row>
    <row r="349" ht="15.75" customHeight="1">
      <c r="M349" s="40"/>
      <c r="N349" s="40"/>
    </row>
    <row r="350" ht="15.75" customHeight="1">
      <c r="M350" s="40"/>
      <c r="N350" s="40"/>
    </row>
    <row r="351" ht="15.75" customHeight="1">
      <c r="M351" s="40"/>
      <c r="N351" s="40"/>
    </row>
    <row r="352" ht="15.75" customHeight="1">
      <c r="M352" s="40"/>
      <c r="N352" s="40"/>
    </row>
    <row r="353" ht="15.75" customHeight="1">
      <c r="M353" s="40"/>
      <c r="N353" s="40"/>
    </row>
    <row r="354" ht="15.75" customHeight="1">
      <c r="M354" s="40"/>
      <c r="N354" s="40"/>
    </row>
    <row r="355" ht="15.75" customHeight="1">
      <c r="M355" s="40"/>
      <c r="N355" s="40"/>
    </row>
    <row r="356" ht="15.75" customHeight="1">
      <c r="M356" s="40"/>
      <c r="N356" s="40"/>
    </row>
    <row r="357" ht="15.75" customHeight="1">
      <c r="M357" s="40"/>
      <c r="N357" s="40"/>
    </row>
    <row r="358" ht="15.75" customHeight="1">
      <c r="M358" s="40"/>
      <c r="N358" s="40"/>
    </row>
    <row r="359" ht="15.75" customHeight="1">
      <c r="M359" s="40"/>
      <c r="N359" s="40"/>
    </row>
    <row r="360" ht="15.75" customHeight="1">
      <c r="M360" s="40"/>
      <c r="N360" s="40"/>
    </row>
    <row r="361" ht="15.75" customHeight="1">
      <c r="M361" s="40"/>
      <c r="N361" s="40"/>
    </row>
    <row r="362" ht="15.75" customHeight="1">
      <c r="M362" s="40"/>
      <c r="N362" s="40"/>
    </row>
    <row r="363" ht="15.75" customHeight="1">
      <c r="M363" s="40"/>
      <c r="N363" s="40"/>
    </row>
    <row r="364" ht="15.75" customHeight="1">
      <c r="M364" s="40"/>
      <c r="N364" s="40"/>
    </row>
    <row r="365" ht="15.75" customHeight="1">
      <c r="M365" s="40"/>
      <c r="N365" s="40"/>
    </row>
    <row r="366" ht="15.75" customHeight="1">
      <c r="M366" s="40"/>
      <c r="N366" s="40"/>
    </row>
    <row r="367" ht="15.75" customHeight="1">
      <c r="M367" s="40"/>
      <c r="N367" s="40"/>
    </row>
    <row r="368" ht="15.75" customHeight="1">
      <c r="M368" s="40"/>
      <c r="N368" s="40"/>
    </row>
    <row r="369" ht="15.75" customHeight="1">
      <c r="M369" s="40"/>
      <c r="N369" s="40"/>
    </row>
    <row r="370" ht="15.75" customHeight="1">
      <c r="M370" s="40"/>
      <c r="N370" s="40"/>
    </row>
    <row r="371" ht="15.75" customHeight="1">
      <c r="M371" s="40"/>
      <c r="N371" s="40"/>
    </row>
    <row r="372" ht="15.75" customHeight="1">
      <c r="M372" s="40"/>
      <c r="N372" s="40"/>
    </row>
    <row r="373" ht="15.75" customHeight="1">
      <c r="M373" s="40"/>
      <c r="N373" s="40"/>
    </row>
    <row r="374" ht="15.75" customHeight="1">
      <c r="M374" s="40"/>
      <c r="N374" s="40"/>
    </row>
    <row r="375" ht="15.75" customHeight="1">
      <c r="M375" s="40"/>
      <c r="N375" s="40"/>
    </row>
    <row r="376" ht="15.75" customHeight="1">
      <c r="M376" s="40"/>
      <c r="N376" s="40"/>
    </row>
    <row r="377" ht="15.75" customHeight="1">
      <c r="M377" s="40"/>
      <c r="N377" s="40"/>
    </row>
    <row r="378" ht="15.75" customHeight="1">
      <c r="M378" s="40"/>
      <c r="N378" s="40"/>
    </row>
    <row r="379" ht="15.75" customHeight="1">
      <c r="M379" s="40"/>
      <c r="N379" s="40"/>
    </row>
    <row r="380" ht="15.75" customHeight="1">
      <c r="M380" s="40"/>
      <c r="N380" s="40"/>
    </row>
    <row r="381" ht="15.75" customHeight="1">
      <c r="M381" s="40"/>
      <c r="N381" s="40"/>
    </row>
    <row r="382" ht="15.75" customHeight="1">
      <c r="M382" s="40"/>
      <c r="N382" s="40"/>
    </row>
    <row r="383" ht="15.75" customHeight="1">
      <c r="M383" s="40"/>
      <c r="N383" s="40"/>
    </row>
    <row r="384" ht="15.75" customHeight="1">
      <c r="M384" s="40"/>
      <c r="N384" s="40"/>
    </row>
    <row r="385" ht="15.75" customHeight="1">
      <c r="M385" s="40"/>
      <c r="N385" s="40"/>
    </row>
    <row r="386" ht="15.75" customHeight="1">
      <c r="M386" s="40"/>
      <c r="N386" s="40"/>
    </row>
    <row r="387" ht="15.75" customHeight="1">
      <c r="M387" s="40"/>
      <c r="N387" s="40"/>
    </row>
    <row r="388" ht="15.75" customHeight="1">
      <c r="M388" s="40"/>
      <c r="N388" s="40"/>
    </row>
    <row r="389" ht="15.75" customHeight="1">
      <c r="M389" s="40"/>
      <c r="N389" s="40"/>
    </row>
    <row r="390" ht="15.75" customHeight="1">
      <c r="M390" s="40"/>
      <c r="N390" s="40"/>
    </row>
    <row r="391" ht="15.75" customHeight="1">
      <c r="M391" s="40"/>
      <c r="N391" s="40"/>
    </row>
    <row r="392" ht="15.75" customHeight="1">
      <c r="M392" s="40"/>
      <c r="N392" s="40"/>
    </row>
    <row r="393" ht="15.75" customHeight="1">
      <c r="M393" s="40"/>
      <c r="N393" s="40"/>
    </row>
    <row r="394" ht="15.75" customHeight="1">
      <c r="M394" s="40"/>
      <c r="N394" s="40"/>
    </row>
    <row r="395" ht="15.75" customHeight="1">
      <c r="M395" s="40"/>
      <c r="N395" s="40"/>
    </row>
    <row r="396" ht="15.75" customHeight="1">
      <c r="M396" s="40"/>
      <c r="N396" s="40"/>
    </row>
    <row r="397" ht="15.75" customHeight="1">
      <c r="M397" s="40"/>
      <c r="N397" s="40"/>
    </row>
    <row r="398" ht="15.75" customHeight="1">
      <c r="M398" s="40"/>
      <c r="N398" s="40"/>
    </row>
    <row r="399" ht="15.75" customHeight="1">
      <c r="M399" s="40"/>
      <c r="N399" s="40"/>
    </row>
    <row r="400" ht="15.75" customHeight="1">
      <c r="M400" s="40"/>
      <c r="N400" s="40"/>
    </row>
    <row r="401" ht="15.75" customHeight="1">
      <c r="M401" s="40"/>
      <c r="N401" s="40"/>
    </row>
    <row r="402" ht="15.75" customHeight="1">
      <c r="M402" s="40"/>
      <c r="N402" s="40"/>
    </row>
    <row r="403" ht="15.75" customHeight="1">
      <c r="M403" s="40"/>
      <c r="N403" s="40"/>
    </row>
    <row r="404" ht="15.75" customHeight="1">
      <c r="M404" s="40"/>
      <c r="N404" s="40"/>
    </row>
    <row r="405" ht="15.75" customHeight="1">
      <c r="M405" s="40"/>
      <c r="N405" s="40"/>
    </row>
    <row r="406" ht="15.75" customHeight="1">
      <c r="M406" s="40"/>
      <c r="N406" s="40"/>
    </row>
    <row r="407" ht="15.75" customHeight="1">
      <c r="M407" s="40"/>
      <c r="N407" s="40"/>
    </row>
    <row r="408" ht="15.75" customHeight="1">
      <c r="M408" s="40"/>
      <c r="N408" s="40"/>
    </row>
    <row r="409" ht="15.75" customHeight="1">
      <c r="M409" s="40"/>
      <c r="N409" s="40"/>
    </row>
    <row r="410" ht="15.75" customHeight="1">
      <c r="M410" s="40"/>
      <c r="N410" s="40"/>
    </row>
    <row r="411" ht="15.75" customHeight="1">
      <c r="M411" s="40"/>
      <c r="N411" s="40"/>
    </row>
    <row r="412" ht="15.75" customHeight="1">
      <c r="M412" s="40"/>
      <c r="N412" s="40"/>
    </row>
    <row r="413" ht="15.75" customHeight="1">
      <c r="M413" s="40"/>
      <c r="N413" s="40"/>
    </row>
    <row r="414" ht="15.75" customHeight="1">
      <c r="M414" s="40"/>
      <c r="N414" s="40"/>
    </row>
    <row r="415" ht="15.75" customHeight="1">
      <c r="M415" s="40"/>
      <c r="N415" s="40"/>
    </row>
    <row r="416" ht="15.75" customHeight="1">
      <c r="M416" s="40"/>
      <c r="N416" s="40"/>
    </row>
    <row r="417" ht="15.75" customHeight="1">
      <c r="M417" s="40"/>
      <c r="N417" s="40"/>
    </row>
    <row r="418" ht="15.75" customHeight="1">
      <c r="M418" s="40"/>
      <c r="N418" s="40"/>
    </row>
    <row r="419" ht="15.75" customHeight="1">
      <c r="M419" s="40"/>
      <c r="N419" s="40"/>
    </row>
    <row r="420" ht="15.75" customHeight="1">
      <c r="M420" s="40"/>
      <c r="N420" s="40"/>
    </row>
    <row r="421" ht="15.75" customHeight="1">
      <c r="M421" s="40"/>
      <c r="N421" s="40"/>
    </row>
    <row r="422" ht="15.75" customHeight="1">
      <c r="M422" s="40"/>
      <c r="N422" s="40"/>
    </row>
    <row r="423" ht="15.75" customHeight="1">
      <c r="M423" s="40"/>
      <c r="N423" s="40"/>
    </row>
    <row r="424" ht="15.75" customHeight="1">
      <c r="M424" s="40"/>
      <c r="N424" s="40"/>
    </row>
    <row r="425" ht="15.75" customHeight="1">
      <c r="M425" s="40"/>
      <c r="N425" s="40"/>
    </row>
    <row r="426" ht="15.75" customHeight="1">
      <c r="M426" s="40"/>
      <c r="N426" s="40"/>
    </row>
    <row r="427" ht="15.75" customHeight="1">
      <c r="M427" s="40"/>
      <c r="N427" s="40"/>
    </row>
    <row r="428" ht="15.75" customHeight="1">
      <c r="M428" s="40"/>
      <c r="N428" s="40"/>
    </row>
    <row r="429" ht="15.75" customHeight="1">
      <c r="M429" s="40"/>
      <c r="N429" s="40"/>
    </row>
    <row r="430" ht="15.75" customHeight="1">
      <c r="M430" s="40"/>
      <c r="N430" s="40"/>
    </row>
    <row r="431" ht="15.75" customHeight="1">
      <c r="M431" s="40"/>
      <c r="N431" s="40"/>
    </row>
    <row r="432" ht="15.75" customHeight="1">
      <c r="M432" s="40"/>
      <c r="N432" s="40"/>
    </row>
    <row r="433" ht="15.75" customHeight="1">
      <c r="M433" s="40"/>
      <c r="N433" s="40"/>
    </row>
    <row r="434" ht="15.75" customHeight="1">
      <c r="M434" s="40"/>
      <c r="N434" s="40"/>
    </row>
    <row r="435" ht="15.75" customHeight="1">
      <c r="M435" s="40"/>
      <c r="N435" s="40"/>
    </row>
    <row r="436" ht="15.75" customHeight="1">
      <c r="M436" s="40"/>
      <c r="N436" s="40"/>
    </row>
    <row r="437" ht="15.75" customHeight="1">
      <c r="M437" s="40"/>
      <c r="N437" s="40"/>
    </row>
    <row r="438" ht="15.75" customHeight="1">
      <c r="M438" s="40"/>
      <c r="N438" s="40"/>
    </row>
    <row r="439" ht="15.75" customHeight="1">
      <c r="M439" s="40"/>
      <c r="N439" s="40"/>
    </row>
    <row r="440" ht="15.75" customHeight="1">
      <c r="M440" s="40"/>
      <c r="N440" s="40"/>
    </row>
    <row r="441" ht="15.75" customHeight="1">
      <c r="M441" s="40"/>
      <c r="N441" s="40"/>
    </row>
    <row r="442" ht="15.75" customHeight="1">
      <c r="M442" s="40"/>
      <c r="N442" s="40"/>
    </row>
    <row r="443" ht="15.75" customHeight="1">
      <c r="M443" s="40"/>
      <c r="N443" s="40"/>
    </row>
    <row r="444" ht="15.75" customHeight="1">
      <c r="M444" s="40"/>
      <c r="N444" s="40"/>
    </row>
    <row r="445" ht="15.75" customHeight="1">
      <c r="M445" s="40"/>
      <c r="N445" s="40"/>
    </row>
    <row r="446" ht="15.75" customHeight="1">
      <c r="M446" s="40"/>
      <c r="N446" s="40"/>
    </row>
    <row r="447" ht="15.75" customHeight="1">
      <c r="M447" s="40"/>
      <c r="N447" s="40"/>
    </row>
    <row r="448" ht="15.75" customHeight="1">
      <c r="M448" s="40"/>
      <c r="N448" s="40"/>
    </row>
    <row r="449" ht="15.75" customHeight="1">
      <c r="M449" s="40"/>
      <c r="N449" s="40"/>
    </row>
    <row r="450" ht="15.75" customHeight="1">
      <c r="M450" s="40"/>
      <c r="N450" s="40"/>
    </row>
    <row r="451" ht="15.75" customHeight="1">
      <c r="M451" s="40"/>
      <c r="N451" s="40"/>
    </row>
    <row r="452" ht="15.75" customHeight="1">
      <c r="M452" s="40"/>
      <c r="N452" s="40"/>
    </row>
    <row r="453" ht="15.75" customHeight="1">
      <c r="M453" s="40"/>
      <c r="N453" s="40"/>
    </row>
    <row r="454" ht="15.75" customHeight="1">
      <c r="M454" s="40"/>
      <c r="N454" s="40"/>
    </row>
    <row r="455" ht="15.75" customHeight="1">
      <c r="M455" s="40"/>
      <c r="N455" s="40"/>
    </row>
    <row r="456" ht="15.75" customHeight="1">
      <c r="M456" s="40"/>
      <c r="N456" s="40"/>
    </row>
    <row r="457" ht="15.75" customHeight="1">
      <c r="M457" s="40"/>
      <c r="N457" s="40"/>
    </row>
    <row r="458" ht="15.75" customHeight="1">
      <c r="M458" s="40"/>
      <c r="N458" s="40"/>
    </row>
    <row r="459" ht="15.75" customHeight="1">
      <c r="M459" s="40"/>
      <c r="N459" s="40"/>
    </row>
    <row r="460" ht="15.75" customHeight="1">
      <c r="M460" s="40"/>
      <c r="N460" s="40"/>
    </row>
    <row r="461" ht="15.75" customHeight="1">
      <c r="M461" s="40"/>
      <c r="N461" s="40"/>
    </row>
    <row r="462" ht="15.75" customHeight="1">
      <c r="M462" s="40"/>
      <c r="N462" s="40"/>
    </row>
    <row r="463" ht="15.75" customHeight="1">
      <c r="M463" s="40"/>
      <c r="N463" s="40"/>
    </row>
    <row r="464" ht="15.75" customHeight="1">
      <c r="M464" s="40"/>
      <c r="N464" s="40"/>
    </row>
    <row r="465" ht="15.75" customHeight="1">
      <c r="M465" s="40"/>
      <c r="N465" s="40"/>
    </row>
    <row r="466" ht="15.75" customHeight="1">
      <c r="M466" s="40"/>
      <c r="N466" s="40"/>
    </row>
    <row r="467" ht="15.75" customHeight="1">
      <c r="M467" s="40"/>
      <c r="N467" s="40"/>
    </row>
    <row r="468" ht="15.75" customHeight="1">
      <c r="M468" s="40"/>
      <c r="N468" s="40"/>
    </row>
    <row r="469" ht="15.75" customHeight="1">
      <c r="M469" s="40"/>
      <c r="N469" s="40"/>
    </row>
    <row r="470" ht="15.75" customHeight="1">
      <c r="M470" s="40"/>
      <c r="N470" s="40"/>
    </row>
    <row r="471" ht="15.75" customHeight="1">
      <c r="M471" s="40"/>
      <c r="N471" s="40"/>
    </row>
    <row r="472" ht="15.75" customHeight="1">
      <c r="M472" s="40"/>
      <c r="N472" s="40"/>
    </row>
    <row r="473" ht="15.75" customHeight="1">
      <c r="M473" s="40"/>
      <c r="N473" s="40"/>
    </row>
    <row r="474" ht="15.75" customHeight="1">
      <c r="M474" s="40"/>
      <c r="N474" s="40"/>
    </row>
    <row r="475" ht="15.75" customHeight="1">
      <c r="M475" s="40"/>
      <c r="N475" s="40"/>
    </row>
    <row r="476" ht="15.75" customHeight="1">
      <c r="M476" s="40"/>
      <c r="N476" s="40"/>
    </row>
    <row r="477" ht="15.75" customHeight="1">
      <c r="M477" s="40"/>
      <c r="N477" s="40"/>
    </row>
    <row r="478" ht="15.75" customHeight="1">
      <c r="M478" s="40"/>
      <c r="N478" s="40"/>
    </row>
    <row r="479" ht="15.75" customHeight="1">
      <c r="M479" s="40"/>
      <c r="N479" s="40"/>
    </row>
    <row r="480" ht="15.75" customHeight="1">
      <c r="M480" s="40"/>
      <c r="N480" s="40"/>
    </row>
    <row r="481" ht="15.75" customHeight="1">
      <c r="M481" s="40"/>
      <c r="N481" s="40"/>
    </row>
    <row r="482" ht="15.75" customHeight="1">
      <c r="M482" s="40"/>
      <c r="N482" s="40"/>
    </row>
    <row r="483" ht="15.75" customHeight="1">
      <c r="M483" s="40"/>
      <c r="N483" s="40"/>
    </row>
    <row r="484" ht="15.75" customHeight="1">
      <c r="M484" s="40"/>
      <c r="N484" s="40"/>
    </row>
    <row r="485" ht="15.75" customHeight="1">
      <c r="M485" s="40"/>
      <c r="N485" s="40"/>
    </row>
    <row r="486" ht="15.75" customHeight="1">
      <c r="M486" s="40"/>
      <c r="N486" s="40"/>
    </row>
    <row r="487" ht="15.75" customHeight="1">
      <c r="M487" s="40"/>
      <c r="N487" s="40"/>
    </row>
    <row r="488" ht="15.75" customHeight="1">
      <c r="M488" s="40"/>
      <c r="N488" s="40"/>
    </row>
    <row r="489" ht="15.75" customHeight="1">
      <c r="M489" s="40"/>
      <c r="N489" s="40"/>
    </row>
    <row r="490" ht="15.75" customHeight="1">
      <c r="M490" s="40"/>
      <c r="N490" s="40"/>
    </row>
    <row r="491" ht="15.75" customHeight="1">
      <c r="M491" s="40"/>
      <c r="N491" s="40"/>
    </row>
    <row r="492" ht="15.75" customHeight="1">
      <c r="M492" s="40"/>
      <c r="N492" s="40"/>
    </row>
    <row r="493" ht="15.75" customHeight="1">
      <c r="M493" s="40"/>
      <c r="N493" s="40"/>
    </row>
    <row r="494" ht="15.75" customHeight="1">
      <c r="M494" s="40"/>
      <c r="N494" s="40"/>
    </row>
    <row r="495" ht="15.75" customHeight="1">
      <c r="M495" s="40"/>
      <c r="N495" s="40"/>
    </row>
    <row r="496" ht="15.75" customHeight="1">
      <c r="M496" s="40"/>
      <c r="N496" s="40"/>
    </row>
    <row r="497" ht="15.75" customHeight="1">
      <c r="M497" s="40"/>
      <c r="N497" s="40"/>
    </row>
    <row r="498" ht="15.75" customHeight="1">
      <c r="M498" s="40"/>
      <c r="N498" s="40"/>
    </row>
    <row r="499" ht="15.75" customHeight="1">
      <c r="M499" s="40"/>
      <c r="N499" s="40"/>
    </row>
    <row r="500" ht="15.75" customHeight="1">
      <c r="M500" s="40"/>
      <c r="N500" s="40"/>
    </row>
    <row r="501" ht="15.75" customHeight="1">
      <c r="M501" s="40"/>
      <c r="N501" s="40"/>
    </row>
    <row r="502" ht="15.75" customHeight="1">
      <c r="M502" s="40"/>
      <c r="N502" s="40"/>
    </row>
    <row r="503" ht="15.75" customHeight="1">
      <c r="M503" s="40"/>
      <c r="N503" s="40"/>
    </row>
    <row r="504" ht="15.75" customHeight="1">
      <c r="M504" s="40"/>
      <c r="N504" s="40"/>
    </row>
    <row r="505" ht="15.75" customHeight="1">
      <c r="M505" s="40"/>
      <c r="N505" s="40"/>
    </row>
    <row r="506" ht="15.75" customHeight="1">
      <c r="M506" s="40"/>
      <c r="N506" s="40"/>
    </row>
    <row r="507" ht="15.75" customHeight="1">
      <c r="M507" s="40"/>
      <c r="N507" s="40"/>
    </row>
    <row r="508" ht="15.75" customHeight="1">
      <c r="M508" s="40"/>
      <c r="N508" s="40"/>
    </row>
    <row r="509" ht="15.75" customHeight="1">
      <c r="M509" s="40"/>
      <c r="N509" s="40"/>
    </row>
    <row r="510" ht="15.75" customHeight="1">
      <c r="M510" s="40"/>
      <c r="N510" s="40"/>
    </row>
    <row r="511" ht="15.75" customHeight="1">
      <c r="M511" s="40"/>
      <c r="N511" s="40"/>
    </row>
    <row r="512" ht="15.75" customHeight="1">
      <c r="M512" s="40"/>
      <c r="N512" s="40"/>
    </row>
    <row r="513" ht="15.75" customHeight="1">
      <c r="M513" s="40"/>
      <c r="N513" s="40"/>
    </row>
    <row r="514" ht="15.75" customHeight="1">
      <c r="M514" s="40"/>
      <c r="N514" s="40"/>
    </row>
    <row r="515" ht="15.75" customHeight="1">
      <c r="M515" s="40"/>
      <c r="N515" s="40"/>
    </row>
    <row r="516" ht="15.75" customHeight="1">
      <c r="M516" s="40"/>
      <c r="N516" s="40"/>
    </row>
    <row r="517" ht="15.75" customHeight="1">
      <c r="M517" s="40"/>
      <c r="N517" s="40"/>
    </row>
    <row r="518" ht="15.75" customHeight="1">
      <c r="M518" s="40"/>
      <c r="N518" s="40"/>
    </row>
    <row r="519" ht="15.75" customHeight="1">
      <c r="M519" s="40"/>
      <c r="N519" s="40"/>
    </row>
    <row r="520" ht="15.75" customHeight="1">
      <c r="M520" s="40"/>
      <c r="N520" s="40"/>
    </row>
    <row r="521" ht="15.75" customHeight="1">
      <c r="M521" s="40"/>
      <c r="N521" s="40"/>
    </row>
    <row r="522" ht="15.75" customHeight="1">
      <c r="M522" s="40"/>
      <c r="N522" s="40"/>
    </row>
    <row r="523" ht="15.75" customHeight="1">
      <c r="M523" s="40"/>
      <c r="N523" s="40"/>
    </row>
    <row r="524" ht="15.75" customHeight="1">
      <c r="M524" s="40"/>
      <c r="N524" s="40"/>
    </row>
    <row r="525" ht="15.75" customHeight="1">
      <c r="M525" s="40"/>
      <c r="N525" s="40"/>
    </row>
    <row r="526" ht="15.75" customHeight="1">
      <c r="M526" s="40"/>
      <c r="N526" s="40"/>
    </row>
    <row r="527" ht="15.75" customHeight="1">
      <c r="M527" s="40"/>
      <c r="N527" s="40"/>
    </row>
    <row r="528" ht="15.75" customHeight="1">
      <c r="M528" s="40"/>
      <c r="N528" s="40"/>
    </row>
    <row r="529" ht="15.75" customHeight="1">
      <c r="M529" s="40"/>
      <c r="N529" s="40"/>
    </row>
    <row r="530" ht="15.75" customHeight="1">
      <c r="M530" s="40"/>
      <c r="N530" s="40"/>
    </row>
    <row r="531" ht="15.75" customHeight="1">
      <c r="M531" s="40"/>
      <c r="N531" s="40"/>
    </row>
    <row r="532" ht="15.75" customHeight="1">
      <c r="M532" s="40"/>
      <c r="N532" s="40"/>
    </row>
    <row r="533" ht="15.75" customHeight="1">
      <c r="M533" s="40"/>
      <c r="N533" s="40"/>
    </row>
    <row r="534" ht="15.75" customHeight="1">
      <c r="M534" s="40"/>
      <c r="N534" s="40"/>
    </row>
    <row r="535" ht="15.75" customHeight="1">
      <c r="M535" s="40"/>
      <c r="N535" s="40"/>
    </row>
    <row r="536" ht="15.75" customHeight="1">
      <c r="M536" s="40"/>
      <c r="N536" s="40"/>
    </row>
    <row r="537" ht="15.75" customHeight="1">
      <c r="M537" s="40"/>
      <c r="N537" s="40"/>
    </row>
    <row r="538" ht="15.75" customHeight="1">
      <c r="M538" s="40"/>
      <c r="N538" s="40"/>
    </row>
    <row r="539" ht="15.75" customHeight="1">
      <c r="M539" s="40"/>
      <c r="N539" s="40"/>
    </row>
    <row r="540" ht="15.75" customHeight="1">
      <c r="M540" s="40"/>
      <c r="N540" s="40"/>
    </row>
    <row r="541" ht="15.75" customHeight="1">
      <c r="M541" s="40"/>
      <c r="N541" s="40"/>
    </row>
    <row r="542" ht="15.75" customHeight="1">
      <c r="M542" s="40"/>
      <c r="N542" s="40"/>
    </row>
    <row r="543" ht="15.75" customHeight="1">
      <c r="M543" s="40"/>
      <c r="N543" s="40"/>
    </row>
    <row r="544" ht="15.75" customHeight="1">
      <c r="M544" s="40"/>
      <c r="N544" s="40"/>
    </row>
    <row r="545" ht="15.75" customHeight="1">
      <c r="M545" s="40"/>
      <c r="N545" s="40"/>
    </row>
    <row r="546" ht="15.75" customHeight="1">
      <c r="M546" s="40"/>
      <c r="N546" s="40"/>
    </row>
    <row r="547" ht="15.75" customHeight="1">
      <c r="M547" s="40"/>
      <c r="N547" s="40"/>
    </row>
    <row r="548" ht="15.75" customHeight="1">
      <c r="M548" s="40"/>
      <c r="N548" s="40"/>
    </row>
    <row r="549" ht="15.75" customHeight="1">
      <c r="M549" s="40"/>
      <c r="N549" s="40"/>
    </row>
    <row r="550" ht="15.75" customHeight="1">
      <c r="M550" s="40"/>
      <c r="N550" s="40"/>
    </row>
    <row r="551" ht="15.75" customHeight="1">
      <c r="M551" s="40"/>
      <c r="N551" s="40"/>
    </row>
    <row r="552" ht="15.75" customHeight="1">
      <c r="M552" s="40"/>
      <c r="N552" s="40"/>
    </row>
    <row r="553" ht="15.75" customHeight="1">
      <c r="M553" s="40"/>
      <c r="N553" s="40"/>
    </row>
    <row r="554" ht="15.75" customHeight="1">
      <c r="M554" s="40"/>
      <c r="N554" s="40"/>
    </row>
    <row r="555" ht="15.75" customHeight="1">
      <c r="M555" s="40"/>
      <c r="N555" s="40"/>
    </row>
    <row r="556" ht="15.75" customHeight="1">
      <c r="M556" s="40"/>
      <c r="N556" s="40"/>
    </row>
    <row r="557" ht="15.75" customHeight="1">
      <c r="M557" s="40"/>
      <c r="N557" s="40"/>
    </row>
    <row r="558" ht="15.75" customHeight="1">
      <c r="M558" s="40"/>
      <c r="N558" s="40"/>
    </row>
    <row r="559" ht="15.75" customHeight="1">
      <c r="M559" s="40"/>
      <c r="N559" s="40"/>
    </row>
    <row r="560" ht="15.75" customHeight="1">
      <c r="M560" s="40"/>
      <c r="N560" s="40"/>
    </row>
    <row r="561" ht="15.75" customHeight="1">
      <c r="M561" s="40"/>
      <c r="N561" s="40"/>
    </row>
    <row r="562" ht="15.75" customHeight="1">
      <c r="M562" s="40"/>
      <c r="N562" s="40"/>
    </row>
    <row r="563" ht="15.75" customHeight="1">
      <c r="M563" s="40"/>
      <c r="N563" s="40"/>
    </row>
    <row r="564" ht="15.75" customHeight="1">
      <c r="M564" s="40"/>
      <c r="N564" s="40"/>
    </row>
    <row r="565" ht="15.75" customHeight="1">
      <c r="M565" s="40"/>
      <c r="N565" s="40"/>
    </row>
    <row r="566" ht="15.75" customHeight="1">
      <c r="M566" s="40"/>
      <c r="N566" s="40"/>
    </row>
    <row r="567" ht="15.75" customHeight="1">
      <c r="M567" s="40"/>
      <c r="N567" s="40"/>
    </row>
    <row r="568" ht="15.75" customHeight="1">
      <c r="M568" s="40"/>
      <c r="N568" s="40"/>
    </row>
    <row r="569" ht="15.75" customHeight="1">
      <c r="M569" s="40"/>
      <c r="N569" s="40"/>
    </row>
    <row r="570" ht="15.75" customHeight="1">
      <c r="M570" s="40"/>
      <c r="N570" s="40"/>
    </row>
    <row r="571" ht="15.75" customHeight="1">
      <c r="M571" s="40"/>
      <c r="N571" s="40"/>
    </row>
    <row r="572" ht="15.75" customHeight="1">
      <c r="M572" s="40"/>
      <c r="N572" s="40"/>
    </row>
    <row r="573" ht="15.75" customHeight="1">
      <c r="M573" s="40"/>
      <c r="N573" s="40"/>
    </row>
    <row r="574" ht="15.75" customHeight="1">
      <c r="M574" s="40"/>
      <c r="N574" s="40"/>
    </row>
    <row r="575" ht="15.75" customHeight="1">
      <c r="M575" s="40"/>
      <c r="N575" s="40"/>
    </row>
    <row r="576" ht="15.75" customHeight="1">
      <c r="M576" s="40"/>
      <c r="N576" s="40"/>
    </row>
    <row r="577" ht="15.75" customHeight="1">
      <c r="M577" s="40"/>
      <c r="N577" s="40"/>
    </row>
    <row r="578" ht="15.75" customHeight="1">
      <c r="M578" s="40"/>
      <c r="N578" s="40"/>
    </row>
    <row r="579" ht="15.75" customHeight="1">
      <c r="M579" s="40"/>
      <c r="N579" s="40"/>
    </row>
    <row r="580" ht="15.75" customHeight="1">
      <c r="M580" s="40"/>
      <c r="N580" s="40"/>
    </row>
    <row r="581" ht="15.75" customHeight="1">
      <c r="M581" s="40"/>
      <c r="N581" s="40"/>
    </row>
    <row r="582" ht="15.75" customHeight="1">
      <c r="M582" s="40"/>
      <c r="N582" s="40"/>
    </row>
    <row r="583" ht="15.75" customHeight="1">
      <c r="M583" s="40"/>
      <c r="N583" s="40"/>
    </row>
    <row r="584" ht="15.75" customHeight="1">
      <c r="M584" s="40"/>
      <c r="N584" s="40"/>
    </row>
    <row r="585" ht="15.75" customHeight="1">
      <c r="M585" s="40"/>
      <c r="N585" s="40"/>
    </row>
    <row r="586" ht="15.75" customHeight="1">
      <c r="M586" s="40"/>
      <c r="N586" s="40"/>
    </row>
    <row r="587" ht="15.75" customHeight="1">
      <c r="M587" s="40"/>
      <c r="N587" s="40"/>
    </row>
    <row r="588" ht="15.75" customHeight="1">
      <c r="M588" s="40"/>
      <c r="N588" s="40"/>
    </row>
    <row r="589" ht="15.75" customHeight="1">
      <c r="M589" s="40"/>
      <c r="N589" s="40"/>
    </row>
    <row r="590" ht="15.75" customHeight="1">
      <c r="M590" s="40"/>
      <c r="N590" s="40"/>
    </row>
    <row r="591" ht="15.75" customHeight="1">
      <c r="M591" s="40"/>
      <c r="N591" s="40"/>
    </row>
    <row r="592" ht="15.75" customHeight="1">
      <c r="M592" s="40"/>
      <c r="N592" s="40"/>
    </row>
    <row r="593" ht="15.75" customHeight="1">
      <c r="M593" s="40"/>
      <c r="N593" s="40"/>
    </row>
    <row r="594" ht="15.75" customHeight="1">
      <c r="M594" s="40"/>
      <c r="N594" s="40"/>
    </row>
    <row r="595" ht="15.75" customHeight="1">
      <c r="M595" s="40"/>
      <c r="N595" s="40"/>
    </row>
    <row r="596" ht="15.75" customHeight="1">
      <c r="M596" s="40"/>
      <c r="N596" s="40"/>
    </row>
    <row r="597" ht="15.75" customHeight="1">
      <c r="M597" s="40"/>
      <c r="N597" s="40"/>
    </row>
    <row r="598" ht="15.75" customHeight="1">
      <c r="M598" s="40"/>
      <c r="N598" s="40"/>
    </row>
    <row r="599" ht="15.75" customHeight="1">
      <c r="M599" s="40"/>
      <c r="N599" s="40"/>
    </row>
    <row r="600" ht="15.75" customHeight="1">
      <c r="M600" s="40"/>
      <c r="N600" s="40"/>
    </row>
    <row r="601" ht="15.75" customHeight="1">
      <c r="M601" s="40"/>
      <c r="N601" s="40"/>
    </row>
    <row r="602" ht="15.75" customHeight="1">
      <c r="M602" s="40"/>
      <c r="N602" s="40"/>
    </row>
    <row r="603" ht="15.75" customHeight="1">
      <c r="M603" s="40"/>
      <c r="N603" s="40"/>
    </row>
    <row r="604" ht="15.75" customHeight="1">
      <c r="M604" s="40"/>
      <c r="N604" s="40"/>
    </row>
    <row r="605" ht="15.75" customHeight="1">
      <c r="M605" s="40"/>
      <c r="N605" s="40"/>
    </row>
    <row r="606" ht="15.75" customHeight="1">
      <c r="M606" s="40"/>
      <c r="N606" s="40"/>
    </row>
    <row r="607" ht="15.75" customHeight="1">
      <c r="M607" s="40"/>
      <c r="N607" s="40"/>
    </row>
    <row r="608" ht="15.75" customHeight="1">
      <c r="M608" s="40"/>
      <c r="N608" s="40"/>
    </row>
    <row r="609" ht="15.75" customHeight="1">
      <c r="M609" s="40"/>
      <c r="N609" s="40"/>
    </row>
    <row r="610" ht="15.75" customHeight="1">
      <c r="M610" s="40"/>
      <c r="N610" s="40"/>
    </row>
    <row r="611" ht="15.75" customHeight="1">
      <c r="M611" s="40"/>
      <c r="N611" s="40"/>
    </row>
    <row r="612" ht="15.75" customHeight="1">
      <c r="M612" s="40"/>
      <c r="N612" s="40"/>
    </row>
    <row r="613" ht="15.75" customHeight="1">
      <c r="M613" s="40"/>
      <c r="N613" s="40"/>
    </row>
    <row r="614" ht="15.75" customHeight="1">
      <c r="M614" s="40"/>
      <c r="N614" s="40"/>
    </row>
    <row r="615" ht="15.75" customHeight="1">
      <c r="M615" s="40"/>
      <c r="N615" s="40"/>
    </row>
    <row r="616" ht="15.75" customHeight="1">
      <c r="M616" s="40"/>
      <c r="N616" s="40"/>
    </row>
    <row r="617" ht="15.75" customHeight="1">
      <c r="M617" s="40"/>
      <c r="N617" s="40"/>
    </row>
    <row r="618" ht="15.75" customHeight="1">
      <c r="M618" s="40"/>
      <c r="N618" s="40"/>
    </row>
    <row r="619" ht="15.75" customHeight="1">
      <c r="M619" s="40"/>
      <c r="N619" s="40"/>
    </row>
    <row r="620" ht="15.75" customHeight="1">
      <c r="M620" s="40"/>
      <c r="N620" s="40"/>
    </row>
    <row r="621" ht="15.75" customHeight="1">
      <c r="M621" s="40"/>
      <c r="N621" s="40"/>
    </row>
    <row r="622" ht="15.75" customHeight="1">
      <c r="M622" s="40"/>
      <c r="N622" s="40"/>
    </row>
    <row r="623" ht="15.75" customHeight="1">
      <c r="M623" s="40"/>
      <c r="N623" s="40"/>
    </row>
    <row r="624" ht="15.75" customHeight="1">
      <c r="M624" s="40"/>
      <c r="N624" s="40"/>
    </row>
    <row r="625" ht="15.75" customHeight="1">
      <c r="M625" s="40"/>
      <c r="N625" s="40"/>
    </row>
    <row r="626" ht="15.75" customHeight="1">
      <c r="M626" s="40"/>
      <c r="N626" s="40"/>
    </row>
    <row r="627" ht="15.75" customHeight="1">
      <c r="M627" s="40"/>
      <c r="N627" s="40"/>
    </row>
    <row r="628" ht="15.75" customHeight="1">
      <c r="M628" s="40"/>
      <c r="N628" s="40"/>
    </row>
    <row r="629" ht="15.75" customHeight="1">
      <c r="M629" s="40"/>
      <c r="N629" s="40"/>
    </row>
    <row r="630" ht="15.75" customHeight="1">
      <c r="M630" s="40"/>
      <c r="N630" s="40"/>
    </row>
    <row r="631" ht="15.75" customHeight="1">
      <c r="M631" s="40"/>
      <c r="N631" s="40"/>
    </row>
    <row r="632" ht="15.75" customHeight="1">
      <c r="M632" s="40"/>
      <c r="N632" s="40"/>
    </row>
    <row r="633" ht="15.75" customHeight="1">
      <c r="M633" s="40"/>
      <c r="N633" s="40"/>
    </row>
    <row r="634" ht="15.75" customHeight="1">
      <c r="M634" s="40"/>
      <c r="N634" s="40"/>
    </row>
    <row r="635" ht="15.75" customHeight="1">
      <c r="M635" s="40"/>
      <c r="N635" s="40"/>
    </row>
    <row r="636" ht="15.75" customHeight="1">
      <c r="M636" s="40"/>
      <c r="N636" s="40"/>
    </row>
    <row r="637" ht="15.75" customHeight="1">
      <c r="M637" s="40"/>
      <c r="N637" s="40"/>
    </row>
    <row r="638" ht="15.75" customHeight="1">
      <c r="M638" s="40"/>
      <c r="N638" s="40"/>
    </row>
    <row r="639" ht="15.75" customHeight="1">
      <c r="M639" s="40"/>
      <c r="N639" s="40"/>
    </row>
    <row r="640" ht="15.75" customHeight="1">
      <c r="M640" s="40"/>
      <c r="N640" s="40"/>
    </row>
    <row r="641" ht="15.75" customHeight="1">
      <c r="M641" s="40"/>
      <c r="N641" s="40"/>
    </row>
    <row r="642" ht="15.75" customHeight="1">
      <c r="M642" s="40"/>
      <c r="N642" s="40"/>
    </row>
    <row r="643" ht="15.75" customHeight="1">
      <c r="M643" s="40"/>
      <c r="N643" s="40"/>
    </row>
    <row r="644" ht="15.75" customHeight="1">
      <c r="M644" s="40"/>
      <c r="N644" s="40"/>
    </row>
    <row r="645" ht="15.75" customHeight="1">
      <c r="M645" s="40"/>
      <c r="N645" s="40"/>
    </row>
    <row r="646" ht="15.75" customHeight="1">
      <c r="M646" s="40"/>
      <c r="N646" s="40"/>
    </row>
    <row r="647" ht="15.75" customHeight="1">
      <c r="M647" s="40"/>
      <c r="N647" s="40"/>
    </row>
    <row r="648" ht="15.75" customHeight="1">
      <c r="M648" s="40"/>
      <c r="N648" s="40"/>
    </row>
    <row r="649" ht="15.75" customHeight="1">
      <c r="M649" s="40"/>
      <c r="N649" s="40"/>
    </row>
    <row r="650" ht="15.75" customHeight="1">
      <c r="M650" s="40"/>
      <c r="N650" s="40"/>
    </row>
    <row r="651" ht="15.75" customHeight="1">
      <c r="M651" s="40"/>
      <c r="N651" s="40"/>
    </row>
    <row r="652" ht="15.75" customHeight="1">
      <c r="M652" s="40"/>
      <c r="N652" s="40"/>
    </row>
    <row r="653" ht="15.75" customHeight="1">
      <c r="M653" s="40"/>
      <c r="N653" s="40"/>
    </row>
    <row r="654" ht="15.75" customHeight="1">
      <c r="M654" s="40"/>
      <c r="N654" s="40"/>
    </row>
    <row r="655" ht="15.75" customHeight="1">
      <c r="M655" s="40"/>
      <c r="N655" s="40"/>
    </row>
    <row r="656" ht="15.75" customHeight="1">
      <c r="M656" s="40"/>
      <c r="N656" s="40"/>
    </row>
    <row r="657" ht="15.75" customHeight="1">
      <c r="M657" s="40"/>
      <c r="N657" s="40"/>
    </row>
    <row r="658" ht="15.75" customHeight="1">
      <c r="M658" s="40"/>
      <c r="N658" s="40"/>
    </row>
    <row r="659" ht="15.75" customHeight="1">
      <c r="M659" s="40"/>
      <c r="N659" s="40"/>
    </row>
    <row r="660" ht="15.75" customHeight="1">
      <c r="M660" s="40"/>
      <c r="N660" s="40"/>
    </row>
    <row r="661" ht="15.75" customHeight="1">
      <c r="M661" s="40"/>
      <c r="N661" s="40"/>
    </row>
    <row r="662" ht="15.75" customHeight="1">
      <c r="M662" s="40"/>
      <c r="N662" s="40"/>
    </row>
    <row r="663" ht="15.75" customHeight="1">
      <c r="M663" s="40"/>
      <c r="N663" s="40"/>
    </row>
    <row r="664" ht="15.75" customHeight="1">
      <c r="M664" s="40"/>
      <c r="N664" s="40"/>
    </row>
    <row r="665" ht="15.75" customHeight="1">
      <c r="M665" s="40"/>
      <c r="N665" s="40"/>
    </row>
    <row r="666" ht="15.75" customHeight="1">
      <c r="M666" s="40"/>
      <c r="N666" s="40"/>
    </row>
    <row r="667" ht="15.75" customHeight="1">
      <c r="M667" s="40"/>
      <c r="N667" s="40"/>
    </row>
    <row r="668" ht="15.75" customHeight="1">
      <c r="M668" s="40"/>
      <c r="N668" s="40"/>
    </row>
    <row r="669" ht="15.75" customHeight="1">
      <c r="M669" s="40"/>
      <c r="N669" s="40"/>
    </row>
    <row r="670" ht="15.75" customHeight="1">
      <c r="M670" s="40"/>
      <c r="N670" s="40"/>
    </row>
    <row r="671" ht="15.75" customHeight="1">
      <c r="M671" s="40"/>
      <c r="N671" s="40"/>
    </row>
    <row r="672" ht="15.75" customHeight="1">
      <c r="M672" s="40"/>
      <c r="N672" s="40"/>
    </row>
    <row r="673" ht="15.75" customHeight="1">
      <c r="M673" s="40"/>
      <c r="N673" s="40"/>
    </row>
    <row r="674" ht="15.75" customHeight="1">
      <c r="M674" s="40"/>
      <c r="N674" s="40"/>
    </row>
    <row r="675" ht="15.75" customHeight="1">
      <c r="M675" s="40"/>
      <c r="N675" s="40"/>
    </row>
    <row r="676" ht="15.75" customHeight="1">
      <c r="M676" s="40"/>
      <c r="N676" s="40"/>
    </row>
    <row r="677" ht="15.75" customHeight="1">
      <c r="M677" s="40"/>
      <c r="N677" s="40"/>
    </row>
    <row r="678" ht="15.75" customHeight="1">
      <c r="M678" s="40"/>
      <c r="N678" s="40"/>
    </row>
    <row r="679" ht="15.75" customHeight="1">
      <c r="M679" s="40"/>
      <c r="N679" s="40"/>
    </row>
    <row r="680" ht="15.75" customHeight="1">
      <c r="M680" s="40"/>
      <c r="N680" s="40"/>
    </row>
    <row r="681" ht="15.75" customHeight="1">
      <c r="M681" s="40"/>
      <c r="N681" s="40"/>
    </row>
    <row r="682" ht="15.75" customHeight="1">
      <c r="M682" s="40"/>
      <c r="N682" s="40"/>
    </row>
    <row r="683" ht="15.75" customHeight="1">
      <c r="M683" s="40"/>
      <c r="N683" s="40"/>
    </row>
    <row r="684" ht="15.75" customHeight="1">
      <c r="M684" s="40"/>
      <c r="N684" s="40"/>
    </row>
    <row r="685" ht="15.75" customHeight="1">
      <c r="M685" s="40"/>
      <c r="N685" s="40"/>
    </row>
    <row r="686" ht="15.75" customHeight="1">
      <c r="M686" s="40"/>
      <c r="N686" s="40"/>
    </row>
    <row r="687" ht="15.75" customHeight="1">
      <c r="M687" s="40"/>
      <c r="N687" s="40"/>
    </row>
    <row r="688" ht="15.75" customHeight="1">
      <c r="M688" s="40"/>
      <c r="N688" s="40"/>
    </row>
    <row r="689" ht="15.75" customHeight="1">
      <c r="M689" s="40"/>
      <c r="N689" s="40"/>
    </row>
    <row r="690" ht="15.75" customHeight="1">
      <c r="M690" s="40"/>
      <c r="N690" s="40"/>
    </row>
    <row r="691" ht="15.75" customHeight="1">
      <c r="M691" s="40"/>
      <c r="N691" s="40"/>
    </row>
    <row r="692" ht="15.75" customHeight="1">
      <c r="M692" s="40"/>
      <c r="N692" s="40"/>
    </row>
    <row r="693" ht="15.75" customHeight="1">
      <c r="M693" s="40"/>
      <c r="N693" s="40"/>
    </row>
    <row r="694" ht="15.75" customHeight="1">
      <c r="M694" s="40"/>
      <c r="N694" s="40"/>
    </row>
    <row r="695" ht="15.75" customHeight="1">
      <c r="M695" s="40"/>
      <c r="N695" s="40"/>
    </row>
    <row r="696" ht="15.75" customHeight="1">
      <c r="M696" s="40"/>
      <c r="N696" s="40"/>
    </row>
    <row r="697" ht="15.75" customHeight="1">
      <c r="M697" s="40"/>
      <c r="N697" s="40"/>
    </row>
    <row r="698" ht="15.75" customHeight="1">
      <c r="M698" s="40"/>
      <c r="N698" s="40"/>
    </row>
    <row r="699" ht="15.75" customHeight="1">
      <c r="M699" s="40"/>
      <c r="N699" s="40"/>
    </row>
    <row r="700" ht="15.75" customHeight="1">
      <c r="M700" s="40"/>
      <c r="N700" s="40"/>
    </row>
    <row r="701" ht="15.75" customHeight="1">
      <c r="M701" s="40"/>
      <c r="N701" s="40"/>
    </row>
    <row r="702" ht="15.75" customHeight="1">
      <c r="M702" s="40"/>
      <c r="N702" s="40"/>
    </row>
    <row r="703" ht="15.75" customHeight="1">
      <c r="M703" s="40"/>
      <c r="N703" s="40"/>
    </row>
    <row r="704" ht="15.75" customHeight="1">
      <c r="M704" s="40"/>
      <c r="N704" s="40"/>
    </row>
    <row r="705" ht="15.75" customHeight="1">
      <c r="M705" s="40"/>
      <c r="N705" s="40"/>
    </row>
    <row r="706" ht="15.75" customHeight="1">
      <c r="M706" s="40"/>
      <c r="N706" s="40"/>
    </row>
    <row r="707" ht="15.75" customHeight="1">
      <c r="M707" s="40"/>
      <c r="N707" s="40"/>
    </row>
    <row r="708" ht="15.75" customHeight="1">
      <c r="M708" s="40"/>
      <c r="N708" s="40"/>
    </row>
    <row r="709" ht="15.75" customHeight="1">
      <c r="M709" s="40"/>
      <c r="N709" s="40"/>
    </row>
    <row r="710" ht="15.75" customHeight="1">
      <c r="M710" s="40"/>
      <c r="N710" s="40"/>
    </row>
    <row r="711" ht="15.75" customHeight="1">
      <c r="M711" s="40"/>
      <c r="N711" s="40"/>
    </row>
    <row r="712" ht="15.75" customHeight="1">
      <c r="M712" s="40"/>
      <c r="N712" s="40"/>
    </row>
    <row r="713" ht="15.75" customHeight="1">
      <c r="M713" s="40"/>
      <c r="N713" s="40"/>
    </row>
    <row r="714" ht="15.75" customHeight="1">
      <c r="M714" s="40"/>
      <c r="N714" s="40"/>
    </row>
    <row r="715" ht="15.75" customHeight="1">
      <c r="M715" s="40"/>
      <c r="N715" s="40"/>
    </row>
    <row r="716" ht="15.75" customHeight="1">
      <c r="M716" s="40"/>
      <c r="N716" s="40"/>
    </row>
    <row r="717" ht="15.75" customHeight="1">
      <c r="M717" s="40"/>
      <c r="N717" s="40"/>
    </row>
    <row r="718" ht="15.75" customHeight="1">
      <c r="M718" s="40"/>
      <c r="N718" s="40"/>
    </row>
    <row r="719" ht="15.75" customHeight="1">
      <c r="M719" s="40"/>
      <c r="N719" s="40"/>
    </row>
    <row r="720" ht="15.75" customHeight="1">
      <c r="M720" s="40"/>
      <c r="N720" s="40"/>
    </row>
    <row r="721" ht="15.75" customHeight="1">
      <c r="M721" s="40"/>
      <c r="N721" s="40"/>
    </row>
    <row r="722" ht="15.75" customHeight="1">
      <c r="M722" s="40"/>
      <c r="N722" s="40"/>
    </row>
    <row r="723" ht="15.75" customHeight="1">
      <c r="M723" s="40"/>
      <c r="N723" s="40"/>
    </row>
    <row r="724" ht="15.75" customHeight="1">
      <c r="M724" s="40"/>
      <c r="N724" s="40"/>
    </row>
    <row r="725" ht="15.75" customHeight="1">
      <c r="M725" s="40"/>
      <c r="N725" s="40"/>
    </row>
    <row r="726" ht="15.75" customHeight="1">
      <c r="M726" s="40"/>
      <c r="N726" s="40"/>
    </row>
    <row r="727" ht="15.75" customHeight="1">
      <c r="M727" s="40"/>
      <c r="N727" s="40"/>
    </row>
    <row r="728" ht="15.75" customHeight="1">
      <c r="M728" s="40"/>
      <c r="N728" s="40"/>
    </row>
    <row r="729" ht="15.75" customHeight="1">
      <c r="M729" s="40"/>
      <c r="N729" s="40"/>
    </row>
    <row r="730" ht="15.75" customHeight="1">
      <c r="M730" s="40"/>
      <c r="N730" s="40"/>
    </row>
    <row r="731" ht="15.75" customHeight="1">
      <c r="M731" s="40"/>
      <c r="N731" s="40"/>
    </row>
    <row r="732" ht="15.75" customHeight="1">
      <c r="M732" s="40"/>
      <c r="N732" s="40"/>
    </row>
    <row r="733" ht="15.75" customHeight="1">
      <c r="M733" s="40"/>
      <c r="N733" s="40"/>
    </row>
    <row r="734" ht="15.75" customHeight="1">
      <c r="M734" s="40"/>
      <c r="N734" s="40"/>
    </row>
    <row r="735" ht="15.75" customHeight="1">
      <c r="M735" s="40"/>
      <c r="N735" s="40"/>
    </row>
    <row r="736" ht="15.75" customHeight="1">
      <c r="M736" s="40"/>
      <c r="N736" s="40"/>
    </row>
    <row r="737" ht="15.75" customHeight="1">
      <c r="M737" s="40"/>
      <c r="N737" s="40"/>
    </row>
    <row r="738" ht="15.75" customHeight="1">
      <c r="M738" s="40"/>
      <c r="N738" s="40"/>
    </row>
    <row r="739" ht="15.75" customHeight="1">
      <c r="M739" s="40"/>
      <c r="N739" s="40"/>
    </row>
    <row r="740" ht="15.75" customHeight="1">
      <c r="M740" s="40"/>
      <c r="N740" s="40"/>
    </row>
    <row r="741" ht="15.75" customHeight="1">
      <c r="M741" s="40"/>
      <c r="N741" s="40"/>
    </row>
    <row r="742" ht="15.75" customHeight="1">
      <c r="M742" s="40"/>
      <c r="N742" s="40"/>
    </row>
    <row r="743" ht="15.75" customHeight="1">
      <c r="M743" s="40"/>
      <c r="N743" s="40"/>
    </row>
    <row r="744" ht="15.75" customHeight="1">
      <c r="M744" s="40"/>
      <c r="N744" s="40"/>
    </row>
    <row r="745" ht="15.75" customHeight="1">
      <c r="M745" s="40"/>
      <c r="N745" s="40"/>
    </row>
    <row r="746" ht="15.75" customHeight="1">
      <c r="M746" s="40"/>
      <c r="N746" s="40"/>
    </row>
    <row r="747" ht="15.75" customHeight="1">
      <c r="M747" s="40"/>
      <c r="N747" s="40"/>
    </row>
    <row r="748" ht="15.75" customHeight="1">
      <c r="M748" s="40"/>
      <c r="N748" s="40"/>
    </row>
    <row r="749" ht="15.75" customHeight="1">
      <c r="M749" s="40"/>
      <c r="N749" s="40"/>
    </row>
    <row r="750" ht="15.75" customHeight="1">
      <c r="M750" s="40"/>
      <c r="N750" s="40"/>
    </row>
    <row r="751" ht="15.75" customHeight="1">
      <c r="M751" s="40"/>
      <c r="N751" s="40"/>
    </row>
    <row r="752" ht="15.75" customHeight="1">
      <c r="M752" s="40"/>
      <c r="N752" s="40"/>
    </row>
    <row r="753" ht="15.75" customHeight="1">
      <c r="M753" s="40"/>
      <c r="N753" s="40"/>
    </row>
    <row r="754" ht="15.75" customHeight="1">
      <c r="M754" s="40"/>
      <c r="N754" s="40"/>
    </row>
    <row r="755" ht="15.75" customHeight="1">
      <c r="M755" s="40"/>
      <c r="N755" s="40"/>
    </row>
    <row r="756" ht="15.75" customHeight="1">
      <c r="M756" s="40"/>
      <c r="N756" s="40"/>
    </row>
    <row r="757" ht="15.75" customHeight="1">
      <c r="M757" s="40"/>
      <c r="N757" s="40"/>
    </row>
    <row r="758" ht="15.75" customHeight="1">
      <c r="M758" s="40"/>
      <c r="N758" s="40"/>
    </row>
    <row r="759" ht="15.75" customHeight="1">
      <c r="M759" s="40"/>
      <c r="N759" s="40"/>
    </row>
    <row r="760" ht="15.75" customHeight="1">
      <c r="M760" s="40"/>
      <c r="N760" s="40"/>
    </row>
    <row r="761" ht="15.75" customHeight="1">
      <c r="M761" s="40"/>
      <c r="N761" s="40"/>
    </row>
    <row r="762" ht="15.75" customHeight="1">
      <c r="M762" s="40"/>
      <c r="N762" s="40"/>
    </row>
    <row r="763" ht="15.75" customHeight="1">
      <c r="M763" s="40"/>
      <c r="N763" s="40"/>
    </row>
    <row r="764" ht="15.75" customHeight="1">
      <c r="M764" s="40"/>
      <c r="N764" s="40"/>
    </row>
    <row r="765" ht="15.75" customHeight="1">
      <c r="M765" s="40"/>
      <c r="N765" s="40"/>
    </row>
    <row r="766" ht="15.75" customHeight="1">
      <c r="M766" s="40"/>
      <c r="N766" s="40"/>
    </row>
    <row r="767" ht="15.75" customHeight="1">
      <c r="M767" s="40"/>
      <c r="N767" s="40"/>
    </row>
    <row r="768" ht="15.75" customHeight="1">
      <c r="M768" s="40"/>
      <c r="N768" s="40"/>
    </row>
    <row r="769" ht="15.75" customHeight="1">
      <c r="M769" s="40"/>
      <c r="N769" s="40"/>
    </row>
    <row r="770" ht="15.75" customHeight="1">
      <c r="M770" s="40"/>
      <c r="N770" s="40"/>
    </row>
    <row r="771" ht="15.75" customHeight="1">
      <c r="M771" s="40"/>
      <c r="N771" s="40"/>
    </row>
    <row r="772" ht="15.75" customHeight="1">
      <c r="M772" s="40"/>
      <c r="N772" s="40"/>
    </row>
    <row r="773" ht="15.75" customHeight="1">
      <c r="M773" s="40"/>
      <c r="N773" s="40"/>
    </row>
    <row r="774" ht="15.75" customHeight="1">
      <c r="M774" s="40"/>
      <c r="N774" s="40"/>
    </row>
    <row r="775" ht="15.75" customHeight="1">
      <c r="M775" s="40"/>
      <c r="N775" s="40"/>
    </row>
    <row r="776" ht="15.75" customHeight="1">
      <c r="M776" s="40"/>
      <c r="N776" s="40"/>
    </row>
    <row r="777" ht="15.75" customHeight="1">
      <c r="M777" s="40"/>
      <c r="N777" s="40"/>
    </row>
    <row r="778" ht="15.75" customHeight="1">
      <c r="M778" s="40"/>
      <c r="N778" s="40"/>
    </row>
    <row r="779" ht="15.75" customHeight="1">
      <c r="M779" s="40"/>
      <c r="N779" s="40"/>
    </row>
    <row r="780" ht="15.75" customHeight="1">
      <c r="M780" s="40"/>
      <c r="N780" s="40"/>
    </row>
    <row r="781" ht="15.75" customHeight="1">
      <c r="M781" s="40"/>
      <c r="N781" s="40"/>
    </row>
    <row r="782" ht="15.75" customHeight="1">
      <c r="M782" s="40"/>
      <c r="N782" s="40"/>
    </row>
    <row r="783" ht="15.75" customHeight="1">
      <c r="M783" s="40"/>
      <c r="N783" s="40"/>
    </row>
    <row r="784" ht="15.75" customHeight="1">
      <c r="M784" s="40"/>
      <c r="N784" s="40"/>
    </row>
    <row r="785" ht="15.75" customHeight="1">
      <c r="M785" s="40"/>
      <c r="N785" s="40"/>
    </row>
    <row r="786" ht="15.75" customHeight="1">
      <c r="M786" s="40"/>
      <c r="N786" s="40"/>
    </row>
    <row r="787" ht="15.75" customHeight="1">
      <c r="M787" s="40"/>
      <c r="N787" s="40"/>
    </row>
    <row r="788" ht="15.75" customHeight="1">
      <c r="M788" s="40"/>
      <c r="N788" s="40"/>
    </row>
    <row r="789" ht="15.75" customHeight="1">
      <c r="M789" s="40"/>
      <c r="N789" s="40"/>
    </row>
    <row r="790" ht="15.75" customHeight="1">
      <c r="M790" s="40"/>
      <c r="N790" s="40"/>
    </row>
    <row r="791" ht="15.75" customHeight="1">
      <c r="M791" s="40"/>
      <c r="N791" s="40"/>
    </row>
    <row r="792" ht="15.75" customHeight="1">
      <c r="M792" s="40"/>
      <c r="N792" s="40"/>
    </row>
    <row r="793" ht="15.75" customHeight="1">
      <c r="M793" s="40"/>
      <c r="N793" s="40"/>
    </row>
    <row r="794" ht="15.75" customHeight="1">
      <c r="M794" s="40"/>
      <c r="N794" s="40"/>
    </row>
    <row r="795" ht="15.75" customHeight="1">
      <c r="M795" s="40"/>
      <c r="N795" s="40"/>
    </row>
    <row r="796" ht="15.75" customHeight="1">
      <c r="M796" s="40"/>
      <c r="N796" s="40"/>
    </row>
    <row r="797" ht="15.75" customHeight="1">
      <c r="M797" s="40"/>
      <c r="N797" s="40"/>
    </row>
    <row r="798" ht="15.75" customHeight="1">
      <c r="M798" s="40"/>
      <c r="N798" s="40"/>
    </row>
    <row r="799" ht="15.75" customHeight="1">
      <c r="M799" s="40"/>
      <c r="N799" s="40"/>
    </row>
    <row r="800" ht="15.75" customHeight="1">
      <c r="M800" s="40"/>
      <c r="N800" s="40"/>
    </row>
    <row r="801" ht="15.75" customHeight="1">
      <c r="M801" s="40"/>
      <c r="N801" s="40"/>
    </row>
    <row r="802" ht="15.75" customHeight="1">
      <c r="M802" s="40"/>
      <c r="N802" s="40"/>
    </row>
    <row r="803" ht="15.75" customHeight="1">
      <c r="M803" s="40"/>
      <c r="N803" s="40"/>
    </row>
    <row r="804" ht="15.75" customHeight="1">
      <c r="M804" s="40"/>
      <c r="N804" s="40"/>
    </row>
    <row r="805" ht="15.75" customHeight="1">
      <c r="M805" s="40"/>
      <c r="N805" s="40"/>
    </row>
    <row r="806" ht="15.75" customHeight="1">
      <c r="M806" s="40"/>
      <c r="N806" s="40"/>
    </row>
    <row r="807" ht="15.75" customHeight="1">
      <c r="M807" s="40"/>
      <c r="N807" s="40"/>
    </row>
    <row r="808" ht="15.75" customHeight="1">
      <c r="M808" s="40"/>
      <c r="N808" s="40"/>
    </row>
    <row r="809" ht="15.75" customHeight="1">
      <c r="M809" s="40"/>
      <c r="N809" s="40"/>
    </row>
    <row r="810" ht="15.75" customHeight="1">
      <c r="M810" s="40"/>
      <c r="N810" s="40"/>
    </row>
    <row r="811" ht="15.75" customHeight="1">
      <c r="M811" s="40"/>
      <c r="N811" s="40"/>
    </row>
    <row r="812" ht="15.75" customHeight="1">
      <c r="M812" s="40"/>
      <c r="N812" s="40"/>
    </row>
    <row r="813" ht="15.75" customHeight="1">
      <c r="M813" s="40"/>
      <c r="N813" s="40"/>
    </row>
    <row r="814" ht="15.75" customHeight="1">
      <c r="M814" s="40"/>
      <c r="N814" s="40"/>
    </row>
    <row r="815" ht="15.75" customHeight="1">
      <c r="M815" s="40"/>
      <c r="N815" s="40"/>
    </row>
    <row r="816" ht="15.75" customHeight="1">
      <c r="M816" s="40"/>
      <c r="N816" s="40"/>
    </row>
    <row r="817" ht="15.75" customHeight="1">
      <c r="M817" s="40"/>
      <c r="N817" s="40"/>
    </row>
    <row r="818" ht="15.75" customHeight="1">
      <c r="M818" s="40"/>
      <c r="N818" s="40"/>
    </row>
    <row r="819" ht="15.75" customHeight="1">
      <c r="M819" s="40"/>
      <c r="N819" s="40"/>
    </row>
    <row r="820" ht="15.75" customHeight="1">
      <c r="M820" s="40"/>
      <c r="N820" s="40"/>
    </row>
    <row r="821" ht="15.75" customHeight="1">
      <c r="M821" s="40"/>
      <c r="N821" s="40"/>
    </row>
    <row r="822" ht="15.75" customHeight="1">
      <c r="M822" s="40"/>
      <c r="N822" s="40"/>
    </row>
    <row r="823" ht="15.75" customHeight="1">
      <c r="M823" s="40"/>
      <c r="N823" s="40"/>
    </row>
    <row r="824" ht="15.75" customHeight="1">
      <c r="M824" s="40"/>
      <c r="N824" s="40"/>
    </row>
    <row r="825" ht="15.75" customHeight="1">
      <c r="M825" s="40"/>
      <c r="N825" s="40"/>
    </row>
    <row r="826" ht="15.75" customHeight="1">
      <c r="M826" s="40"/>
      <c r="N826" s="40"/>
    </row>
    <row r="827" ht="15.75" customHeight="1">
      <c r="M827" s="40"/>
      <c r="N827" s="40"/>
    </row>
    <row r="828" ht="15.75" customHeight="1">
      <c r="M828" s="40"/>
      <c r="N828" s="40"/>
    </row>
    <row r="829" ht="15.75" customHeight="1">
      <c r="M829" s="40"/>
      <c r="N829" s="40"/>
    </row>
    <row r="830" ht="15.75" customHeight="1">
      <c r="M830" s="40"/>
      <c r="N830" s="40"/>
    </row>
    <row r="831" ht="15.75" customHeight="1">
      <c r="M831" s="40"/>
      <c r="N831" s="40"/>
    </row>
    <row r="832" ht="15.75" customHeight="1">
      <c r="M832" s="40"/>
      <c r="N832" s="40"/>
    </row>
    <row r="833" ht="15.75" customHeight="1">
      <c r="M833" s="40"/>
      <c r="N833" s="40"/>
    </row>
    <row r="834" ht="15.75" customHeight="1">
      <c r="M834" s="40"/>
      <c r="N834" s="40"/>
    </row>
    <row r="835" ht="15.75" customHeight="1">
      <c r="M835" s="40"/>
      <c r="N835" s="40"/>
    </row>
    <row r="836" ht="15.75" customHeight="1">
      <c r="M836" s="40"/>
      <c r="N836" s="40"/>
    </row>
    <row r="837" ht="15.75" customHeight="1">
      <c r="M837" s="40"/>
      <c r="N837" s="40"/>
    </row>
    <row r="838" ht="15.75" customHeight="1">
      <c r="M838" s="40"/>
      <c r="N838" s="40"/>
    </row>
    <row r="839" ht="15.75" customHeight="1">
      <c r="M839" s="40"/>
      <c r="N839" s="40"/>
    </row>
    <row r="840" ht="15.75" customHeight="1">
      <c r="M840" s="40"/>
      <c r="N840" s="40"/>
    </row>
    <row r="841" ht="15.75" customHeight="1">
      <c r="M841" s="40"/>
      <c r="N841" s="40"/>
    </row>
    <row r="842" ht="15.75" customHeight="1">
      <c r="M842" s="40"/>
      <c r="N842" s="40"/>
    </row>
    <row r="843" ht="15.75" customHeight="1">
      <c r="M843" s="40"/>
      <c r="N843" s="40"/>
    </row>
    <row r="844" ht="15.75" customHeight="1">
      <c r="M844" s="40"/>
      <c r="N844" s="40"/>
    </row>
    <row r="845" ht="15.75" customHeight="1">
      <c r="M845" s="40"/>
      <c r="N845" s="40"/>
    </row>
    <row r="846" ht="15.75" customHeight="1">
      <c r="M846" s="40"/>
      <c r="N846" s="40"/>
    </row>
    <row r="847" ht="15.75" customHeight="1">
      <c r="M847" s="40"/>
      <c r="N847" s="40"/>
    </row>
    <row r="848" ht="15.75" customHeight="1">
      <c r="M848" s="40"/>
      <c r="N848" s="40"/>
    </row>
    <row r="849" ht="15.75" customHeight="1">
      <c r="M849" s="40"/>
      <c r="N849" s="40"/>
    </row>
    <row r="850" ht="15.75" customHeight="1">
      <c r="M850" s="40"/>
      <c r="N850" s="40"/>
    </row>
    <row r="851" ht="15.75" customHeight="1">
      <c r="M851" s="40"/>
      <c r="N851" s="40"/>
    </row>
    <row r="852" ht="15.75" customHeight="1">
      <c r="M852" s="40"/>
      <c r="N852" s="40"/>
    </row>
    <row r="853" ht="15.75" customHeight="1">
      <c r="M853" s="40"/>
      <c r="N853" s="40"/>
    </row>
    <row r="854" ht="15.75" customHeight="1">
      <c r="M854" s="40"/>
      <c r="N854" s="40"/>
    </row>
    <row r="855" ht="15.75" customHeight="1">
      <c r="M855" s="40"/>
      <c r="N855" s="40"/>
    </row>
    <row r="856" ht="15.75" customHeight="1">
      <c r="M856" s="40"/>
      <c r="N856" s="40"/>
    </row>
    <row r="857" ht="15.75" customHeight="1">
      <c r="M857" s="40"/>
      <c r="N857" s="40"/>
    </row>
    <row r="858" ht="15.75" customHeight="1">
      <c r="M858" s="40"/>
      <c r="N858" s="40"/>
    </row>
    <row r="859" ht="15.75" customHeight="1">
      <c r="M859" s="40"/>
      <c r="N859" s="40"/>
    </row>
    <row r="860" ht="15.75" customHeight="1">
      <c r="M860" s="40"/>
      <c r="N860" s="40"/>
    </row>
    <row r="861" ht="15.75" customHeight="1">
      <c r="M861" s="40"/>
      <c r="N861" s="40"/>
    </row>
    <row r="862" ht="15.75" customHeight="1">
      <c r="M862" s="40"/>
      <c r="N862" s="40"/>
    </row>
    <row r="863" ht="15.75" customHeight="1">
      <c r="M863" s="40"/>
      <c r="N863" s="40"/>
    </row>
    <row r="864" ht="15.75" customHeight="1">
      <c r="M864" s="40"/>
      <c r="N864" s="40"/>
    </row>
    <row r="865" ht="15.75" customHeight="1">
      <c r="M865" s="40"/>
      <c r="N865" s="40"/>
    </row>
    <row r="866" ht="15.75" customHeight="1">
      <c r="M866" s="40"/>
      <c r="N866" s="40"/>
    </row>
    <row r="867" ht="15.75" customHeight="1">
      <c r="M867" s="40"/>
      <c r="N867" s="40"/>
    </row>
    <row r="868" ht="15.75" customHeight="1">
      <c r="M868" s="40"/>
      <c r="N868" s="40"/>
    </row>
    <row r="869" ht="15.75" customHeight="1">
      <c r="M869" s="40"/>
      <c r="N869" s="40"/>
    </row>
    <row r="870" ht="15.75" customHeight="1">
      <c r="M870" s="40"/>
      <c r="N870" s="40"/>
    </row>
    <row r="871" ht="15.75" customHeight="1">
      <c r="M871" s="40"/>
      <c r="N871" s="40"/>
    </row>
    <row r="872" ht="15.75" customHeight="1">
      <c r="M872" s="40"/>
      <c r="N872" s="40"/>
    </row>
    <row r="873" ht="15.75" customHeight="1">
      <c r="M873" s="40"/>
      <c r="N873" s="40"/>
    </row>
    <row r="874" ht="15.75" customHeight="1">
      <c r="M874" s="40"/>
      <c r="N874" s="40"/>
    </row>
    <row r="875" ht="15.75" customHeight="1">
      <c r="M875" s="40"/>
      <c r="N875" s="40"/>
    </row>
    <row r="876" ht="15.75" customHeight="1">
      <c r="M876" s="40"/>
      <c r="N876" s="40"/>
    </row>
    <row r="877" ht="15.75" customHeight="1">
      <c r="M877" s="40"/>
      <c r="N877" s="40"/>
    </row>
    <row r="878" ht="15.75" customHeight="1">
      <c r="M878" s="40"/>
      <c r="N878" s="40"/>
    </row>
    <row r="879" ht="15.75" customHeight="1">
      <c r="M879" s="40"/>
      <c r="N879" s="40"/>
    </row>
    <row r="880" ht="15.75" customHeight="1">
      <c r="M880" s="40"/>
      <c r="N880" s="40"/>
    </row>
    <row r="881" ht="15.75" customHeight="1">
      <c r="M881" s="40"/>
      <c r="N881" s="40"/>
    </row>
    <row r="882" ht="15.75" customHeight="1">
      <c r="M882" s="40"/>
      <c r="N882" s="40"/>
    </row>
    <row r="883" ht="15.75" customHeight="1">
      <c r="M883" s="40"/>
      <c r="N883" s="40"/>
    </row>
    <row r="884" ht="15.75" customHeight="1">
      <c r="M884" s="40"/>
      <c r="N884" s="40"/>
    </row>
    <row r="885" ht="15.75" customHeight="1">
      <c r="M885" s="40"/>
      <c r="N885" s="40"/>
    </row>
    <row r="886" ht="15.75" customHeight="1">
      <c r="M886" s="40"/>
      <c r="N886" s="40"/>
    </row>
    <row r="887" ht="15.75" customHeight="1">
      <c r="M887" s="40"/>
      <c r="N887" s="40"/>
    </row>
    <row r="888" ht="15.75" customHeight="1">
      <c r="M888" s="40"/>
      <c r="N888" s="40"/>
    </row>
    <row r="889" ht="15.75" customHeight="1">
      <c r="M889" s="40"/>
      <c r="N889" s="40"/>
    </row>
    <row r="890" ht="15.75" customHeight="1">
      <c r="M890" s="40"/>
      <c r="N890" s="40"/>
    </row>
    <row r="891" ht="15.75" customHeight="1">
      <c r="M891" s="40"/>
      <c r="N891" s="40"/>
    </row>
    <row r="892" ht="15.75" customHeight="1">
      <c r="M892" s="40"/>
      <c r="N892" s="40"/>
    </row>
    <row r="893" ht="15.75" customHeight="1">
      <c r="M893" s="40"/>
      <c r="N893" s="40"/>
    </row>
    <row r="894" ht="15.75" customHeight="1">
      <c r="M894" s="40"/>
      <c r="N894" s="40"/>
    </row>
    <row r="895" ht="15.75" customHeight="1">
      <c r="M895" s="40"/>
      <c r="N895" s="40"/>
    </row>
    <row r="896" ht="15.75" customHeight="1">
      <c r="M896" s="40"/>
      <c r="N896" s="40"/>
    </row>
    <row r="897" ht="15.75" customHeight="1">
      <c r="M897" s="40"/>
      <c r="N897" s="40"/>
    </row>
    <row r="898" ht="15.75" customHeight="1">
      <c r="M898" s="40"/>
      <c r="N898" s="40"/>
    </row>
    <row r="899" ht="15.75" customHeight="1">
      <c r="M899" s="40"/>
      <c r="N899" s="40"/>
    </row>
    <row r="900" ht="15.75" customHeight="1">
      <c r="M900" s="40"/>
      <c r="N900" s="40"/>
    </row>
    <row r="901" ht="15.75" customHeight="1">
      <c r="M901" s="40"/>
      <c r="N901" s="40"/>
    </row>
    <row r="902" ht="15.75" customHeight="1">
      <c r="M902" s="40"/>
      <c r="N902" s="40"/>
    </row>
    <row r="903" ht="15.75" customHeight="1">
      <c r="M903" s="40"/>
      <c r="N903" s="40"/>
    </row>
    <row r="904" ht="15.75" customHeight="1">
      <c r="M904" s="40"/>
      <c r="N904" s="40"/>
    </row>
    <row r="905" ht="15.75" customHeight="1">
      <c r="M905" s="40"/>
      <c r="N905" s="40"/>
    </row>
    <row r="906" ht="15.75" customHeight="1">
      <c r="M906" s="40"/>
      <c r="N906" s="40"/>
    </row>
    <row r="907" ht="15.75" customHeight="1">
      <c r="M907" s="40"/>
      <c r="N907" s="40"/>
    </row>
    <row r="908" ht="15.75" customHeight="1">
      <c r="M908" s="40"/>
      <c r="N908" s="40"/>
    </row>
    <row r="909" ht="15.75" customHeight="1">
      <c r="M909" s="40"/>
      <c r="N909" s="40"/>
    </row>
    <row r="910" ht="15.75" customHeight="1">
      <c r="M910" s="40"/>
      <c r="N910" s="40"/>
    </row>
    <row r="911" ht="15.75" customHeight="1">
      <c r="M911" s="40"/>
      <c r="N911" s="40"/>
    </row>
    <row r="912" ht="15.75" customHeight="1">
      <c r="M912" s="40"/>
      <c r="N912" s="40"/>
    </row>
    <row r="913" ht="15.75" customHeight="1">
      <c r="M913" s="40"/>
      <c r="N913" s="40"/>
    </row>
    <row r="914" ht="15.75" customHeight="1">
      <c r="M914" s="40"/>
      <c r="N914" s="40"/>
    </row>
    <row r="915" ht="15.75" customHeight="1">
      <c r="M915" s="40"/>
      <c r="N915" s="40"/>
    </row>
    <row r="916" ht="15.75" customHeight="1">
      <c r="M916" s="40"/>
      <c r="N916" s="40"/>
    </row>
    <row r="917" ht="15.75" customHeight="1">
      <c r="M917" s="40"/>
      <c r="N917" s="40"/>
    </row>
    <row r="918" ht="15.75" customHeight="1">
      <c r="M918" s="40"/>
      <c r="N918" s="40"/>
    </row>
    <row r="919" ht="15.75" customHeight="1">
      <c r="M919" s="40"/>
      <c r="N919" s="40"/>
    </row>
    <row r="920" ht="15.75" customHeight="1">
      <c r="M920" s="40"/>
      <c r="N920" s="40"/>
    </row>
    <row r="921" ht="15.75" customHeight="1">
      <c r="M921" s="40"/>
      <c r="N921" s="40"/>
    </row>
    <row r="922" ht="15.75" customHeight="1">
      <c r="M922" s="40"/>
      <c r="N922" s="40"/>
    </row>
    <row r="923" ht="15.75" customHeight="1">
      <c r="M923" s="40"/>
      <c r="N923" s="40"/>
    </row>
    <row r="924" ht="15.75" customHeight="1">
      <c r="M924" s="40"/>
      <c r="N924" s="40"/>
    </row>
    <row r="925" ht="15.75" customHeight="1">
      <c r="M925" s="40"/>
      <c r="N925" s="40"/>
    </row>
    <row r="926" ht="15.75" customHeight="1">
      <c r="M926" s="40"/>
      <c r="N926" s="40"/>
    </row>
    <row r="927" ht="15.75" customHeight="1">
      <c r="M927" s="40"/>
      <c r="N927" s="40"/>
    </row>
    <row r="928" ht="15.75" customHeight="1">
      <c r="M928" s="40"/>
      <c r="N928" s="40"/>
    </row>
    <row r="929" ht="15.75" customHeight="1">
      <c r="M929" s="40"/>
      <c r="N929" s="40"/>
    </row>
    <row r="930" ht="15.75" customHeight="1">
      <c r="M930" s="40"/>
      <c r="N930" s="40"/>
    </row>
    <row r="931" ht="15.75" customHeight="1">
      <c r="M931" s="40"/>
      <c r="N931" s="40"/>
    </row>
    <row r="932" ht="15.75" customHeight="1">
      <c r="M932" s="40"/>
      <c r="N932" s="40"/>
    </row>
    <row r="933" ht="15.75" customHeight="1">
      <c r="M933" s="40"/>
      <c r="N933" s="40"/>
    </row>
    <row r="934" ht="15.75" customHeight="1">
      <c r="M934" s="40"/>
      <c r="N934" s="40"/>
    </row>
    <row r="935" ht="15.75" customHeight="1">
      <c r="M935" s="40"/>
      <c r="N935" s="40"/>
    </row>
    <row r="936" ht="15.75" customHeight="1">
      <c r="M936" s="40"/>
      <c r="N936" s="40"/>
    </row>
    <row r="937" ht="15.75" customHeight="1">
      <c r="M937" s="40"/>
      <c r="N937" s="40"/>
    </row>
    <row r="938" ht="15.75" customHeight="1">
      <c r="M938" s="40"/>
      <c r="N938" s="40"/>
    </row>
    <row r="939" ht="15.75" customHeight="1">
      <c r="M939" s="40"/>
      <c r="N939" s="40"/>
    </row>
    <row r="940" ht="15.75" customHeight="1">
      <c r="M940" s="40"/>
      <c r="N940" s="40"/>
    </row>
    <row r="941" ht="15.75" customHeight="1">
      <c r="M941" s="40"/>
      <c r="N941" s="40"/>
    </row>
    <row r="942" ht="15.75" customHeight="1">
      <c r="M942" s="40"/>
      <c r="N942" s="40"/>
    </row>
    <row r="943" ht="15.75" customHeight="1">
      <c r="M943" s="40"/>
      <c r="N943" s="40"/>
    </row>
    <row r="944" ht="15.75" customHeight="1">
      <c r="M944" s="40"/>
      <c r="N944" s="40"/>
    </row>
    <row r="945" ht="15.75" customHeight="1">
      <c r="M945" s="40"/>
      <c r="N945" s="40"/>
    </row>
    <row r="946" ht="15.75" customHeight="1">
      <c r="M946" s="40"/>
      <c r="N946" s="40"/>
    </row>
    <row r="947" ht="15.75" customHeight="1">
      <c r="M947" s="40"/>
      <c r="N947" s="40"/>
    </row>
    <row r="948" ht="15.75" customHeight="1">
      <c r="M948" s="40"/>
      <c r="N948" s="40"/>
    </row>
    <row r="949" ht="15.75" customHeight="1">
      <c r="M949" s="40"/>
      <c r="N949" s="40"/>
    </row>
    <row r="950" ht="15.75" customHeight="1">
      <c r="M950" s="40"/>
      <c r="N950" s="40"/>
    </row>
    <row r="951" ht="15.75" customHeight="1">
      <c r="M951" s="40"/>
      <c r="N951" s="40"/>
    </row>
    <row r="952" ht="15.75" customHeight="1">
      <c r="M952" s="40"/>
      <c r="N952" s="40"/>
    </row>
    <row r="953" ht="15.75" customHeight="1">
      <c r="M953" s="40"/>
      <c r="N953" s="40"/>
    </row>
    <row r="954" ht="15.75" customHeight="1">
      <c r="M954" s="40"/>
      <c r="N954" s="40"/>
    </row>
    <row r="955" ht="15.75" customHeight="1">
      <c r="M955" s="40"/>
      <c r="N955" s="40"/>
    </row>
    <row r="956" ht="15.75" customHeight="1">
      <c r="M956" s="40"/>
      <c r="N956" s="40"/>
    </row>
    <row r="957" ht="15.75" customHeight="1">
      <c r="M957" s="40"/>
      <c r="N957" s="40"/>
    </row>
    <row r="958" ht="15.75" customHeight="1">
      <c r="M958" s="40"/>
      <c r="N958" s="40"/>
    </row>
    <row r="959" ht="15.75" customHeight="1">
      <c r="M959" s="40"/>
      <c r="N959" s="40"/>
    </row>
    <row r="960" ht="15.75" customHeight="1">
      <c r="M960" s="40"/>
      <c r="N960" s="40"/>
    </row>
    <row r="961" ht="15.75" customHeight="1">
      <c r="M961" s="40"/>
      <c r="N961" s="40"/>
    </row>
    <row r="962" ht="15.75" customHeight="1">
      <c r="M962" s="40"/>
      <c r="N962" s="40"/>
    </row>
    <row r="963" ht="15.75" customHeight="1">
      <c r="M963" s="40"/>
      <c r="N963" s="40"/>
    </row>
    <row r="964" ht="15.75" customHeight="1">
      <c r="M964" s="40"/>
      <c r="N964" s="40"/>
    </row>
    <row r="965" ht="15.75" customHeight="1">
      <c r="M965" s="40"/>
      <c r="N965" s="40"/>
    </row>
    <row r="966" ht="15.75" customHeight="1">
      <c r="M966" s="40"/>
      <c r="N966" s="40"/>
    </row>
    <row r="967" ht="15.75" customHeight="1">
      <c r="M967" s="40"/>
      <c r="N967" s="40"/>
    </row>
    <row r="968" ht="15.75" customHeight="1">
      <c r="M968" s="40"/>
      <c r="N968" s="40"/>
    </row>
    <row r="969" ht="15.75" customHeight="1">
      <c r="M969" s="40"/>
      <c r="N969" s="40"/>
    </row>
    <row r="970" ht="15.75" customHeight="1">
      <c r="M970" s="40"/>
      <c r="N970" s="40"/>
    </row>
    <row r="971" ht="15.75" customHeight="1">
      <c r="M971" s="40"/>
      <c r="N971" s="40"/>
    </row>
    <row r="972" ht="15.75" customHeight="1">
      <c r="M972" s="40"/>
      <c r="N972" s="40"/>
    </row>
    <row r="973" ht="15.75" customHeight="1">
      <c r="M973" s="40"/>
      <c r="N973" s="40"/>
    </row>
    <row r="974" ht="15.75" customHeight="1">
      <c r="M974" s="40"/>
      <c r="N974" s="40"/>
    </row>
    <row r="975" ht="15.75" customHeight="1">
      <c r="M975" s="40"/>
      <c r="N975" s="40"/>
    </row>
    <row r="976" ht="15.75" customHeight="1">
      <c r="M976" s="40"/>
      <c r="N976" s="40"/>
    </row>
    <row r="977" ht="15.75" customHeight="1">
      <c r="M977" s="40"/>
      <c r="N977" s="40"/>
    </row>
    <row r="978" ht="15.75" customHeight="1">
      <c r="M978" s="40"/>
      <c r="N978" s="40"/>
    </row>
    <row r="979" ht="15.75" customHeight="1">
      <c r="M979" s="40"/>
      <c r="N979" s="40"/>
    </row>
    <row r="980" ht="15.75" customHeight="1">
      <c r="M980" s="40"/>
      <c r="N980" s="40"/>
    </row>
    <row r="981" ht="15.75" customHeight="1">
      <c r="M981" s="40"/>
      <c r="N981" s="40"/>
    </row>
    <row r="982" ht="15.75" customHeight="1">
      <c r="M982" s="40"/>
      <c r="N982" s="40"/>
    </row>
    <row r="983" ht="15.75" customHeight="1">
      <c r="M983" s="40"/>
      <c r="N983" s="40"/>
    </row>
    <row r="984" ht="15.75" customHeight="1">
      <c r="M984" s="40"/>
      <c r="N984" s="40"/>
    </row>
    <row r="985" ht="15.75" customHeight="1">
      <c r="M985" s="40"/>
      <c r="N985" s="40"/>
    </row>
    <row r="986" ht="15.75" customHeight="1">
      <c r="M986" s="40"/>
      <c r="N986" s="40"/>
    </row>
    <row r="987" ht="15.75" customHeight="1">
      <c r="M987" s="40"/>
      <c r="N987" s="40"/>
    </row>
    <row r="988" ht="15.75" customHeight="1">
      <c r="M988" s="40"/>
      <c r="N988" s="40"/>
    </row>
    <row r="989" ht="15.75" customHeight="1">
      <c r="M989" s="40"/>
      <c r="N989" s="40"/>
    </row>
    <row r="990" ht="15.75" customHeight="1">
      <c r="M990" s="40"/>
      <c r="N990" s="40"/>
    </row>
    <row r="991" ht="15.75" customHeight="1">
      <c r="M991" s="40"/>
      <c r="N991" s="40"/>
    </row>
    <row r="992" ht="15.75" customHeight="1">
      <c r="M992" s="40"/>
      <c r="N992" s="40"/>
    </row>
    <row r="993" ht="15.75" customHeight="1">
      <c r="M993" s="40"/>
      <c r="N993" s="40"/>
    </row>
    <row r="994" ht="15.75" customHeight="1">
      <c r="M994" s="40"/>
      <c r="N994" s="40"/>
    </row>
    <row r="995" ht="15.75" customHeight="1">
      <c r="M995" s="40"/>
      <c r="N995" s="40"/>
    </row>
    <row r="996" ht="15.75" customHeight="1">
      <c r="M996" s="40"/>
      <c r="N996" s="40"/>
    </row>
    <row r="997" ht="15.75" customHeight="1">
      <c r="M997" s="40"/>
      <c r="N997" s="40"/>
    </row>
    <row r="998" ht="15.75" customHeight="1">
      <c r="M998" s="40"/>
      <c r="N998" s="40"/>
    </row>
    <row r="999" ht="15.75" customHeight="1">
      <c r="M999" s="40"/>
      <c r="N999" s="40"/>
    </row>
    <row r="1000" ht="15.75" customHeight="1">
      <c r="M1000" s="40"/>
      <c r="N1000" s="40"/>
    </row>
    <row r="1001" ht="15.75" customHeight="1">
      <c r="M1001" s="40"/>
      <c r="N1001" s="40"/>
    </row>
    <row r="1002" ht="15.75" customHeight="1">
      <c r="M1002" s="40"/>
      <c r="N1002" s="40"/>
    </row>
    <row r="1003" ht="15.75" customHeight="1">
      <c r="M1003" s="40"/>
      <c r="N1003" s="40"/>
    </row>
    <row r="1004" ht="15.75" customHeight="1">
      <c r="M1004" s="40"/>
      <c r="N1004" s="40"/>
    </row>
    <row r="1005" ht="15.75" customHeight="1">
      <c r="M1005" s="40"/>
      <c r="N1005" s="40"/>
    </row>
    <row r="1006" ht="15.75" customHeight="1">
      <c r="M1006" s="40"/>
      <c r="N1006" s="40"/>
    </row>
    <row r="1007" ht="15.75" customHeight="1">
      <c r="M1007" s="40"/>
      <c r="N1007" s="40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7.0"/>
    <col customWidth="1" min="3" max="3" width="13.14"/>
    <col customWidth="1" min="4" max="4" width="15.14"/>
    <col customWidth="1" min="5" max="5" width="23.57"/>
    <col customWidth="1" min="6" max="6" width="15.0"/>
    <col customWidth="1" min="7" max="7" width="14.57"/>
    <col customWidth="1" min="8" max="8" width="13.14"/>
  </cols>
  <sheetData>
    <row r="1">
      <c r="A1" s="460" t="s">
        <v>2293</v>
      </c>
      <c r="B1" s="460" t="s">
        <v>1619</v>
      </c>
      <c r="C1" s="461" t="s">
        <v>2294</v>
      </c>
      <c r="D1" s="461" t="s">
        <v>2295</v>
      </c>
      <c r="E1" s="462" t="s">
        <v>2294</v>
      </c>
      <c r="F1" s="463">
        <f>SUM(C2:C177)</f>
        <v>10292500</v>
      </c>
      <c r="G1" s="464" t="s">
        <v>1619</v>
      </c>
      <c r="H1" s="465"/>
      <c r="I1" s="99"/>
      <c r="J1" s="99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466">
        <v>46139.0</v>
      </c>
      <c r="B2" s="467" t="s">
        <v>1492</v>
      </c>
      <c r="C2" s="468">
        <v>2000000.0</v>
      </c>
      <c r="D2" s="468"/>
      <c r="E2" s="462" t="s">
        <v>2295</v>
      </c>
      <c r="F2" s="463">
        <f>SUM(D2:D177)</f>
        <v>9782400</v>
      </c>
      <c r="G2" s="469" t="s">
        <v>2296</v>
      </c>
      <c r="H2" s="470">
        <v>50000.0</v>
      </c>
      <c r="I2" s="99"/>
      <c r="J2" s="99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466"/>
      <c r="B3" s="467" t="s">
        <v>2297</v>
      </c>
      <c r="C3" s="471"/>
      <c r="D3" s="468">
        <v>250000.0</v>
      </c>
      <c r="E3" s="472" t="s">
        <v>2298</v>
      </c>
      <c r="F3" s="473">
        <f>F1-F2</f>
        <v>510100</v>
      </c>
      <c r="G3" s="469" t="s">
        <v>2299</v>
      </c>
      <c r="H3" s="470">
        <v>1628000.0</v>
      </c>
      <c r="I3" s="99"/>
      <c r="J3" s="99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466"/>
      <c r="B4" s="467" t="s">
        <v>1040</v>
      </c>
      <c r="C4" s="471"/>
      <c r="D4" s="468">
        <v>39000.0</v>
      </c>
      <c r="E4" s="99"/>
      <c r="F4" s="99"/>
      <c r="G4" s="469" t="s">
        <v>2300</v>
      </c>
      <c r="H4" s="470">
        <v>300000.0</v>
      </c>
      <c r="I4" s="99"/>
      <c r="J4" s="99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466"/>
      <c r="B5" s="467" t="s">
        <v>2301</v>
      </c>
      <c r="C5" s="471"/>
      <c r="D5" s="468">
        <v>45000.0</v>
      </c>
      <c r="E5" s="99"/>
      <c r="F5" s="99"/>
      <c r="G5" s="474"/>
      <c r="H5" s="102"/>
      <c r="I5" s="99"/>
      <c r="J5" s="99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466">
        <v>46140.0</v>
      </c>
      <c r="B6" s="467" t="s">
        <v>2297</v>
      </c>
      <c r="C6" s="471"/>
      <c r="D6" s="468">
        <v>250000.0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466"/>
      <c r="B7" s="467" t="s">
        <v>1040</v>
      </c>
      <c r="C7" s="471"/>
      <c r="D7" s="468">
        <v>41000.0</v>
      </c>
      <c r="E7" s="135" t="s">
        <v>2302</v>
      </c>
      <c r="F7" s="475">
        <v>813000.0</v>
      </c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466"/>
      <c r="B8" s="467" t="s">
        <v>2301</v>
      </c>
      <c r="C8" s="471"/>
      <c r="D8" s="468">
        <v>40000.0</v>
      </c>
      <c r="E8" s="135" t="s">
        <v>2303</v>
      </c>
      <c r="F8" s="475">
        <v>-5000.0</v>
      </c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466"/>
      <c r="B9" s="467" t="s">
        <v>2304</v>
      </c>
      <c r="C9" s="471"/>
      <c r="D9" s="468">
        <v>50000.0</v>
      </c>
      <c r="E9" s="135" t="s">
        <v>1491</v>
      </c>
      <c r="F9" s="113">
        <f>F3-F7-F8</f>
        <v>-297900</v>
      </c>
      <c r="G9" s="105"/>
      <c r="H9" s="13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466">
        <v>46141.0</v>
      </c>
      <c r="B10" s="467" t="s">
        <v>1040</v>
      </c>
      <c r="C10" s="471"/>
      <c r="D10" s="468">
        <v>42000.0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466"/>
      <c r="B11" s="467" t="s">
        <v>2301</v>
      </c>
      <c r="C11" s="471"/>
      <c r="D11" s="468">
        <v>10000.0</v>
      </c>
      <c r="E11" s="105"/>
      <c r="F11" s="105"/>
      <c r="G11" s="105"/>
      <c r="H11" s="105"/>
      <c r="I11" s="105"/>
      <c r="J11" s="105"/>
      <c r="K11" s="105"/>
      <c r="L11" s="113"/>
      <c r="M11" s="113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466"/>
      <c r="B12" s="467" t="s">
        <v>2297</v>
      </c>
      <c r="C12" s="471"/>
      <c r="D12" s="468">
        <v>20000.0</v>
      </c>
      <c r="E12" s="113"/>
      <c r="F12" s="105"/>
      <c r="G12" s="105"/>
      <c r="H12" s="105"/>
      <c r="I12" s="105"/>
      <c r="J12" s="105"/>
      <c r="K12" s="105"/>
      <c r="L12" s="113"/>
      <c r="M12" s="113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466"/>
      <c r="B13" s="467" t="s">
        <v>2305</v>
      </c>
      <c r="C13" s="471"/>
      <c r="D13" s="468">
        <v>100000.0</v>
      </c>
      <c r="E13" s="105"/>
      <c r="F13" s="105"/>
      <c r="G13" s="105"/>
      <c r="H13" s="105"/>
      <c r="I13" s="105"/>
      <c r="J13" s="105"/>
      <c r="K13" s="105"/>
      <c r="L13" s="113"/>
      <c r="M13" s="113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466"/>
      <c r="B14" s="467" t="s">
        <v>1040</v>
      </c>
      <c r="C14" s="471"/>
      <c r="D14" s="468">
        <v>9000.0</v>
      </c>
      <c r="E14" s="105"/>
      <c r="F14" s="105"/>
      <c r="G14" s="105"/>
      <c r="H14" s="105"/>
      <c r="I14" s="99"/>
      <c r="J14" s="99"/>
      <c r="K14" s="105"/>
      <c r="L14" s="102"/>
      <c r="M14" s="102"/>
      <c r="N14" s="102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466">
        <v>46142.0</v>
      </c>
      <c r="B15" s="467" t="s">
        <v>1040</v>
      </c>
      <c r="C15" s="471"/>
      <c r="D15" s="468">
        <v>10000.0</v>
      </c>
      <c r="E15" s="105"/>
      <c r="F15" s="105"/>
      <c r="G15" s="105"/>
      <c r="H15" s="105"/>
      <c r="I15" s="99"/>
      <c r="J15" s="99"/>
      <c r="K15" s="99"/>
      <c r="L15" s="102"/>
      <c r="M15" s="102"/>
      <c r="N15" s="102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466"/>
      <c r="B16" s="467" t="s">
        <v>2301</v>
      </c>
      <c r="C16" s="471"/>
      <c r="D16" s="468">
        <v>20000.0</v>
      </c>
      <c r="E16" s="105"/>
      <c r="F16" s="105"/>
      <c r="G16" s="105"/>
      <c r="H16" s="105"/>
      <c r="I16" s="99"/>
      <c r="J16" s="99"/>
      <c r="K16" s="99"/>
      <c r="L16" s="102"/>
      <c r="M16" s="102"/>
      <c r="N16" s="102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476">
        <v>46145.0</v>
      </c>
      <c r="B17" s="467" t="s">
        <v>1040</v>
      </c>
      <c r="C17" s="471"/>
      <c r="D17" s="468">
        <v>35000.0</v>
      </c>
      <c r="E17" s="105"/>
      <c r="F17" s="105"/>
      <c r="G17" s="105"/>
      <c r="H17" s="105"/>
      <c r="I17" s="99"/>
      <c r="J17" s="99"/>
      <c r="K17" s="99"/>
      <c r="L17" s="102"/>
      <c r="M17" s="102"/>
      <c r="N17" s="102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466"/>
      <c r="B18" s="467" t="s">
        <v>2301</v>
      </c>
      <c r="C18" s="471"/>
      <c r="D18" s="468">
        <v>40000.0</v>
      </c>
      <c r="E18" s="105"/>
      <c r="F18" s="105"/>
      <c r="G18" s="105"/>
      <c r="H18" s="105"/>
      <c r="I18" s="99"/>
      <c r="J18" s="99"/>
      <c r="K18" s="99"/>
      <c r="L18" s="102"/>
      <c r="M18" s="102"/>
      <c r="N18" s="102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466"/>
      <c r="B19" s="467" t="s">
        <v>2306</v>
      </c>
      <c r="C19" s="471"/>
      <c r="D19" s="468">
        <v>50000.0</v>
      </c>
      <c r="E19" s="105"/>
      <c r="F19" s="105"/>
      <c r="G19" s="105"/>
      <c r="H19" s="105"/>
      <c r="I19" s="99"/>
      <c r="J19" s="99"/>
      <c r="K19" s="99"/>
      <c r="L19" s="102"/>
      <c r="M19" s="102"/>
      <c r="N19" s="102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476">
        <v>46146.0</v>
      </c>
      <c r="B20" s="467" t="s">
        <v>1040</v>
      </c>
      <c r="C20" s="471"/>
      <c r="D20" s="468">
        <v>19000.0</v>
      </c>
      <c r="E20" s="105"/>
      <c r="F20" s="105"/>
      <c r="G20" s="105"/>
      <c r="H20" s="105"/>
      <c r="I20" s="99"/>
      <c r="J20" s="99"/>
      <c r="K20" s="99"/>
      <c r="L20" s="102"/>
      <c r="M20" s="102"/>
      <c r="N20" s="102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477"/>
      <c r="B21" s="467" t="s">
        <v>2301</v>
      </c>
      <c r="C21" s="471"/>
      <c r="D21" s="478">
        <v>40000.0</v>
      </c>
      <c r="E21" s="105"/>
      <c r="F21" s="105"/>
      <c r="G21" s="105"/>
      <c r="H21" s="105"/>
      <c r="I21" s="99"/>
      <c r="J21" s="99"/>
      <c r="K21" s="99"/>
      <c r="L21" s="102"/>
      <c r="M21" s="102"/>
      <c r="N21" s="102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479"/>
      <c r="B22" s="467" t="s">
        <v>2297</v>
      </c>
      <c r="C22" s="471"/>
      <c r="D22" s="468">
        <v>270000.0</v>
      </c>
      <c r="E22" s="105"/>
      <c r="F22" s="105"/>
      <c r="G22" s="105"/>
      <c r="H22" s="105"/>
      <c r="I22" s="99"/>
      <c r="J22" s="99"/>
      <c r="K22" s="99"/>
      <c r="L22" s="102"/>
      <c r="M22" s="102"/>
      <c r="N22" s="102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477"/>
      <c r="B23" s="467" t="s">
        <v>2306</v>
      </c>
      <c r="C23" s="471"/>
      <c r="D23" s="468">
        <v>50000.0</v>
      </c>
      <c r="E23" s="105"/>
      <c r="F23" s="105"/>
      <c r="G23" s="105"/>
      <c r="H23" s="105"/>
      <c r="I23" s="99"/>
      <c r="J23" s="99"/>
      <c r="K23" s="99"/>
      <c r="L23" s="102"/>
      <c r="M23" s="102"/>
      <c r="N23" s="102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480">
        <v>46147.0</v>
      </c>
      <c r="B24" s="467" t="s">
        <v>2306</v>
      </c>
      <c r="C24" s="471"/>
      <c r="D24" s="468">
        <v>70000.0</v>
      </c>
      <c r="E24" s="105"/>
      <c r="F24" s="105"/>
      <c r="G24" s="105"/>
      <c r="H24" s="105"/>
      <c r="I24" s="99"/>
      <c r="J24" s="99"/>
      <c r="K24" s="99"/>
      <c r="L24" s="102"/>
      <c r="M24" s="102"/>
      <c r="N24" s="102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479"/>
      <c r="B25" s="467" t="s">
        <v>1040</v>
      </c>
      <c r="C25" s="471"/>
      <c r="D25" s="468">
        <v>49000.0</v>
      </c>
      <c r="E25" s="105"/>
      <c r="F25" s="105"/>
      <c r="G25" s="105"/>
      <c r="H25" s="105"/>
      <c r="I25" s="99"/>
      <c r="J25" s="99"/>
      <c r="K25" s="99"/>
      <c r="L25" s="102"/>
      <c r="M25" s="102"/>
      <c r="N25" s="102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479"/>
      <c r="B26" s="467" t="s">
        <v>2301</v>
      </c>
      <c r="C26" s="471"/>
      <c r="D26" s="468">
        <v>17000.0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480">
        <v>46148.0</v>
      </c>
      <c r="B27" s="467" t="s">
        <v>1040</v>
      </c>
      <c r="C27" s="471"/>
      <c r="D27" s="468">
        <v>30000.0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477"/>
      <c r="B28" s="467" t="s">
        <v>2297</v>
      </c>
      <c r="C28" s="471"/>
      <c r="D28" s="468">
        <v>250000.0</v>
      </c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477"/>
      <c r="B29" s="467" t="s">
        <v>2301</v>
      </c>
      <c r="C29" s="471"/>
      <c r="D29" s="468">
        <v>40000.0</v>
      </c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480">
        <v>46149.0</v>
      </c>
      <c r="B30" s="467" t="s">
        <v>2297</v>
      </c>
      <c r="C30" s="471"/>
      <c r="D30" s="468">
        <v>20000.0</v>
      </c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477"/>
      <c r="B31" s="467" t="s">
        <v>1040</v>
      </c>
      <c r="C31" s="471"/>
      <c r="D31" s="468">
        <v>30000.0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477"/>
      <c r="B32" s="467" t="s">
        <v>1492</v>
      </c>
      <c r="C32" s="468">
        <v>2000000.0</v>
      </c>
      <c r="D32" s="468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477"/>
      <c r="B33" s="467" t="s">
        <v>2307</v>
      </c>
      <c r="C33" s="471"/>
      <c r="D33" s="468">
        <v>2500.0</v>
      </c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479">
        <v>46120.0</v>
      </c>
      <c r="B34" s="467" t="s">
        <v>2297</v>
      </c>
      <c r="C34" s="471"/>
      <c r="D34" s="468">
        <v>100000.0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477"/>
      <c r="B35" s="481" t="s">
        <v>2308</v>
      </c>
      <c r="C35" s="471"/>
      <c r="D35" s="468">
        <v>75000.0</v>
      </c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477"/>
      <c r="B36" s="481" t="s">
        <v>2309</v>
      </c>
      <c r="C36" s="471"/>
      <c r="D36" s="468">
        <v>30000.0</v>
      </c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477"/>
      <c r="B37" s="467" t="s">
        <v>2310</v>
      </c>
      <c r="C37" s="471"/>
      <c r="D37" s="468">
        <v>27000.0</v>
      </c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477"/>
      <c r="B38" s="467" t="s">
        <v>2301</v>
      </c>
      <c r="C38" s="471"/>
      <c r="D38" s="468">
        <v>30000.0</v>
      </c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477"/>
      <c r="B39" s="481" t="s">
        <v>2311</v>
      </c>
      <c r="C39" s="471"/>
      <c r="D39" s="468">
        <v>15000.0</v>
      </c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479">
        <v>46122.0</v>
      </c>
      <c r="B40" s="467" t="s">
        <v>2297</v>
      </c>
      <c r="C40" s="471"/>
      <c r="D40" s="468">
        <v>20000.0</v>
      </c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477"/>
      <c r="B41" s="467" t="s">
        <v>1040</v>
      </c>
      <c r="C41" s="471"/>
      <c r="D41" s="468">
        <v>35000.0</v>
      </c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477"/>
      <c r="B42" s="467" t="s">
        <v>2312</v>
      </c>
      <c r="C42" s="471"/>
      <c r="D42" s="468">
        <v>80000.0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477"/>
      <c r="B43" s="481" t="s">
        <v>2313</v>
      </c>
      <c r="C43" s="471"/>
      <c r="D43" s="468">
        <v>20000.0</v>
      </c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477"/>
      <c r="B44" s="467" t="s">
        <v>2301</v>
      </c>
      <c r="C44" s="471"/>
      <c r="D44" s="468">
        <v>60000.0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479">
        <v>46123.0</v>
      </c>
      <c r="B45" s="467" t="s">
        <v>2297</v>
      </c>
      <c r="C45" s="471"/>
      <c r="D45" s="468">
        <v>220000.0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477"/>
      <c r="B46" s="467" t="s">
        <v>1040</v>
      </c>
      <c r="C46" s="471"/>
      <c r="D46" s="468">
        <v>60000.0</v>
      </c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477"/>
      <c r="B47" s="467" t="s">
        <v>2310</v>
      </c>
      <c r="C47" s="471"/>
      <c r="D47" s="468">
        <v>27000.0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477"/>
      <c r="B48" s="467" t="s">
        <v>2301</v>
      </c>
      <c r="C48" s="471"/>
      <c r="D48" s="468">
        <v>15000.0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479">
        <v>46124.0</v>
      </c>
      <c r="B49" s="467" t="s">
        <v>2314</v>
      </c>
      <c r="C49" s="471"/>
      <c r="D49" s="468">
        <v>247500.0</v>
      </c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477"/>
      <c r="B50" s="467" t="s">
        <v>2297</v>
      </c>
      <c r="C50" s="471"/>
      <c r="D50" s="468">
        <v>150000.0</v>
      </c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477"/>
      <c r="B51" s="467" t="s">
        <v>1040</v>
      </c>
      <c r="C51" s="471"/>
      <c r="D51" s="468">
        <v>55000.0</v>
      </c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477"/>
      <c r="B52" s="467" t="s">
        <v>2301</v>
      </c>
      <c r="C52" s="471"/>
      <c r="D52" s="468">
        <v>20000.0</v>
      </c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479">
        <v>46127.0</v>
      </c>
      <c r="B53" s="467" t="s">
        <v>2297</v>
      </c>
      <c r="C53" s="471"/>
      <c r="D53" s="468">
        <v>250000.0</v>
      </c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479">
        <v>46128.0</v>
      </c>
      <c r="B54" s="467" t="s">
        <v>2315</v>
      </c>
      <c r="C54" s="471"/>
      <c r="D54" s="468">
        <v>203100.0</v>
      </c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479">
        <v>46129.0</v>
      </c>
      <c r="B55" s="467" t="s">
        <v>1040</v>
      </c>
      <c r="C55" s="471"/>
      <c r="D55" s="468">
        <v>36000.0</v>
      </c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479"/>
      <c r="B56" s="467" t="s">
        <v>2316</v>
      </c>
      <c r="C56" s="471"/>
      <c r="D56" s="468">
        <v>5000.0</v>
      </c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479"/>
      <c r="B57" s="467" t="s">
        <v>2301</v>
      </c>
      <c r="C57" s="471"/>
      <c r="D57" s="468">
        <v>25000.0</v>
      </c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479">
        <v>46130.0</v>
      </c>
      <c r="B58" s="467" t="s">
        <v>1040</v>
      </c>
      <c r="C58" s="471"/>
      <c r="D58" s="468">
        <v>10000.0</v>
      </c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479"/>
      <c r="B59" s="467" t="s">
        <v>2317</v>
      </c>
      <c r="C59" s="471"/>
      <c r="D59" s="468">
        <v>45000.0</v>
      </c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479"/>
      <c r="B60" s="467" t="s">
        <v>95</v>
      </c>
      <c r="C60" s="471"/>
      <c r="D60" s="468">
        <v>20000.0</v>
      </c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479"/>
      <c r="B61" s="467" t="s">
        <v>2301</v>
      </c>
      <c r="C61" s="471"/>
      <c r="D61" s="468">
        <v>30000.0</v>
      </c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477"/>
      <c r="B62" s="467" t="s">
        <v>2297</v>
      </c>
      <c r="C62" s="471"/>
      <c r="D62" s="468">
        <v>20000.0</v>
      </c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477"/>
      <c r="B63" s="467" t="s">
        <v>1040</v>
      </c>
      <c r="C63" s="471"/>
      <c r="D63" s="468">
        <v>20000.0</v>
      </c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479">
        <v>46131.0</v>
      </c>
      <c r="B64" s="467" t="s">
        <v>2318</v>
      </c>
      <c r="C64" s="471"/>
      <c r="D64" s="468">
        <v>50000.0</v>
      </c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477"/>
      <c r="B65" s="481" t="s">
        <v>1501</v>
      </c>
      <c r="C65" s="468">
        <v>2000000.0</v>
      </c>
      <c r="D65" s="468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477"/>
      <c r="B66" s="467" t="s">
        <v>2307</v>
      </c>
      <c r="C66" s="471"/>
      <c r="D66" s="468">
        <v>2500.0</v>
      </c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477"/>
      <c r="B67" s="467" t="s">
        <v>1040</v>
      </c>
      <c r="C67" s="471"/>
      <c r="D67" s="468">
        <v>35000.0</v>
      </c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479"/>
      <c r="B68" s="481" t="s">
        <v>2319</v>
      </c>
      <c r="C68" s="471"/>
      <c r="D68" s="482">
        <v>50000.0</v>
      </c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479"/>
      <c r="B69" s="481" t="s">
        <v>2320</v>
      </c>
      <c r="C69" s="471"/>
      <c r="D69" s="482">
        <v>50000.0</v>
      </c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479"/>
      <c r="B70" s="481" t="s">
        <v>1040</v>
      </c>
      <c r="C70" s="471"/>
      <c r="D70" s="482">
        <v>10000.0</v>
      </c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479"/>
      <c r="B71" s="481" t="s">
        <v>2321</v>
      </c>
      <c r="C71" s="471"/>
      <c r="D71" s="482">
        <v>50000.0</v>
      </c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479"/>
      <c r="B72" s="481" t="s">
        <v>2322</v>
      </c>
      <c r="C72" s="471"/>
      <c r="D72" s="482">
        <v>60000.0</v>
      </c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479">
        <v>46132.0</v>
      </c>
      <c r="B73" s="467" t="s">
        <v>2297</v>
      </c>
      <c r="C73" s="471"/>
      <c r="D73" s="468">
        <v>230000.0</v>
      </c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477"/>
      <c r="B74" s="467" t="s">
        <v>1040</v>
      </c>
      <c r="C74" s="471"/>
      <c r="D74" s="468">
        <v>25000.0</v>
      </c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477"/>
      <c r="B75" s="467" t="s">
        <v>2323</v>
      </c>
      <c r="C75" s="471"/>
      <c r="D75" s="468">
        <v>65000.0</v>
      </c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477"/>
      <c r="B76" s="467" t="s">
        <v>2306</v>
      </c>
      <c r="C76" s="471"/>
      <c r="D76" s="468">
        <v>130000.0</v>
      </c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477"/>
      <c r="B77" s="481" t="s">
        <v>1040</v>
      </c>
      <c r="C77" s="471"/>
      <c r="D77" s="482">
        <v>10000.0</v>
      </c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477"/>
      <c r="B78" s="481" t="s">
        <v>2324</v>
      </c>
      <c r="C78" s="471"/>
      <c r="D78" s="482">
        <v>30000.0</v>
      </c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477"/>
      <c r="B79" s="481" t="s">
        <v>2325</v>
      </c>
      <c r="C79" s="471"/>
      <c r="D79" s="482">
        <v>70000.0</v>
      </c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479">
        <v>46133.0</v>
      </c>
      <c r="B80" s="467" t="s">
        <v>2297</v>
      </c>
      <c r="C80" s="471"/>
      <c r="D80" s="468">
        <v>20000.0</v>
      </c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477"/>
      <c r="B81" s="467" t="s">
        <v>1040</v>
      </c>
      <c r="C81" s="471"/>
      <c r="D81" s="468">
        <v>17000.0</v>
      </c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477"/>
      <c r="B82" s="467" t="s">
        <v>2326</v>
      </c>
      <c r="C82" s="471"/>
      <c r="D82" s="468">
        <v>367900.0</v>
      </c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477"/>
      <c r="B83" s="467" t="s">
        <v>268</v>
      </c>
      <c r="C83" s="471"/>
      <c r="D83" s="468">
        <v>203500.0</v>
      </c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477"/>
      <c r="B84" s="481" t="s">
        <v>1040</v>
      </c>
      <c r="C84" s="471"/>
      <c r="D84" s="482">
        <v>10000.0</v>
      </c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477"/>
      <c r="B85" s="481" t="s">
        <v>2301</v>
      </c>
      <c r="C85" s="471"/>
      <c r="D85" s="482">
        <v>90000.0</v>
      </c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477"/>
      <c r="B86" s="481" t="s">
        <v>2327</v>
      </c>
      <c r="C86" s="471"/>
      <c r="D86" s="482">
        <v>70000.0</v>
      </c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480">
        <v>46136.0</v>
      </c>
      <c r="B87" s="481" t="s">
        <v>2328</v>
      </c>
      <c r="C87" s="471"/>
      <c r="D87" s="482">
        <v>10000.0</v>
      </c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477"/>
      <c r="B88" s="481" t="s">
        <v>2297</v>
      </c>
      <c r="C88" s="471"/>
      <c r="D88" s="482">
        <v>20000.0</v>
      </c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477"/>
      <c r="B89" s="481" t="s">
        <v>1040</v>
      </c>
      <c r="C89" s="471"/>
      <c r="D89" s="482">
        <v>5000.0</v>
      </c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477"/>
      <c r="B90" s="481" t="s">
        <v>2301</v>
      </c>
      <c r="C90" s="471"/>
      <c r="D90" s="482">
        <v>10000.0</v>
      </c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480">
        <v>45802.0</v>
      </c>
      <c r="B91" s="481" t="s">
        <v>1040</v>
      </c>
      <c r="C91" s="471"/>
      <c r="D91" s="482">
        <v>30000.0</v>
      </c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480"/>
      <c r="B92" s="481" t="s">
        <v>1040</v>
      </c>
      <c r="C92" s="471"/>
      <c r="D92" s="482">
        <v>10000.0</v>
      </c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480">
        <v>46170.0</v>
      </c>
      <c r="B93" s="481" t="s">
        <v>2297</v>
      </c>
      <c r="C93" s="471"/>
      <c r="D93" s="482">
        <v>20000.0</v>
      </c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477"/>
      <c r="B94" s="481" t="s">
        <v>1040</v>
      </c>
      <c r="C94" s="471"/>
      <c r="D94" s="482">
        <v>30000.0</v>
      </c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477"/>
      <c r="B95" s="481" t="s">
        <v>162</v>
      </c>
      <c r="C95" s="483">
        <v>184000.0</v>
      </c>
      <c r="D95" s="468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477"/>
      <c r="B96" s="481" t="s">
        <v>1040</v>
      </c>
      <c r="C96" s="483"/>
      <c r="D96" s="482">
        <v>15000.0</v>
      </c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477"/>
      <c r="B97" s="481" t="s">
        <v>2329</v>
      </c>
      <c r="C97" s="483"/>
      <c r="D97" s="482">
        <v>100000.0</v>
      </c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477"/>
      <c r="B98" s="481" t="s">
        <v>2301</v>
      </c>
      <c r="C98" s="483"/>
      <c r="D98" s="482">
        <v>30000.0</v>
      </c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477"/>
      <c r="B99" s="481" t="s">
        <v>2330</v>
      </c>
      <c r="C99" s="483"/>
      <c r="D99" s="482">
        <v>100000.0</v>
      </c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477"/>
      <c r="B100" s="481" t="s">
        <v>2331</v>
      </c>
      <c r="C100" s="483"/>
      <c r="D100" s="482">
        <v>50000.0</v>
      </c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480">
        <v>46171.0</v>
      </c>
      <c r="B101" s="481" t="s">
        <v>2315</v>
      </c>
      <c r="C101" s="471"/>
      <c r="D101" s="482">
        <v>103000.0</v>
      </c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477"/>
      <c r="B102" s="481" t="s">
        <v>1040</v>
      </c>
      <c r="C102" s="471"/>
      <c r="D102" s="482">
        <v>10000.0</v>
      </c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480">
        <v>46174.0</v>
      </c>
      <c r="B103" s="481" t="s">
        <v>1492</v>
      </c>
      <c r="C103" s="483">
        <v>2000000.0</v>
      </c>
      <c r="D103" s="468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477"/>
      <c r="B104" s="481" t="s">
        <v>2307</v>
      </c>
      <c r="C104" s="471"/>
      <c r="D104" s="482">
        <v>2500.0</v>
      </c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480"/>
      <c r="B105" s="481" t="s">
        <v>1040</v>
      </c>
      <c r="C105" s="471"/>
      <c r="D105" s="482">
        <v>15000.0</v>
      </c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480"/>
      <c r="B106" s="481" t="s">
        <v>2332</v>
      </c>
      <c r="C106" s="471"/>
      <c r="D106" s="482">
        <v>90000.0</v>
      </c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480"/>
      <c r="B107" s="481" t="s">
        <v>2333</v>
      </c>
      <c r="C107" s="471"/>
      <c r="D107" s="482">
        <v>40000.0</v>
      </c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480">
        <v>46175.0</v>
      </c>
      <c r="B108" s="481" t="s">
        <v>2334</v>
      </c>
      <c r="C108" s="471"/>
      <c r="D108" s="482">
        <v>1500.0</v>
      </c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477"/>
      <c r="B109" s="481" t="s">
        <v>1040</v>
      </c>
      <c r="C109" s="471"/>
      <c r="D109" s="482">
        <v>24000.0</v>
      </c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477"/>
      <c r="B110" s="481" t="s">
        <v>2335</v>
      </c>
      <c r="C110" s="471"/>
      <c r="D110" s="482">
        <v>20000.0</v>
      </c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477"/>
      <c r="B111" s="481" t="s">
        <v>2336</v>
      </c>
      <c r="C111" s="471"/>
      <c r="D111" s="482">
        <v>20000.0</v>
      </c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477"/>
      <c r="B112" s="481" t="s">
        <v>2337</v>
      </c>
      <c r="C112" s="471"/>
      <c r="D112" s="482">
        <v>33500.0</v>
      </c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477"/>
      <c r="B113" s="481" t="s">
        <v>270</v>
      </c>
      <c r="C113" s="471"/>
      <c r="D113" s="482">
        <v>50500.0</v>
      </c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477"/>
      <c r="B114" s="481" t="s">
        <v>2338</v>
      </c>
      <c r="C114" s="471"/>
      <c r="D114" s="482">
        <v>60000.0</v>
      </c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480">
        <v>46176.0</v>
      </c>
      <c r="B115" s="481" t="s">
        <v>2297</v>
      </c>
      <c r="C115" s="471"/>
      <c r="D115" s="482">
        <v>250000.0</v>
      </c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480"/>
      <c r="B116" s="481" t="s">
        <v>1040</v>
      </c>
      <c r="C116" s="471"/>
      <c r="D116" s="482">
        <v>22000.0</v>
      </c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480"/>
      <c r="B117" s="481" t="s">
        <v>2339</v>
      </c>
      <c r="C117" s="471"/>
      <c r="D117" s="482">
        <v>16000.0</v>
      </c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480">
        <v>46177.0</v>
      </c>
      <c r="B118" s="481" t="s">
        <v>2340</v>
      </c>
      <c r="C118" s="471"/>
      <c r="D118" s="482">
        <v>32500.0</v>
      </c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480"/>
      <c r="B119" s="481" t="s">
        <v>1040</v>
      </c>
      <c r="C119" s="471"/>
      <c r="D119" s="482">
        <v>25000.0</v>
      </c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480"/>
      <c r="B120" s="481" t="s">
        <v>2341</v>
      </c>
      <c r="C120" s="471"/>
      <c r="D120" s="482">
        <v>15000.0</v>
      </c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480"/>
      <c r="B121" s="481" t="s">
        <v>2330</v>
      </c>
      <c r="C121" s="471"/>
      <c r="D121" s="482">
        <v>250000.0</v>
      </c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480"/>
      <c r="B122" s="481" t="s">
        <v>1040</v>
      </c>
      <c r="C122" s="471"/>
      <c r="D122" s="482">
        <v>12000.0</v>
      </c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480">
        <v>46178.0</v>
      </c>
      <c r="B123" s="481" t="s">
        <v>1040</v>
      </c>
      <c r="C123" s="471"/>
      <c r="D123" s="482">
        <v>15000.0</v>
      </c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480"/>
      <c r="B124" s="481" t="s">
        <v>2342</v>
      </c>
      <c r="C124" s="471"/>
      <c r="D124" s="482">
        <v>50000.0</v>
      </c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480"/>
      <c r="B125" s="481" t="s">
        <v>2332</v>
      </c>
      <c r="C125" s="471"/>
      <c r="D125" s="482">
        <v>60000.0</v>
      </c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480"/>
      <c r="B126" s="481" t="s">
        <v>1040</v>
      </c>
      <c r="C126" s="471"/>
      <c r="D126" s="482">
        <v>4000.0</v>
      </c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480">
        <v>46180.0</v>
      </c>
      <c r="B127" s="481" t="s">
        <v>1040</v>
      </c>
      <c r="C127" s="471"/>
      <c r="D127" s="482">
        <v>4000.0</v>
      </c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480"/>
      <c r="B128" s="481" t="s">
        <v>2306</v>
      </c>
      <c r="C128" s="471"/>
      <c r="D128" s="482">
        <v>150000.0</v>
      </c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480">
        <v>46181.0</v>
      </c>
      <c r="B129" s="481" t="s">
        <v>2343</v>
      </c>
      <c r="C129" s="471"/>
      <c r="D129" s="482">
        <v>15000.0</v>
      </c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480"/>
      <c r="B130" s="481" t="s">
        <v>2297</v>
      </c>
      <c r="C130" s="471"/>
      <c r="D130" s="482">
        <v>100000.0</v>
      </c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480"/>
      <c r="B131" s="481" t="s">
        <v>1040</v>
      </c>
      <c r="C131" s="471"/>
      <c r="D131" s="482">
        <v>12000.0</v>
      </c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480"/>
      <c r="B132" s="481" t="s">
        <v>2297</v>
      </c>
      <c r="C132" s="471"/>
      <c r="D132" s="482">
        <v>150000.0</v>
      </c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480">
        <v>46182.0</v>
      </c>
      <c r="B133" s="481" t="s">
        <v>1040</v>
      </c>
      <c r="C133" s="471"/>
      <c r="D133" s="482">
        <v>8000.0</v>
      </c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480"/>
      <c r="B134" s="481" t="s">
        <v>2306</v>
      </c>
      <c r="C134" s="471"/>
      <c r="D134" s="482">
        <v>40000.0</v>
      </c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480">
        <v>46183.0</v>
      </c>
      <c r="B135" s="481" t="s">
        <v>2344</v>
      </c>
      <c r="C135" s="471"/>
      <c r="D135" s="482">
        <v>40000.0</v>
      </c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480"/>
      <c r="B136" s="481" t="s">
        <v>1040</v>
      </c>
      <c r="C136" s="471"/>
      <c r="D136" s="482">
        <v>5000.0</v>
      </c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480"/>
      <c r="B137" s="481" t="s">
        <v>1040</v>
      </c>
      <c r="C137" s="471"/>
      <c r="D137" s="482">
        <v>5000.0</v>
      </c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480"/>
      <c r="B138" s="481" t="s">
        <v>840</v>
      </c>
      <c r="C138" s="471"/>
      <c r="D138" s="482">
        <v>3000.0</v>
      </c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480"/>
      <c r="B139" s="481" t="s">
        <v>2310</v>
      </c>
      <c r="C139" s="471"/>
      <c r="D139" s="482">
        <v>20000.0</v>
      </c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480"/>
      <c r="B140" s="481" t="s">
        <v>2297</v>
      </c>
      <c r="C140" s="471"/>
      <c r="D140" s="482">
        <v>100000.0</v>
      </c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480"/>
      <c r="B141" s="481" t="s">
        <v>1040</v>
      </c>
      <c r="C141" s="471"/>
      <c r="D141" s="482">
        <v>8000.0</v>
      </c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480">
        <v>46184.0</v>
      </c>
      <c r="B142" s="481" t="s">
        <v>2297</v>
      </c>
      <c r="C142" s="471"/>
      <c r="D142" s="482">
        <v>150000.0</v>
      </c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480"/>
      <c r="B143" s="481" t="s">
        <v>1040</v>
      </c>
      <c r="C143" s="471"/>
      <c r="D143" s="482">
        <v>8000.0</v>
      </c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480">
        <v>46185.0</v>
      </c>
      <c r="B144" s="481" t="s">
        <v>1040</v>
      </c>
      <c r="C144" s="471"/>
      <c r="D144" s="482">
        <v>8000.0</v>
      </c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480">
        <v>46186.0</v>
      </c>
      <c r="B145" s="481" t="s">
        <v>2344</v>
      </c>
      <c r="C145" s="471"/>
      <c r="D145" s="482">
        <v>52500.0</v>
      </c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477"/>
      <c r="B146" s="481" t="s">
        <v>2345</v>
      </c>
      <c r="C146" s="471"/>
      <c r="D146" s="482">
        <v>50000.0</v>
      </c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477"/>
      <c r="B147" s="481" t="s">
        <v>2346</v>
      </c>
      <c r="C147" s="471"/>
      <c r="D147" s="482">
        <v>22500.0</v>
      </c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480">
        <v>46187.0</v>
      </c>
      <c r="B148" s="481" t="s">
        <v>1040</v>
      </c>
      <c r="C148" s="471"/>
      <c r="D148" s="482">
        <v>16000.0</v>
      </c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480"/>
      <c r="B149" s="481" t="s">
        <v>2301</v>
      </c>
      <c r="C149" s="471"/>
      <c r="D149" s="482">
        <v>15000.0</v>
      </c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480">
        <v>46188.0</v>
      </c>
      <c r="B150" s="481" t="s">
        <v>2344</v>
      </c>
      <c r="C150" s="471"/>
      <c r="D150" s="482">
        <v>36000.0</v>
      </c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480">
        <v>46189.0</v>
      </c>
      <c r="B151" s="481" t="s">
        <v>1501</v>
      </c>
      <c r="C151" s="483">
        <v>1000000.0</v>
      </c>
      <c r="D151" s="468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477"/>
      <c r="B152" s="481" t="s">
        <v>2347</v>
      </c>
      <c r="C152" s="471"/>
      <c r="D152" s="482">
        <v>2500.0</v>
      </c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477"/>
      <c r="B153" s="481" t="s">
        <v>2334</v>
      </c>
      <c r="C153" s="471"/>
      <c r="D153" s="482">
        <v>1500.0</v>
      </c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480">
        <v>46190.0</v>
      </c>
      <c r="B154" s="481" t="s">
        <v>2310</v>
      </c>
      <c r="C154" s="471"/>
      <c r="D154" s="482">
        <v>50000.0</v>
      </c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480"/>
      <c r="B155" s="481" t="s">
        <v>2297</v>
      </c>
      <c r="C155" s="471"/>
      <c r="D155" s="482">
        <v>100000.0</v>
      </c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480"/>
      <c r="B156" s="481" t="s">
        <v>2306</v>
      </c>
      <c r="C156" s="471"/>
      <c r="D156" s="482">
        <v>75000.0</v>
      </c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480"/>
      <c r="B157" s="481" t="s">
        <v>2306</v>
      </c>
      <c r="C157" s="471"/>
      <c r="D157" s="482">
        <v>75000.0</v>
      </c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480"/>
      <c r="B158" s="481" t="s">
        <v>1040</v>
      </c>
      <c r="C158" s="471"/>
      <c r="D158" s="482">
        <v>10000.0</v>
      </c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480"/>
      <c r="B159" s="481" t="s">
        <v>2301</v>
      </c>
      <c r="C159" s="471"/>
      <c r="D159" s="482">
        <v>50000.0</v>
      </c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480">
        <v>46191.0</v>
      </c>
      <c r="B160" s="481" t="s">
        <v>2310</v>
      </c>
      <c r="C160" s="471"/>
      <c r="D160" s="482">
        <v>39000.0</v>
      </c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480"/>
      <c r="B161" s="481" t="s">
        <v>2344</v>
      </c>
      <c r="C161" s="471"/>
      <c r="D161" s="482">
        <v>32500.0</v>
      </c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480"/>
      <c r="B162" s="481" t="s">
        <v>2310</v>
      </c>
      <c r="C162" s="471"/>
      <c r="D162" s="482">
        <v>33500.0</v>
      </c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480">
        <v>46192.0</v>
      </c>
      <c r="B163" s="481" t="s">
        <v>2297</v>
      </c>
      <c r="C163" s="471"/>
      <c r="D163" s="482">
        <v>150000.0</v>
      </c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480"/>
      <c r="B164" s="481" t="s">
        <v>2348</v>
      </c>
      <c r="C164" s="483">
        <v>60500.0</v>
      </c>
      <c r="D164" s="482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480"/>
      <c r="B165" s="481" t="s">
        <v>2349</v>
      </c>
      <c r="C165" s="483">
        <v>813000.0</v>
      </c>
      <c r="D165" s="482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480"/>
      <c r="B166" s="481" t="s">
        <v>2297</v>
      </c>
      <c r="C166" s="483"/>
      <c r="D166" s="482">
        <v>50000.0</v>
      </c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480"/>
      <c r="B167" s="481" t="s">
        <v>2301</v>
      </c>
      <c r="C167" s="483"/>
      <c r="D167" s="482">
        <v>50000.0</v>
      </c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480"/>
      <c r="B168" s="481" t="s">
        <v>1040</v>
      </c>
      <c r="C168" s="483"/>
      <c r="D168" s="482">
        <v>20000.0</v>
      </c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480"/>
      <c r="B169" s="481" t="s">
        <v>2350</v>
      </c>
      <c r="C169" s="483"/>
      <c r="D169" s="482">
        <v>20000.0</v>
      </c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480"/>
      <c r="B170" s="481" t="s">
        <v>2351</v>
      </c>
      <c r="C170" s="483">
        <v>150000.0</v>
      </c>
      <c r="D170" s="482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480"/>
      <c r="B171" s="481" t="s">
        <v>2352</v>
      </c>
      <c r="C171" s="483">
        <v>85000.0</v>
      </c>
      <c r="D171" s="482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480"/>
      <c r="B172" s="481" t="s">
        <v>2353</v>
      </c>
      <c r="C172" s="471"/>
      <c r="D172" s="482">
        <v>240000.0</v>
      </c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480">
        <v>46194.0</v>
      </c>
      <c r="B173" s="481" t="s">
        <v>2354</v>
      </c>
      <c r="C173" s="471"/>
      <c r="D173" s="482">
        <v>368900.0</v>
      </c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484">
        <v>46195.0</v>
      </c>
      <c r="B174" s="485" t="s">
        <v>2355</v>
      </c>
      <c r="C174" s="486"/>
      <c r="D174" s="487">
        <v>210000.0</v>
      </c>
    </row>
    <row r="175">
      <c r="A175" s="488"/>
      <c r="B175" s="486"/>
      <c r="C175" s="486"/>
      <c r="D175" s="489"/>
    </row>
    <row r="176">
      <c r="A176" s="488"/>
      <c r="B176" s="486"/>
      <c r="C176" s="486"/>
      <c r="D176" s="489"/>
    </row>
    <row r="177">
      <c r="A177" s="488"/>
      <c r="B177" s="486"/>
      <c r="C177" s="486"/>
      <c r="D177" s="489"/>
    </row>
    <row r="178">
      <c r="A178" s="13"/>
      <c r="D178" s="83"/>
    </row>
    <row r="179">
      <c r="A179" s="13"/>
      <c r="D179" s="83"/>
    </row>
    <row r="180">
      <c r="A180" s="13"/>
      <c r="D180" s="83"/>
    </row>
    <row r="181">
      <c r="A181" s="13"/>
      <c r="D181" s="83"/>
    </row>
    <row r="182">
      <c r="A182" s="13"/>
      <c r="D182" s="83"/>
    </row>
    <row r="183">
      <c r="A183" s="13"/>
      <c r="D183" s="83"/>
    </row>
    <row r="184">
      <c r="A184" s="13"/>
      <c r="D184" s="83"/>
    </row>
    <row r="185">
      <c r="A185" s="13"/>
      <c r="D185" s="83"/>
    </row>
    <row r="186">
      <c r="A186" s="13"/>
      <c r="D186" s="83"/>
    </row>
    <row r="187">
      <c r="A187" s="13"/>
      <c r="D187" s="83"/>
    </row>
    <row r="188">
      <c r="A188" s="13"/>
      <c r="D188" s="83"/>
    </row>
    <row r="189">
      <c r="A189" s="13"/>
      <c r="D189" s="83"/>
    </row>
    <row r="190">
      <c r="A190" s="13"/>
      <c r="D190" s="83"/>
    </row>
    <row r="191">
      <c r="A191" s="13"/>
      <c r="D191" s="83"/>
    </row>
    <row r="192">
      <c r="A192" s="13"/>
      <c r="D192" s="83"/>
    </row>
    <row r="193">
      <c r="A193" s="13"/>
      <c r="D193" s="83"/>
    </row>
    <row r="194">
      <c r="A194" s="13"/>
      <c r="D194" s="83"/>
    </row>
    <row r="195">
      <c r="A195" s="13"/>
      <c r="D195" s="83"/>
    </row>
    <row r="196">
      <c r="A196" s="13"/>
      <c r="D196" s="83"/>
    </row>
    <row r="197">
      <c r="A197" s="13"/>
      <c r="D197" s="83"/>
    </row>
    <row r="198">
      <c r="A198" s="13"/>
      <c r="D198" s="83"/>
    </row>
    <row r="199">
      <c r="A199" s="13"/>
      <c r="D199" s="83"/>
    </row>
    <row r="200">
      <c r="A200" s="13"/>
      <c r="D200" s="83"/>
    </row>
    <row r="201">
      <c r="A201" s="13"/>
      <c r="D201" s="83"/>
    </row>
    <row r="202">
      <c r="A202" s="13"/>
      <c r="D202" s="83"/>
    </row>
    <row r="203">
      <c r="A203" s="13"/>
      <c r="D203" s="83"/>
    </row>
    <row r="204">
      <c r="A204" s="13"/>
      <c r="D204" s="83"/>
    </row>
    <row r="205">
      <c r="A205" s="13"/>
      <c r="D205" s="83"/>
    </row>
    <row r="206">
      <c r="A206" s="13"/>
      <c r="D206" s="83"/>
    </row>
    <row r="207">
      <c r="A207" s="13"/>
      <c r="D207" s="83"/>
    </row>
    <row r="208">
      <c r="A208" s="13"/>
      <c r="D208" s="83"/>
    </row>
    <row r="209">
      <c r="A209" s="13"/>
      <c r="D209" s="83"/>
    </row>
    <row r="210">
      <c r="A210" s="13"/>
      <c r="D210" s="83"/>
    </row>
    <row r="211">
      <c r="A211" s="13"/>
      <c r="D211" s="83"/>
    </row>
    <row r="212">
      <c r="A212" s="13"/>
      <c r="D212" s="83"/>
    </row>
    <row r="213">
      <c r="A213" s="13"/>
      <c r="D213" s="83"/>
    </row>
    <row r="214">
      <c r="A214" s="13"/>
      <c r="D214" s="83"/>
    </row>
    <row r="215">
      <c r="A215" s="13"/>
      <c r="D215" s="83"/>
    </row>
    <row r="216">
      <c r="A216" s="13"/>
      <c r="D216" s="83"/>
    </row>
    <row r="217">
      <c r="A217" s="13"/>
      <c r="D217" s="83"/>
    </row>
    <row r="218">
      <c r="A218" s="13"/>
      <c r="D218" s="83"/>
    </row>
    <row r="219">
      <c r="A219" s="13"/>
      <c r="D219" s="83"/>
    </row>
    <row r="220">
      <c r="A220" s="13"/>
      <c r="D220" s="83"/>
    </row>
    <row r="221">
      <c r="A221" s="13"/>
      <c r="D221" s="83"/>
    </row>
    <row r="222">
      <c r="A222" s="13"/>
      <c r="D222" s="83"/>
    </row>
    <row r="223">
      <c r="A223" s="13"/>
      <c r="D223" s="83"/>
    </row>
    <row r="224">
      <c r="A224" s="13"/>
      <c r="D224" s="83"/>
    </row>
    <row r="225">
      <c r="A225" s="13"/>
      <c r="D225" s="83"/>
    </row>
    <row r="226">
      <c r="A226" s="13"/>
      <c r="D226" s="83"/>
    </row>
    <row r="227">
      <c r="A227" s="13"/>
      <c r="D227" s="83"/>
    </row>
    <row r="228">
      <c r="A228" s="13"/>
      <c r="D228" s="83"/>
    </row>
    <row r="229">
      <c r="A229" s="13"/>
      <c r="D229" s="83"/>
    </row>
    <row r="230">
      <c r="A230" s="13"/>
      <c r="D230" s="83"/>
    </row>
    <row r="231">
      <c r="A231" s="13"/>
      <c r="D231" s="83"/>
    </row>
    <row r="232">
      <c r="A232" s="13"/>
      <c r="D232" s="83"/>
    </row>
    <row r="233">
      <c r="A233" s="13"/>
      <c r="D233" s="83"/>
    </row>
    <row r="234">
      <c r="A234" s="13"/>
      <c r="D234" s="83"/>
    </row>
    <row r="235">
      <c r="A235" s="13"/>
      <c r="D235" s="83"/>
    </row>
    <row r="236">
      <c r="A236" s="13"/>
      <c r="D236" s="83"/>
    </row>
    <row r="237">
      <c r="A237" s="13"/>
      <c r="D237" s="83"/>
    </row>
    <row r="238">
      <c r="A238" s="13"/>
      <c r="D238" s="83"/>
    </row>
    <row r="239">
      <c r="A239" s="13"/>
      <c r="D239" s="83"/>
    </row>
    <row r="240">
      <c r="A240" s="13"/>
      <c r="D240" s="83"/>
    </row>
    <row r="241">
      <c r="A241" s="13"/>
      <c r="D241" s="83"/>
    </row>
    <row r="242">
      <c r="A242" s="13"/>
      <c r="D242" s="83"/>
    </row>
    <row r="243">
      <c r="A243" s="13"/>
      <c r="D243" s="83"/>
    </row>
    <row r="244">
      <c r="A244" s="13"/>
      <c r="D244" s="83"/>
    </row>
    <row r="245">
      <c r="A245" s="13"/>
      <c r="D245" s="83"/>
    </row>
    <row r="246">
      <c r="A246" s="13"/>
      <c r="D246" s="83"/>
    </row>
    <row r="247">
      <c r="A247" s="13"/>
      <c r="D247" s="83"/>
    </row>
    <row r="248">
      <c r="A248" s="13"/>
      <c r="D248" s="83"/>
    </row>
    <row r="249">
      <c r="A249" s="13"/>
      <c r="D249" s="83"/>
    </row>
    <row r="250">
      <c r="A250" s="13"/>
      <c r="D250" s="83"/>
    </row>
    <row r="251">
      <c r="A251" s="13"/>
      <c r="D251" s="83"/>
    </row>
    <row r="252">
      <c r="A252" s="13"/>
      <c r="D252" s="83"/>
    </row>
    <row r="253">
      <c r="A253" s="13"/>
      <c r="D253" s="83"/>
    </row>
    <row r="254">
      <c r="A254" s="13"/>
      <c r="D254" s="83"/>
    </row>
    <row r="255">
      <c r="A255" s="13"/>
      <c r="D255" s="83"/>
    </row>
    <row r="256">
      <c r="A256" s="13"/>
      <c r="D256" s="83"/>
    </row>
    <row r="257">
      <c r="A257" s="13"/>
      <c r="D257" s="83"/>
    </row>
    <row r="258">
      <c r="A258" s="13"/>
      <c r="D258" s="83"/>
    </row>
    <row r="259">
      <c r="A259" s="13"/>
      <c r="D259" s="83"/>
    </row>
    <row r="260">
      <c r="A260" s="13"/>
      <c r="D260" s="83"/>
    </row>
    <row r="261">
      <c r="A261" s="13"/>
      <c r="D261" s="83"/>
    </row>
    <row r="262">
      <c r="A262" s="13"/>
      <c r="D262" s="83"/>
    </row>
    <row r="263">
      <c r="A263" s="13"/>
      <c r="D263" s="83"/>
    </row>
    <row r="264">
      <c r="A264" s="13"/>
      <c r="D264" s="83"/>
    </row>
    <row r="265">
      <c r="A265" s="13"/>
      <c r="D265" s="83"/>
    </row>
    <row r="266">
      <c r="A266" s="13"/>
      <c r="D266" s="83"/>
    </row>
    <row r="267">
      <c r="A267" s="13"/>
      <c r="D267" s="83"/>
    </row>
    <row r="268">
      <c r="A268" s="13"/>
      <c r="D268" s="83"/>
    </row>
    <row r="269">
      <c r="A269" s="13"/>
      <c r="D269" s="83"/>
    </row>
    <row r="270">
      <c r="A270" s="13"/>
      <c r="D270" s="83"/>
    </row>
    <row r="271">
      <c r="A271" s="13"/>
      <c r="D271" s="83"/>
    </row>
    <row r="272">
      <c r="A272" s="13"/>
      <c r="D272" s="83"/>
    </row>
    <row r="273">
      <c r="A273" s="13"/>
      <c r="D273" s="83"/>
    </row>
    <row r="274">
      <c r="A274" s="13"/>
      <c r="D274" s="83"/>
    </row>
    <row r="275">
      <c r="A275" s="13"/>
      <c r="D275" s="83"/>
    </row>
    <row r="276">
      <c r="A276" s="13"/>
      <c r="D276" s="83"/>
    </row>
    <row r="277">
      <c r="A277" s="13"/>
      <c r="D277" s="83"/>
    </row>
    <row r="278">
      <c r="A278" s="13"/>
      <c r="D278" s="83"/>
    </row>
    <row r="279">
      <c r="A279" s="13"/>
      <c r="D279" s="83"/>
    </row>
    <row r="280">
      <c r="A280" s="13"/>
      <c r="D280" s="83"/>
    </row>
    <row r="281">
      <c r="A281" s="13"/>
      <c r="D281" s="83"/>
    </row>
    <row r="282">
      <c r="A282" s="13"/>
      <c r="D282" s="83"/>
    </row>
    <row r="283">
      <c r="A283" s="13"/>
      <c r="D283" s="83"/>
    </row>
    <row r="284">
      <c r="A284" s="13"/>
      <c r="D284" s="83"/>
    </row>
    <row r="285">
      <c r="A285" s="13"/>
      <c r="D285" s="83"/>
    </row>
    <row r="286">
      <c r="A286" s="13"/>
      <c r="D286" s="83"/>
    </row>
    <row r="287">
      <c r="A287" s="13"/>
      <c r="D287" s="83"/>
    </row>
    <row r="288">
      <c r="A288" s="13"/>
      <c r="D288" s="83"/>
    </row>
    <row r="289">
      <c r="A289" s="13"/>
      <c r="D289" s="83"/>
    </row>
    <row r="290">
      <c r="A290" s="13"/>
      <c r="D290" s="83"/>
    </row>
    <row r="291">
      <c r="A291" s="13"/>
      <c r="D291" s="83"/>
    </row>
    <row r="292">
      <c r="A292" s="13"/>
      <c r="D292" s="83"/>
    </row>
    <row r="293">
      <c r="A293" s="13"/>
      <c r="D293" s="83"/>
    </row>
    <row r="294">
      <c r="A294" s="13"/>
      <c r="D294" s="83"/>
    </row>
    <row r="295">
      <c r="A295" s="13"/>
      <c r="D295" s="83"/>
    </row>
    <row r="296">
      <c r="A296" s="13"/>
      <c r="D296" s="83"/>
    </row>
    <row r="297">
      <c r="A297" s="13"/>
      <c r="D297" s="83"/>
    </row>
    <row r="298">
      <c r="A298" s="13"/>
      <c r="D298" s="83"/>
    </row>
    <row r="299">
      <c r="A299" s="13"/>
      <c r="D299" s="83"/>
    </row>
    <row r="300">
      <c r="A300" s="13"/>
      <c r="D300" s="83"/>
    </row>
    <row r="301">
      <c r="A301" s="13"/>
      <c r="D301" s="83"/>
    </row>
    <row r="302">
      <c r="A302" s="13"/>
      <c r="D302" s="83"/>
    </row>
    <row r="303">
      <c r="A303" s="13"/>
      <c r="D303" s="83"/>
    </row>
    <row r="304">
      <c r="A304" s="13"/>
      <c r="D304" s="83"/>
    </row>
    <row r="305">
      <c r="A305" s="13"/>
      <c r="D305" s="83"/>
    </row>
    <row r="306">
      <c r="A306" s="13"/>
      <c r="D306" s="83"/>
    </row>
    <row r="307">
      <c r="A307" s="13"/>
      <c r="D307" s="83"/>
    </row>
    <row r="308">
      <c r="A308" s="13"/>
      <c r="D308" s="83"/>
    </row>
    <row r="309">
      <c r="A309" s="13"/>
      <c r="D309" s="83"/>
    </row>
    <row r="310">
      <c r="A310" s="13"/>
      <c r="D310" s="83"/>
    </row>
    <row r="311">
      <c r="A311" s="13"/>
      <c r="D311" s="83"/>
    </row>
    <row r="312">
      <c r="A312" s="13"/>
      <c r="D312" s="83"/>
    </row>
    <row r="313">
      <c r="A313" s="13"/>
      <c r="D313" s="83"/>
    </row>
    <row r="314">
      <c r="A314" s="13"/>
      <c r="D314" s="83"/>
    </row>
    <row r="315">
      <c r="A315" s="13"/>
      <c r="D315" s="83"/>
    </row>
    <row r="316">
      <c r="A316" s="13"/>
      <c r="D316" s="83"/>
    </row>
    <row r="317">
      <c r="A317" s="13"/>
      <c r="D317" s="83"/>
    </row>
    <row r="318">
      <c r="A318" s="13"/>
      <c r="D318" s="83"/>
    </row>
    <row r="319">
      <c r="A319" s="13"/>
      <c r="D319" s="83"/>
    </row>
    <row r="320">
      <c r="A320" s="13"/>
      <c r="D320" s="83"/>
    </row>
    <row r="321">
      <c r="A321" s="13"/>
      <c r="D321" s="83"/>
    </row>
    <row r="322">
      <c r="A322" s="13"/>
      <c r="D322" s="83"/>
    </row>
    <row r="323">
      <c r="A323" s="13"/>
      <c r="D323" s="83"/>
    </row>
    <row r="324">
      <c r="A324" s="13"/>
      <c r="D324" s="83"/>
    </row>
    <row r="325">
      <c r="A325" s="13"/>
      <c r="D325" s="83"/>
    </row>
    <row r="326">
      <c r="A326" s="13"/>
      <c r="D326" s="83"/>
    </row>
    <row r="327">
      <c r="A327" s="13"/>
      <c r="D327" s="83"/>
    </row>
    <row r="328">
      <c r="A328" s="13"/>
      <c r="D328" s="83"/>
    </row>
    <row r="329">
      <c r="A329" s="13"/>
      <c r="D329" s="83"/>
    </row>
    <row r="330">
      <c r="A330" s="13"/>
      <c r="D330" s="83"/>
    </row>
    <row r="331">
      <c r="A331" s="13"/>
      <c r="D331" s="83"/>
    </row>
    <row r="332">
      <c r="A332" s="13"/>
      <c r="D332" s="83"/>
    </row>
    <row r="333">
      <c r="A333" s="13"/>
      <c r="D333" s="83"/>
    </row>
    <row r="334">
      <c r="A334" s="13"/>
      <c r="D334" s="83"/>
    </row>
    <row r="335">
      <c r="A335" s="13"/>
      <c r="D335" s="83"/>
    </row>
    <row r="336">
      <c r="A336" s="13"/>
      <c r="D336" s="83"/>
    </row>
    <row r="337">
      <c r="A337" s="13"/>
      <c r="D337" s="83"/>
    </row>
    <row r="338">
      <c r="A338" s="13"/>
      <c r="D338" s="83"/>
    </row>
    <row r="339">
      <c r="A339" s="13"/>
      <c r="D339" s="83"/>
    </row>
    <row r="340">
      <c r="A340" s="13"/>
      <c r="D340" s="83"/>
    </row>
    <row r="341">
      <c r="A341" s="13"/>
      <c r="D341" s="83"/>
    </row>
    <row r="342">
      <c r="A342" s="13"/>
      <c r="D342" s="83"/>
    </row>
    <row r="343">
      <c r="A343" s="13"/>
      <c r="D343" s="83"/>
    </row>
    <row r="344">
      <c r="A344" s="13"/>
      <c r="D344" s="83"/>
    </row>
    <row r="345">
      <c r="A345" s="13"/>
      <c r="D345" s="83"/>
    </row>
    <row r="346">
      <c r="A346" s="13"/>
      <c r="D346" s="83"/>
    </row>
    <row r="347">
      <c r="A347" s="13"/>
      <c r="D347" s="83"/>
    </row>
    <row r="348">
      <c r="A348" s="13"/>
      <c r="D348" s="83"/>
    </row>
    <row r="349">
      <c r="A349" s="13"/>
      <c r="D349" s="83"/>
    </row>
    <row r="350">
      <c r="A350" s="13"/>
      <c r="D350" s="83"/>
    </row>
    <row r="351">
      <c r="A351" s="13"/>
      <c r="D351" s="83"/>
    </row>
    <row r="352">
      <c r="A352" s="13"/>
      <c r="D352" s="83"/>
    </row>
    <row r="353">
      <c r="A353" s="13"/>
      <c r="D353" s="83"/>
    </row>
    <row r="354">
      <c r="A354" s="13"/>
      <c r="D354" s="83"/>
    </row>
    <row r="355">
      <c r="A355" s="13"/>
      <c r="D355" s="83"/>
    </row>
    <row r="356">
      <c r="A356" s="13"/>
      <c r="D356" s="83"/>
    </row>
    <row r="357">
      <c r="A357" s="13"/>
      <c r="D357" s="83"/>
    </row>
    <row r="358">
      <c r="A358" s="13"/>
      <c r="D358" s="83"/>
    </row>
    <row r="359">
      <c r="A359" s="13"/>
      <c r="D359" s="83"/>
    </row>
    <row r="360">
      <c r="A360" s="13"/>
      <c r="D360" s="83"/>
    </row>
    <row r="361">
      <c r="A361" s="13"/>
      <c r="D361" s="83"/>
    </row>
    <row r="362">
      <c r="A362" s="13"/>
      <c r="D362" s="83"/>
    </row>
    <row r="363">
      <c r="A363" s="13"/>
      <c r="D363" s="83"/>
    </row>
    <row r="364">
      <c r="A364" s="13"/>
      <c r="D364" s="83"/>
    </row>
    <row r="365">
      <c r="A365" s="13"/>
      <c r="D365" s="83"/>
    </row>
    <row r="366">
      <c r="A366" s="13"/>
      <c r="D366" s="83"/>
    </row>
    <row r="367">
      <c r="A367" s="13"/>
      <c r="D367" s="83"/>
    </row>
    <row r="368">
      <c r="A368" s="13"/>
      <c r="D368" s="83"/>
    </row>
    <row r="369">
      <c r="A369" s="13"/>
      <c r="D369" s="83"/>
    </row>
    <row r="370">
      <c r="A370" s="13"/>
      <c r="D370" s="83"/>
    </row>
    <row r="371">
      <c r="A371" s="13"/>
      <c r="D371" s="83"/>
    </row>
    <row r="372">
      <c r="A372" s="13"/>
      <c r="D372" s="83"/>
    </row>
    <row r="373">
      <c r="A373" s="13"/>
      <c r="D373" s="83"/>
    </row>
    <row r="374">
      <c r="A374" s="13"/>
      <c r="D374" s="83"/>
    </row>
    <row r="375">
      <c r="A375" s="13"/>
      <c r="D375" s="83"/>
    </row>
    <row r="376">
      <c r="A376" s="13"/>
      <c r="D376" s="83"/>
    </row>
    <row r="377">
      <c r="A377" s="13"/>
      <c r="D377" s="83"/>
    </row>
    <row r="378">
      <c r="A378" s="13"/>
      <c r="D378" s="83"/>
    </row>
    <row r="379">
      <c r="A379" s="13"/>
      <c r="D379" s="83"/>
    </row>
    <row r="380">
      <c r="A380" s="13"/>
      <c r="D380" s="83"/>
    </row>
    <row r="381">
      <c r="A381" s="13"/>
      <c r="D381" s="83"/>
    </row>
    <row r="382">
      <c r="A382" s="13"/>
      <c r="D382" s="83"/>
    </row>
    <row r="383">
      <c r="A383" s="13"/>
      <c r="D383" s="83"/>
    </row>
    <row r="384">
      <c r="A384" s="13"/>
      <c r="D384" s="83"/>
    </row>
    <row r="385">
      <c r="A385" s="13"/>
      <c r="D385" s="83"/>
    </row>
    <row r="386">
      <c r="A386" s="13"/>
      <c r="D386" s="83"/>
    </row>
    <row r="387">
      <c r="A387" s="13"/>
      <c r="D387" s="83"/>
    </row>
    <row r="388">
      <c r="A388" s="13"/>
      <c r="D388" s="83"/>
    </row>
    <row r="389">
      <c r="A389" s="13"/>
      <c r="D389" s="83"/>
    </row>
    <row r="390">
      <c r="A390" s="13"/>
      <c r="D390" s="83"/>
    </row>
    <row r="391">
      <c r="A391" s="13"/>
      <c r="D391" s="83"/>
    </row>
    <row r="392">
      <c r="A392" s="13"/>
      <c r="D392" s="83"/>
    </row>
    <row r="393">
      <c r="A393" s="13"/>
      <c r="D393" s="83"/>
    </row>
    <row r="394">
      <c r="A394" s="13"/>
      <c r="D394" s="83"/>
    </row>
    <row r="395">
      <c r="A395" s="13"/>
      <c r="D395" s="83"/>
    </row>
    <row r="396">
      <c r="A396" s="13"/>
      <c r="D396" s="83"/>
    </row>
    <row r="397">
      <c r="A397" s="13"/>
      <c r="D397" s="83"/>
    </row>
    <row r="398">
      <c r="A398" s="13"/>
      <c r="D398" s="83"/>
    </row>
    <row r="399">
      <c r="A399" s="13"/>
      <c r="D399" s="83"/>
    </row>
    <row r="400">
      <c r="A400" s="13"/>
      <c r="D400" s="83"/>
    </row>
    <row r="401">
      <c r="A401" s="13"/>
      <c r="D401" s="83"/>
    </row>
    <row r="402">
      <c r="A402" s="13"/>
      <c r="D402" s="83"/>
    </row>
    <row r="403">
      <c r="A403" s="13"/>
      <c r="D403" s="83"/>
    </row>
    <row r="404">
      <c r="A404" s="13"/>
      <c r="D404" s="83"/>
    </row>
    <row r="405">
      <c r="A405" s="13"/>
      <c r="D405" s="83"/>
    </row>
    <row r="406">
      <c r="A406" s="13"/>
      <c r="D406" s="83"/>
    </row>
    <row r="407">
      <c r="A407" s="13"/>
      <c r="D407" s="83"/>
    </row>
    <row r="408">
      <c r="A408" s="13"/>
      <c r="D408" s="83"/>
    </row>
    <row r="409">
      <c r="A409" s="13"/>
      <c r="D409" s="83"/>
    </row>
    <row r="410">
      <c r="A410" s="13"/>
      <c r="D410" s="83"/>
    </row>
    <row r="411">
      <c r="A411" s="13"/>
      <c r="D411" s="83"/>
    </row>
    <row r="412">
      <c r="A412" s="13"/>
      <c r="D412" s="83"/>
    </row>
    <row r="413">
      <c r="A413" s="13"/>
      <c r="D413" s="83"/>
    </row>
    <row r="414">
      <c r="A414" s="13"/>
      <c r="D414" s="83"/>
    </row>
    <row r="415">
      <c r="A415" s="13"/>
      <c r="D415" s="83"/>
    </row>
    <row r="416">
      <c r="A416" s="13"/>
      <c r="D416" s="83"/>
    </row>
    <row r="417">
      <c r="A417" s="13"/>
      <c r="D417" s="83"/>
    </row>
    <row r="418">
      <c r="A418" s="13"/>
      <c r="D418" s="83"/>
    </row>
    <row r="419">
      <c r="A419" s="13"/>
      <c r="D419" s="83"/>
    </row>
    <row r="420">
      <c r="A420" s="13"/>
      <c r="D420" s="83"/>
    </row>
    <row r="421">
      <c r="A421" s="13"/>
      <c r="D421" s="83"/>
    </row>
    <row r="422">
      <c r="A422" s="13"/>
      <c r="D422" s="83"/>
    </row>
    <row r="423">
      <c r="A423" s="13"/>
      <c r="D423" s="83"/>
    </row>
    <row r="424">
      <c r="A424" s="13"/>
      <c r="D424" s="83"/>
    </row>
    <row r="425">
      <c r="A425" s="13"/>
      <c r="D425" s="83"/>
    </row>
    <row r="426">
      <c r="A426" s="13"/>
      <c r="D426" s="83"/>
    </row>
    <row r="427">
      <c r="A427" s="13"/>
      <c r="D427" s="83"/>
    </row>
    <row r="428">
      <c r="A428" s="13"/>
      <c r="D428" s="83"/>
    </row>
    <row r="429">
      <c r="A429" s="13"/>
      <c r="D429" s="83"/>
    </row>
    <row r="430">
      <c r="A430" s="13"/>
      <c r="D430" s="83"/>
    </row>
    <row r="431">
      <c r="A431" s="13"/>
      <c r="D431" s="83"/>
    </row>
    <row r="432">
      <c r="A432" s="13"/>
      <c r="D432" s="83"/>
    </row>
    <row r="433">
      <c r="A433" s="13"/>
      <c r="D433" s="83"/>
    </row>
    <row r="434">
      <c r="A434" s="13"/>
      <c r="D434" s="83"/>
    </row>
    <row r="435">
      <c r="A435" s="13"/>
      <c r="D435" s="83"/>
    </row>
    <row r="436">
      <c r="A436" s="13"/>
      <c r="D436" s="83"/>
    </row>
    <row r="437">
      <c r="A437" s="13"/>
      <c r="D437" s="83"/>
    </row>
    <row r="438">
      <c r="A438" s="13"/>
      <c r="D438" s="83"/>
    </row>
    <row r="439">
      <c r="A439" s="13"/>
      <c r="D439" s="83"/>
    </row>
    <row r="440">
      <c r="A440" s="13"/>
      <c r="D440" s="83"/>
    </row>
    <row r="441">
      <c r="A441" s="13"/>
      <c r="D441" s="83"/>
    </row>
    <row r="442">
      <c r="A442" s="13"/>
      <c r="D442" s="83"/>
    </row>
    <row r="443">
      <c r="A443" s="13"/>
      <c r="D443" s="83"/>
    </row>
    <row r="444">
      <c r="A444" s="13"/>
      <c r="D444" s="83"/>
    </row>
    <row r="445">
      <c r="A445" s="13"/>
      <c r="D445" s="83"/>
    </row>
    <row r="446">
      <c r="A446" s="13"/>
      <c r="D446" s="83"/>
    </row>
    <row r="447">
      <c r="A447" s="13"/>
      <c r="D447" s="83"/>
    </row>
    <row r="448">
      <c r="A448" s="13"/>
      <c r="D448" s="83"/>
    </row>
    <row r="449">
      <c r="A449" s="13"/>
      <c r="D449" s="83"/>
    </row>
    <row r="450">
      <c r="A450" s="13"/>
      <c r="D450" s="83"/>
    </row>
    <row r="451">
      <c r="A451" s="13"/>
      <c r="D451" s="83"/>
    </row>
    <row r="452">
      <c r="A452" s="13"/>
      <c r="D452" s="83"/>
    </row>
    <row r="453">
      <c r="A453" s="13"/>
      <c r="D453" s="83"/>
    </row>
    <row r="454">
      <c r="A454" s="13"/>
      <c r="D454" s="83"/>
    </row>
    <row r="455">
      <c r="A455" s="13"/>
      <c r="D455" s="83"/>
    </row>
    <row r="456">
      <c r="A456" s="13"/>
      <c r="D456" s="83"/>
    </row>
    <row r="457">
      <c r="A457" s="13"/>
      <c r="D457" s="83"/>
    </row>
    <row r="458">
      <c r="A458" s="13"/>
      <c r="D458" s="83"/>
    </row>
    <row r="459">
      <c r="A459" s="13"/>
      <c r="D459" s="83"/>
    </row>
    <row r="460">
      <c r="A460" s="13"/>
      <c r="D460" s="83"/>
    </row>
    <row r="461">
      <c r="A461" s="13"/>
      <c r="D461" s="83"/>
    </row>
    <row r="462">
      <c r="A462" s="13"/>
      <c r="D462" s="83"/>
    </row>
    <row r="463">
      <c r="A463" s="13"/>
      <c r="D463" s="83"/>
    </row>
    <row r="464">
      <c r="A464" s="13"/>
      <c r="D464" s="83"/>
    </row>
    <row r="465">
      <c r="A465" s="13"/>
      <c r="D465" s="83"/>
    </row>
    <row r="466">
      <c r="A466" s="13"/>
      <c r="D466" s="83"/>
    </row>
    <row r="467">
      <c r="A467" s="13"/>
      <c r="D467" s="83"/>
    </row>
    <row r="468">
      <c r="A468" s="13"/>
      <c r="D468" s="83"/>
    </row>
    <row r="469">
      <c r="A469" s="13"/>
      <c r="D469" s="83"/>
    </row>
    <row r="470">
      <c r="A470" s="13"/>
      <c r="D470" s="83"/>
    </row>
    <row r="471">
      <c r="A471" s="13"/>
      <c r="D471" s="83"/>
    </row>
    <row r="472">
      <c r="A472" s="13"/>
      <c r="D472" s="83"/>
    </row>
    <row r="473">
      <c r="A473" s="13"/>
      <c r="D473" s="83"/>
    </row>
    <row r="474">
      <c r="A474" s="13"/>
      <c r="D474" s="83"/>
    </row>
    <row r="475">
      <c r="A475" s="13"/>
      <c r="D475" s="83"/>
    </row>
    <row r="476">
      <c r="A476" s="13"/>
      <c r="D476" s="83"/>
    </row>
    <row r="477">
      <c r="A477" s="13"/>
      <c r="D477" s="83"/>
    </row>
    <row r="478">
      <c r="A478" s="13"/>
      <c r="D478" s="83"/>
    </row>
    <row r="479">
      <c r="A479" s="13"/>
      <c r="D479" s="83"/>
    </row>
    <row r="480">
      <c r="A480" s="13"/>
      <c r="D480" s="83"/>
    </row>
    <row r="481">
      <c r="A481" s="13"/>
      <c r="D481" s="83"/>
    </row>
    <row r="482">
      <c r="A482" s="13"/>
      <c r="D482" s="83"/>
    </row>
    <row r="483">
      <c r="A483" s="13"/>
      <c r="D483" s="83"/>
    </row>
    <row r="484">
      <c r="A484" s="13"/>
      <c r="D484" s="83"/>
    </row>
    <row r="485">
      <c r="A485" s="13"/>
      <c r="D485" s="83"/>
    </row>
    <row r="486">
      <c r="A486" s="13"/>
      <c r="D486" s="83"/>
    </row>
    <row r="487">
      <c r="A487" s="13"/>
      <c r="D487" s="83"/>
    </row>
    <row r="488">
      <c r="A488" s="13"/>
      <c r="D488" s="83"/>
    </row>
    <row r="489">
      <c r="A489" s="13"/>
      <c r="D489" s="83"/>
    </row>
    <row r="490">
      <c r="A490" s="13"/>
      <c r="D490" s="83"/>
    </row>
    <row r="491">
      <c r="A491" s="13"/>
      <c r="D491" s="83"/>
    </row>
    <row r="492">
      <c r="A492" s="13"/>
      <c r="D492" s="83"/>
    </row>
    <row r="493">
      <c r="A493" s="13"/>
      <c r="D493" s="83"/>
    </row>
    <row r="494">
      <c r="A494" s="13"/>
      <c r="D494" s="83"/>
    </row>
    <row r="495">
      <c r="A495" s="13"/>
      <c r="D495" s="83"/>
    </row>
    <row r="496">
      <c r="A496" s="13"/>
      <c r="D496" s="83"/>
    </row>
    <row r="497">
      <c r="A497" s="13"/>
      <c r="D497" s="83"/>
    </row>
    <row r="498">
      <c r="A498" s="13"/>
      <c r="D498" s="83"/>
    </row>
    <row r="499">
      <c r="A499" s="13"/>
      <c r="D499" s="83"/>
    </row>
    <row r="500">
      <c r="A500" s="13"/>
      <c r="D500" s="83"/>
    </row>
    <row r="501">
      <c r="A501" s="13"/>
      <c r="D501" s="83"/>
    </row>
    <row r="502">
      <c r="A502" s="13"/>
      <c r="D502" s="83"/>
    </row>
    <row r="503">
      <c r="A503" s="13"/>
      <c r="D503" s="83"/>
    </row>
    <row r="504">
      <c r="A504" s="13"/>
      <c r="D504" s="83"/>
    </row>
    <row r="505">
      <c r="A505" s="13"/>
      <c r="D505" s="83"/>
    </row>
    <row r="506">
      <c r="A506" s="13"/>
      <c r="D506" s="83"/>
    </row>
    <row r="507">
      <c r="A507" s="13"/>
      <c r="D507" s="83"/>
    </row>
    <row r="508">
      <c r="A508" s="13"/>
      <c r="D508" s="83"/>
    </row>
    <row r="509">
      <c r="A509" s="13"/>
      <c r="D509" s="83"/>
    </row>
    <row r="510">
      <c r="A510" s="13"/>
      <c r="D510" s="83"/>
    </row>
    <row r="511">
      <c r="A511" s="13"/>
      <c r="D511" s="83"/>
    </row>
    <row r="512">
      <c r="A512" s="13"/>
      <c r="D512" s="83"/>
    </row>
    <row r="513">
      <c r="A513" s="13"/>
      <c r="D513" s="83"/>
    </row>
    <row r="514">
      <c r="A514" s="13"/>
      <c r="D514" s="83"/>
    </row>
    <row r="515">
      <c r="A515" s="13"/>
      <c r="D515" s="83"/>
    </row>
    <row r="516">
      <c r="A516" s="13"/>
      <c r="D516" s="83"/>
    </row>
    <row r="517">
      <c r="A517" s="13"/>
      <c r="D517" s="83"/>
    </row>
    <row r="518">
      <c r="A518" s="13"/>
      <c r="D518" s="83"/>
    </row>
    <row r="519">
      <c r="A519" s="13"/>
      <c r="D519" s="83"/>
    </row>
    <row r="520">
      <c r="A520" s="13"/>
      <c r="D520" s="83"/>
    </row>
    <row r="521">
      <c r="A521" s="13"/>
      <c r="D521" s="83"/>
    </row>
    <row r="522">
      <c r="A522" s="13"/>
      <c r="D522" s="83"/>
    </row>
    <row r="523">
      <c r="A523" s="13"/>
      <c r="D523" s="83"/>
    </row>
    <row r="524">
      <c r="A524" s="13"/>
      <c r="D524" s="83"/>
    </row>
    <row r="525">
      <c r="A525" s="13"/>
      <c r="D525" s="83"/>
    </row>
    <row r="526">
      <c r="A526" s="13"/>
      <c r="D526" s="83"/>
    </row>
    <row r="527">
      <c r="A527" s="13"/>
      <c r="D527" s="83"/>
    </row>
    <row r="528">
      <c r="A528" s="13"/>
      <c r="D528" s="83"/>
    </row>
    <row r="529">
      <c r="A529" s="13"/>
      <c r="D529" s="83"/>
    </row>
    <row r="530">
      <c r="A530" s="13"/>
      <c r="D530" s="83"/>
    </row>
    <row r="531">
      <c r="A531" s="13"/>
      <c r="D531" s="83"/>
    </row>
    <row r="532">
      <c r="A532" s="13"/>
      <c r="D532" s="83"/>
    </row>
    <row r="533">
      <c r="A533" s="13"/>
      <c r="D533" s="83"/>
    </row>
    <row r="534">
      <c r="A534" s="13"/>
      <c r="D534" s="83"/>
    </row>
    <row r="535">
      <c r="A535" s="13"/>
      <c r="D535" s="83"/>
    </row>
    <row r="536">
      <c r="A536" s="13"/>
      <c r="D536" s="83"/>
    </row>
    <row r="537">
      <c r="A537" s="13"/>
      <c r="D537" s="83"/>
    </row>
    <row r="538">
      <c r="A538" s="13"/>
      <c r="D538" s="83"/>
    </row>
    <row r="539">
      <c r="A539" s="13"/>
      <c r="D539" s="83"/>
    </row>
    <row r="540">
      <c r="A540" s="13"/>
      <c r="D540" s="83"/>
    </row>
    <row r="541">
      <c r="A541" s="13"/>
      <c r="D541" s="83"/>
    </row>
    <row r="542">
      <c r="A542" s="13"/>
      <c r="D542" s="83"/>
    </row>
    <row r="543">
      <c r="A543" s="13"/>
      <c r="D543" s="83"/>
    </row>
    <row r="544">
      <c r="A544" s="13"/>
      <c r="D544" s="83"/>
    </row>
    <row r="545">
      <c r="A545" s="13"/>
      <c r="D545" s="83"/>
    </row>
    <row r="546">
      <c r="A546" s="13"/>
      <c r="D546" s="83"/>
    </row>
    <row r="547">
      <c r="A547" s="13"/>
      <c r="D547" s="83"/>
    </row>
    <row r="548">
      <c r="A548" s="13"/>
      <c r="D548" s="83"/>
    </row>
    <row r="549">
      <c r="A549" s="13"/>
      <c r="D549" s="83"/>
    </row>
    <row r="550">
      <c r="A550" s="13"/>
      <c r="D550" s="83"/>
    </row>
    <row r="551">
      <c r="A551" s="13"/>
      <c r="D551" s="83"/>
    </row>
    <row r="552">
      <c r="A552" s="13"/>
      <c r="D552" s="83"/>
    </row>
    <row r="553">
      <c r="A553" s="13"/>
      <c r="D553" s="83"/>
    </row>
    <row r="554">
      <c r="A554" s="13"/>
      <c r="D554" s="83"/>
    </row>
    <row r="555">
      <c r="A555" s="13"/>
      <c r="D555" s="83"/>
    </row>
    <row r="556">
      <c r="A556" s="13"/>
      <c r="D556" s="83"/>
    </row>
    <row r="557">
      <c r="A557" s="13"/>
      <c r="D557" s="83"/>
    </row>
    <row r="558">
      <c r="A558" s="13"/>
      <c r="D558" s="83"/>
    </row>
    <row r="559">
      <c r="A559" s="13"/>
      <c r="D559" s="83"/>
    </row>
    <row r="560">
      <c r="A560" s="13"/>
      <c r="D560" s="83"/>
    </row>
    <row r="561">
      <c r="A561" s="13"/>
      <c r="D561" s="83"/>
    </row>
    <row r="562">
      <c r="A562" s="13"/>
      <c r="D562" s="83"/>
    </row>
    <row r="563">
      <c r="A563" s="13"/>
      <c r="D563" s="83"/>
    </row>
    <row r="564">
      <c r="A564" s="13"/>
      <c r="D564" s="83"/>
    </row>
    <row r="565">
      <c r="A565" s="13"/>
      <c r="D565" s="83"/>
    </row>
    <row r="566">
      <c r="A566" s="13"/>
      <c r="D566" s="83"/>
    </row>
    <row r="567">
      <c r="A567" s="13"/>
      <c r="D567" s="83"/>
    </row>
    <row r="568">
      <c r="A568" s="13"/>
      <c r="D568" s="83"/>
    </row>
    <row r="569">
      <c r="A569" s="13"/>
      <c r="D569" s="83"/>
    </row>
    <row r="570">
      <c r="A570" s="13"/>
      <c r="D570" s="83"/>
    </row>
    <row r="571">
      <c r="A571" s="13"/>
      <c r="D571" s="83"/>
    </row>
    <row r="572">
      <c r="A572" s="13"/>
      <c r="D572" s="83"/>
    </row>
    <row r="573">
      <c r="A573" s="13"/>
      <c r="D573" s="83"/>
    </row>
    <row r="574">
      <c r="A574" s="13"/>
      <c r="D574" s="83"/>
    </row>
    <row r="575">
      <c r="A575" s="13"/>
      <c r="D575" s="83"/>
    </row>
    <row r="576">
      <c r="A576" s="13"/>
      <c r="D576" s="83"/>
    </row>
    <row r="577">
      <c r="A577" s="13"/>
      <c r="D577" s="83"/>
    </row>
    <row r="578">
      <c r="A578" s="13"/>
      <c r="D578" s="83"/>
    </row>
    <row r="579">
      <c r="A579" s="13"/>
      <c r="D579" s="83"/>
    </row>
    <row r="580">
      <c r="A580" s="13"/>
      <c r="D580" s="83"/>
    </row>
    <row r="581">
      <c r="A581" s="13"/>
      <c r="D581" s="83"/>
    </row>
    <row r="582">
      <c r="A582" s="13"/>
      <c r="D582" s="83"/>
    </row>
    <row r="583">
      <c r="A583" s="13"/>
      <c r="D583" s="83"/>
    </row>
    <row r="584">
      <c r="A584" s="13"/>
      <c r="D584" s="83"/>
    </row>
    <row r="585">
      <c r="A585" s="13"/>
      <c r="D585" s="83"/>
    </row>
    <row r="586">
      <c r="A586" s="13"/>
      <c r="D586" s="83"/>
    </row>
    <row r="587">
      <c r="A587" s="13"/>
      <c r="D587" s="83"/>
    </row>
    <row r="588">
      <c r="A588" s="13"/>
      <c r="D588" s="83"/>
    </row>
    <row r="589">
      <c r="A589" s="13"/>
      <c r="D589" s="83"/>
    </row>
    <row r="590">
      <c r="A590" s="13"/>
      <c r="D590" s="83"/>
    </row>
    <row r="591">
      <c r="A591" s="13"/>
      <c r="D591" s="83"/>
    </row>
    <row r="592">
      <c r="A592" s="13"/>
      <c r="D592" s="83"/>
    </row>
    <row r="593">
      <c r="A593" s="13"/>
      <c r="D593" s="83"/>
    </row>
    <row r="594">
      <c r="A594" s="13"/>
      <c r="D594" s="83"/>
    </row>
    <row r="595">
      <c r="A595" s="13"/>
      <c r="D595" s="83"/>
    </row>
    <row r="596">
      <c r="A596" s="13"/>
      <c r="D596" s="83"/>
    </row>
    <row r="597">
      <c r="A597" s="13"/>
      <c r="D597" s="83"/>
    </row>
    <row r="598">
      <c r="A598" s="13"/>
      <c r="D598" s="83"/>
    </row>
    <row r="599">
      <c r="A599" s="13"/>
      <c r="D599" s="83"/>
    </row>
    <row r="600">
      <c r="A600" s="13"/>
      <c r="D600" s="83"/>
    </row>
    <row r="601">
      <c r="A601" s="13"/>
      <c r="D601" s="83"/>
    </row>
    <row r="602">
      <c r="A602" s="13"/>
      <c r="D602" s="83"/>
    </row>
    <row r="603">
      <c r="A603" s="13"/>
      <c r="D603" s="83"/>
    </row>
    <row r="604">
      <c r="A604" s="13"/>
      <c r="D604" s="83"/>
    </row>
    <row r="605">
      <c r="A605" s="13"/>
      <c r="D605" s="83"/>
    </row>
    <row r="606">
      <c r="A606" s="13"/>
      <c r="D606" s="83"/>
    </row>
    <row r="607">
      <c r="A607" s="13"/>
      <c r="D607" s="83"/>
    </row>
    <row r="608">
      <c r="A608" s="13"/>
      <c r="D608" s="83"/>
    </row>
    <row r="609">
      <c r="A609" s="13"/>
      <c r="D609" s="83"/>
    </row>
    <row r="610">
      <c r="A610" s="13"/>
      <c r="D610" s="83"/>
    </row>
    <row r="611">
      <c r="A611" s="13"/>
      <c r="D611" s="83"/>
    </row>
    <row r="612">
      <c r="A612" s="13"/>
      <c r="D612" s="83"/>
    </row>
    <row r="613">
      <c r="A613" s="13"/>
      <c r="D613" s="83"/>
    </row>
    <row r="614">
      <c r="A614" s="13"/>
      <c r="D614" s="83"/>
    </row>
    <row r="615">
      <c r="A615" s="13"/>
      <c r="D615" s="83"/>
    </row>
    <row r="616">
      <c r="A616" s="13"/>
      <c r="D616" s="83"/>
    </row>
    <row r="617">
      <c r="A617" s="13"/>
      <c r="D617" s="83"/>
    </row>
    <row r="618">
      <c r="A618" s="13"/>
      <c r="D618" s="83"/>
    </row>
    <row r="619">
      <c r="A619" s="13"/>
      <c r="D619" s="83"/>
    </row>
    <row r="620">
      <c r="A620" s="13"/>
      <c r="D620" s="83"/>
    </row>
    <row r="621">
      <c r="A621" s="13"/>
      <c r="D621" s="83"/>
    </row>
    <row r="622">
      <c r="A622" s="13"/>
      <c r="D622" s="83"/>
    </row>
    <row r="623">
      <c r="A623" s="13"/>
      <c r="D623" s="83"/>
    </row>
    <row r="624">
      <c r="A624" s="13"/>
      <c r="D624" s="83"/>
    </row>
    <row r="625">
      <c r="A625" s="13"/>
      <c r="D625" s="83"/>
    </row>
    <row r="626">
      <c r="A626" s="13"/>
      <c r="D626" s="83"/>
    </row>
    <row r="627">
      <c r="A627" s="13"/>
      <c r="D627" s="83"/>
    </row>
    <row r="628">
      <c r="A628" s="13"/>
      <c r="D628" s="83"/>
    </row>
    <row r="629">
      <c r="A629" s="13"/>
      <c r="D629" s="83"/>
    </row>
    <row r="630">
      <c r="A630" s="13"/>
      <c r="D630" s="83"/>
    </row>
    <row r="631">
      <c r="A631" s="13"/>
      <c r="D631" s="83"/>
    </row>
    <row r="632">
      <c r="A632" s="13"/>
      <c r="D632" s="83"/>
    </row>
    <row r="633">
      <c r="A633" s="13"/>
      <c r="D633" s="83"/>
    </row>
    <row r="634">
      <c r="A634" s="13"/>
      <c r="D634" s="83"/>
    </row>
    <row r="635">
      <c r="A635" s="13"/>
      <c r="D635" s="83"/>
    </row>
    <row r="636">
      <c r="A636" s="13"/>
      <c r="D636" s="83"/>
    </row>
    <row r="637">
      <c r="A637" s="13"/>
      <c r="D637" s="83"/>
    </row>
    <row r="638">
      <c r="A638" s="13"/>
      <c r="D638" s="83"/>
    </row>
    <row r="639">
      <c r="A639" s="13"/>
      <c r="D639" s="83"/>
    </row>
    <row r="640">
      <c r="A640" s="13"/>
      <c r="D640" s="83"/>
    </row>
    <row r="641">
      <c r="A641" s="13"/>
      <c r="D641" s="83"/>
    </row>
    <row r="642">
      <c r="A642" s="13"/>
      <c r="D642" s="83"/>
    </row>
    <row r="643">
      <c r="A643" s="13"/>
      <c r="D643" s="83"/>
    </row>
    <row r="644">
      <c r="A644" s="13"/>
      <c r="D644" s="83"/>
    </row>
    <row r="645">
      <c r="A645" s="13"/>
      <c r="D645" s="83"/>
    </row>
    <row r="646">
      <c r="A646" s="13"/>
      <c r="D646" s="83"/>
    </row>
    <row r="647">
      <c r="A647" s="13"/>
      <c r="D647" s="83"/>
    </row>
    <row r="648">
      <c r="A648" s="13"/>
      <c r="D648" s="83"/>
    </row>
    <row r="649">
      <c r="A649" s="13"/>
      <c r="D649" s="83"/>
    </row>
    <row r="650">
      <c r="A650" s="13"/>
      <c r="D650" s="83"/>
    </row>
    <row r="651">
      <c r="A651" s="13"/>
      <c r="D651" s="83"/>
    </row>
    <row r="652">
      <c r="A652" s="13"/>
      <c r="D652" s="83"/>
    </row>
    <row r="653">
      <c r="A653" s="13"/>
      <c r="D653" s="83"/>
    </row>
    <row r="654">
      <c r="A654" s="13"/>
      <c r="D654" s="83"/>
    </row>
    <row r="655">
      <c r="A655" s="13"/>
      <c r="D655" s="83"/>
    </row>
    <row r="656">
      <c r="A656" s="13"/>
      <c r="D656" s="83"/>
    </row>
    <row r="657">
      <c r="A657" s="13"/>
      <c r="D657" s="83"/>
    </row>
    <row r="658">
      <c r="A658" s="13"/>
      <c r="D658" s="83"/>
    </row>
    <row r="659">
      <c r="A659" s="13"/>
      <c r="D659" s="83"/>
    </row>
    <row r="660">
      <c r="A660" s="13"/>
      <c r="D660" s="83"/>
    </row>
    <row r="661">
      <c r="A661" s="13"/>
      <c r="D661" s="83"/>
    </row>
    <row r="662">
      <c r="A662" s="13"/>
      <c r="D662" s="83"/>
    </row>
    <row r="663">
      <c r="A663" s="13"/>
      <c r="D663" s="83"/>
    </row>
    <row r="664">
      <c r="A664" s="13"/>
      <c r="D664" s="83"/>
    </row>
    <row r="665">
      <c r="A665" s="13"/>
      <c r="D665" s="83"/>
    </row>
    <row r="666">
      <c r="A666" s="13"/>
      <c r="D666" s="83"/>
    </row>
    <row r="667">
      <c r="A667" s="13"/>
      <c r="D667" s="83"/>
    </row>
    <row r="668">
      <c r="A668" s="13"/>
      <c r="D668" s="83"/>
    </row>
    <row r="669">
      <c r="A669" s="13"/>
      <c r="D669" s="83"/>
    </row>
    <row r="670">
      <c r="A670" s="13"/>
      <c r="D670" s="83"/>
    </row>
    <row r="671">
      <c r="A671" s="13"/>
      <c r="D671" s="83"/>
    </row>
    <row r="672">
      <c r="A672" s="13"/>
      <c r="D672" s="83"/>
    </row>
    <row r="673">
      <c r="A673" s="13"/>
      <c r="D673" s="83"/>
    </row>
    <row r="674">
      <c r="A674" s="13"/>
      <c r="D674" s="83"/>
    </row>
    <row r="675">
      <c r="A675" s="13"/>
      <c r="D675" s="83"/>
    </row>
    <row r="676">
      <c r="A676" s="13"/>
      <c r="D676" s="83"/>
    </row>
    <row r="677">
      <c r="A677" s="13"/>
      <c r="D677" s="83"/>
    </row>
    <row r="678">
      <c r="A678" s="13"/>
      <c r="D678" s="83"/>
    </row>
    <row r="679">
      <c r="A679" s="13"/>
      <c r="D679" s="83"/>
    </row>
    <row r="680">
      <c r="A680" s="13"/>
      <c r="D680" s="83"/>
    </row>
    <row r="681">
      <c r="A681" s="13"/>
      <c r="D681" s="83"/>
    </row>
    <row r="682">
      <c r="A682" s="13"/>
      <c r="D682" s="83"/>
    </row>
    <row r="683">
      <c r="A683" s="13"/>
      <c r="D683" s="83"/>
    </row>
    <row r="684">
      <c r="A684" s="13"/>
      <c r="D684" s="83"/>
    </row>
    <row r="685">
      <c r="A685" s="13"/>
      <c r="D685" s="83"/>
    </row>
    <row r="686">
      <c r="A686" s="13"/>
      <c r="D686" s="83"/>
    </row>
    <row r="687">
      <c r="A687" s="13"/>
      <c r="D687" s="83"/>
    </row>
    <row r="688">
      <c r="A688" s="13"/>
      <c r="D688" s="83"/>
    </row>
    <row r="689">
      <c r="A689" s="13"/>
      <c r="D689" s="83"/>
    </row>
    <row r="690">
      <c r="A690" s="13"/>
      <c r="D690" s="83"/>
    </row>
    <row r="691">
      <c r="A691" s="13"/>
      <c r="D691" s="83"/>
    </row>
    <row r="692">
      <c r="A692" s="13"/>
      <c r="D692" s="83"/>
    </row>
    <row r="693">
      <c r="A693" s="13"/>
      <c r="D693" s="83"/>
    </row>
    <row r="694">
      <c r="A694" s="13"/>
      <c r="D694" s="83"/>
    </row>
    <row r="695">
      <c r="A695" s="13"/>
      <c r="D695" s="83"/>
    </row>
    <row r="696">
      <c r="A696" s="13"/>
      <c r="D696" s="83"/>
    </row>
    <row r="697">
      <c r="A697" s="13"/>
      <c r="D697" s="83"/>
    </row>
    <row r="698">
      <c r="A698" s="13"/>
      <c r="D698" s="83"/>
    </row>
    <row r="699">
      <c r="A699" s="13"/>
      <c r="D699" s="83"/>
    </row>
    <row r="700">
      <c r="A700" s="13"/>
      <c r="D700" s="83"/>
    </row>
    <row r="701">
      <c r="A701" s="13"/>
      <c r="D701" s="83"/>
    </row>
    <row r="702">
      <c r="A702" s="13"/>
      <c r="D702" s="83"/>
    </row>
    <row r="703">
      <c r="A703" s="13"/>
      <c r="D703" s="83"/>
    </row>
    <row r="704">
      <c r="A704" s="13"/>
      <c r="D704" s="83"/>
    </row>
    <row r="705">
      <c r="A705" s="13"/>
      <c r="D705" s="83"/>
    </row>
    <row r="706">
      <c r="A706" s="13"/>
      <c r="D706" s="83"/>
    </row>
    <row r="707">
      <c r="A707" s="13"/>
      <c r="D707" s="83"/>
    </row>
    <row r="708">
      <c r="A708" s="13"/>
      <c r="D708" s="83"/>
    </row>
    <row r="709">
      <c r="A709" s="13"/>
      <c r="D709" s="83"/>
    </row>
    <row r="710">
      <c r="A710" s="13"/>
      <c r="D710" s="83"/>
    </row>
    <row r="711">
      <c r="A711" s="13"/>
      <c r="D711" s="83"/>
    </row>
    <row r="712">
      <c r="A712" s="13"/>
      <c r="D712" s="83"/>
    </row>
    <row r="713">
      <c r="A713" s="13"/>
      <c r="D713" s="83"/>
    </row>
    <row r="714">
      <c r="A714" s="13"/>
      <c r="D714" s="83"/>
    </row>
    <row r="715">
      <c r="A715" s="13"/>
      <c r="D715" s="83"/>
    </row>
    <row r="716">
      <c r="A716" s="13"/>
      <c r="D716" s="83"/>
    </row>
    <row r="717">
      <c r="A717" s="13"/>
      <c r="D717" s="83"/>
    </row>
    <row r="718">
      <c r="A718" s="13"/>
      <c r="D718" s="83"/>
    </row>
    <row r="719">
      <c r="A719" s="13"/>
      <c r="D719" s="83"/>
    </row>
    <row r="720">
      <c r="A720" s="13"/>
      <c r="D720" s="83"/>
    </row>
    <row r="721">
      <c r="A721" s="13"/>
      <c r="D721" s="83"/>
    </row>
    <row r="722">
      <c r="A722" s="13"/>
      <c r="D722" s="83"/>
    </row>
    <row r="723">
      <c r="A723" s="13"/>
      <c r="D723" s="83"/>
    </row>
    <row r="724">
      <c r="A724" s="13"/>
      <c r="D724" s="83"/>
    </row>
    <row r="725">
      <c r="A725" s="13"/>
      <c r="D725" s="83"/>
    </row>
    <row r="726">
      <c r="A726" s="13"/>
      <c r="D726" s="83"/>
    </row>
    <row r="727">
      <c r="A727" s="13"/>
      <c r="D727" s="83"/>
    </row>
    <row r="728">
      <c r="A728" s="13"/>
      <c r="D728" s="83"/>
    </row>
    <row r="729">
      <c r="A729" s="13"/>
      <c r="D729" s="83"/>
    </row>
    <row r="730">
      <c r="A730" s="13"/>
      <c r="D730" s="83"/>
    </row>
    <row r="731">
      <c r="A731" s="13"/>
      <c r="D731" s="83"/>
    </row>
    <row r="732">
      <c r="A732" s="13"/>
      <c r="D732" s="83"/>
    </row>
    <row r="733">
      <c r="A733" s="13"/>
      <c r="D733" s="83"/>
    </row>
    <row r="734">
      <c r="A734" s="13"/>
      <c r="D734" s="83"/>
    </row>
    <row r="735">
      <c r="A735" s="13"/>
      <c r="D735" s="83"/>
    </row>
    <row r="736">
      <c r="A736" s="13"/>
      <c r="D736" s="83"/>
    </row>
    <row r="737">
      <c r="A737" s="13"/>
      <c r="D737" s="83"/>
    </row>
    <row r="738">
      <c r="A738" s="13"/>
      <c r="D738" s="83"/>
    </row>
    <row r="739">
      <c r="A739" s="13"/>
      <c r="D739" s="83"/>
    </row>
    <row r="740">
      <c r="A740" s="13"/>
      <c r="D740" s="83"/>
    </row>
    <row r="741">
      <c r="A741" s="13"/>
      <c r="D741" s="83"/>
    </row>
    <row r="742">
      <c r="A742" s="13"/>
      <c r="D742" s="83"/>
    </row>
    <row r="743">
      <c r="A743" s="13"/>
      <c r="D743" s="83"/>
    </row>
    <row r="744">
      <c r="A744" s="13"/>
      <c r="D744" s="83"/>
    </row>
    <row r="745">
      <c r="A745" s="13"/>
      <c r="D745" s="83"/>
    </row>
    <row r="746">
      <c r="A746" s="13"/>
      <c r="D746" s="83"/>
    </row>
    <row r="747">
      <c r="A747" s="13"/>
      <c r="D747" s="83"/>
    </row>
    <row r="748">
      <c r="A748" s="13"/>
      <c r="D748" s="83"/>
    </row>
    <row r="749">
      <c r="A749" s="13"/>
      <c r="D749" s="83"/>
    </row>
    <row r="750">
      <c r="A750" s="13"/>
      <c r="D750" s="83"/>
    </row>
    <row r="751">
      <c r="A751" s="13"/>
      <c r="D751" s="83"/>
    </row>
    <row r="752">
      <c r="A752" s="13"/>
      <c r="D752" s="83"/>
    </row>
    <row r="753">
      <c r="A753" s="13"/>
      <c r="D753" s="83"/>
    </row>
    <row r="754">
      <c r="A754" s="13"/>
      <c r="D754" s="83"/>
    </row>
    <row r="755">
      <c r="A755" s="13"/>
      <c r="D755" s="83"/>
    </row>
    <row r="756">
      <c r="A756" s="13"/>
      <c r="D756" s="83"/>
    </row>
    <row r="757">
      <c r="A757" s="13"/>
      <c r="D757" s="83"/>
    </row>
    <row r="758">
      <c r="A758" s="13"/>
      <c r="D758" s="83"/>
    </row>
    <row r="759">
      <c r="A759" s="13"/>
      <c r="D759" s="83"/>
    </row>
    <row r="760">
      <c r="A760" s="13"/>
      <c r="D760" s="83"/>
    </row>
    <row r="761">
      <c r="A761" s="13"/>
      <c r="D761" s="83"/>
    </row>
    <row r="762">
      <c r="A762" s="13"/>
      <c r="D762" s="83"/>
    </row>
    <row r="763">
      <c r="A763" s="13"/>
      <c r="D763" s="83"/>
    </row>
    <row r="764">
      <c r="A764" s="13"/>
      <c r="D764" s="83"/>
    </row>
    <row r="765">
      <c r="A765" s="13"/>
      <c r="D765" s="83"/>
    </row>
    <row r="766">
      <c r="A766" s="13"/>
      <c r="D766" s="83"/>
    </row>
    <row r="767">
      <c r="A767" s="13"/>
      <c r="D767" s="83"/>
    </row>
    <row r="768">
      <c r="A768" s="13"/>
      <c r="D768" s="83"/>
    </row>
    <row r="769">
      <c r="A769" s="13"/>
      <c r="D769" s="83"/>
    </row>
    <row r="770">
      <c r="A770" s="13"/>
      <c r="D770" s="83"/>
    </row>
    <row r="771">
      <c r="A771" s="13"/>
      <c r="D771" s="83"/>
    </row>
    <row r="772">
      <c r="A772" s="13"/>
      <c r="D772" s="83"/>
    </row>
    <row r="773">
      <c r="A773" s="13"/>
      <c r="D773" s="83"/>
    </row>
    <row r="774">
      <c r="A774" s="13"/>
      <c r="D774" s="83"/>
    </row>
    <row r="775">
      <c r="A775" s="13"/>
      <c r="D775" s="83"/>
    </row>
    <row r="776">
      <c r="A776" s="13"/>
      <c r="D776" s="83"/>
    </row>
    <row r="777">
      <c r="A777" s="13"/>
      <c r="D777" s="83"/>
    </row>
    <row r="778">
      <c r="A778" s="13"/>
      <c r="D778" s="83"/>
    </row>
    <row r="779">
      <c r="A779" s="13"/>
      <c r="D779" s="83"/>
    </row>
    <row r="780">
      <c r="A780" s="13"/>
      <c r="D780" s="83"/>
    </row>
    <row r="781">
      <c r="A781" s="13"/>
      <c r="D781" s="83"/>
    </row>
    <row r="782">
      <c r="A782" s="13"/>
      <c r="D782" s="83"/>
    </row>
    <row r="783">
      <c r="A783" s="13"/>
      <c r="D783" s="83"/>
    </row>
    <row r="784">
      <c r="A784" s="13"/>
      <c r="D784" s="83"/>
    </row>
    <row r="785">
      <c r="A785" s="13"/>
      <c r="D785" s="83"/>
    </row>
    <row r="786">
      <c r="A786" s="13"/>
      <c r="D786" s="83"/>
    </row>
    <row r="787">
      <c r="A787" s="13"/>
      <c r="D787" s="83"/>
    </row>
    <row r="788">
      <c r="A788" s="13"/>
      <c r="D788" s="83"/>
    </row>
    <row r="789">
      <c r="A789" s="13"/>
      <c r="D789" s="83"/>
    </row>
    <row r="790">
      <c r="A790" s="13"/>
      <c r="D790" s="83"/>
    </row>
    <row r="791">
      <c r="A791" s="13"/>
      <c r="D791" s="83"/>
    </row>
    <row r="792">
      <c r="A792" s="13"/>
      <c r="D792" s="83"/>
    </row>
    <row r="793">
      <c r="A793" s="13"/>
      <c r="D793" s="83"/>
    </row>
    <row r="794">
      <c r="A794" s="13"/>
      <c r="D794" s="83"/>
    </row>
    <row r="795">
      <c r="A795" s="13"/>
      <c r="D795" s="83"/>
    </row>
    <row r="796">
      <c r="A796" s="13"/>
      <c r="D796" s="83"/>
    </row>
    <row r="797">
      <c r="A797" s="13"/>
      <c r="D797" s="83"/>
    </row>
    <row r="798">
      <c r="A798" s="13"/>
      <c r="D798" s="83"/>
    </row>
    <row r="799">
      <c r="A799" s="13"/>
      <c r="D799" s="83"/>
    </row>
    <row r="800">
      <c r="A800" s="13"/>
      <c r="D800" s="83"/>
    </row>
    <row r="801">
      <c r="A801" s="13"/>
      <c r="D801" s="83"/>
    </row>
    <row r="802">
      <c r="A802" s="13"/>
      <c r="D802" s="83"/>
    </row>
    <row r="803">
      <c r="A803" s="13"/>
      <c r="D803" s="83"/>
    </row>
    <row r="804">
      <c r="A804" s="13"/>
      <c r="D804" s="83"/>
    </row>
    <row r="805">
      <c r="A805" s="13"/>
      <c r="D805" s="83"/>
    </row>
    <row r="806">
      <c r="A806" s="13"/>
      <c r="D806" s="83"/>
    </row>
    <row r="807">
      <c r="A807" s="13"/>
      <c r="D807" s="83"/>
    </row>
    <row r="808">
      <c r="A808" s="13"/>
      <c r="D808" s="83"/>
    </row>
    <row r="809">
      <c r="A809" s="13"/>
      <c r="D809" s="83"/>
    </row>
    <row r="810">
      <c r="A810" s="13"/>
      <c r="D810" s="83"/>
    </row>
    <row r="811">
      <c r="A811" s="13"/>
      <c r="D811" s="83"/>
    </row>
    <row r="812">
      <c r="A812" s="13"/>
      <c r="D812" s="83"/>
    </row>
    <row r="813">
      <c r="A813" s="13"/>
      <c r="D813" s="83"/>
    </row>
    <row r="814">
      <c r="A814" s="13"/>
      <c r="D814" s="83"/>
    </row>
    <row r="815">
      <c r="A815" s="13"/>
      <c r="D815" s="83"/>
    </row>
    <row r="816">
      <c r="A816" s="13"/>
      <c r="D816" s="83"/>
    </row>
    <row r="817">
      <c r="A817" s="13"/>
      <c r="D817" s="83"/>
    </row>
    <row r="818">
      <c r="A818" s="13"/>
      <c r="D818" s="83"/>
    </row>
    <row r="819">
      <c r="A819" s="13"/>
      <c r="D819" s="83"/>
    </row>
    <row r="820">
      <c r="A820" s="13"/>
      <c r="D820" s="83"/>
    </row>
    <row r="821">
      <c r="A821" s="13"/>
      <c r="D821" s="83"/>
    </row>
    <row r="822">
      <c r="A822" s="13"/>
      <c r="D822" s="83"/>
    </row>
    <row r="823">
      <c r="A823" s="13"/>
      <c r="D823" s="83"/>
    </row>
    <row r="824">
      <c r="A824" s="13"/>
      <c r="D824" s="83"/>
    </row>
    <row r="825">
      <c r="A825" s="13"/>
      <c r="D825" s="83"/>
    </row>
    <row r="826">
      <c r="A826" s="13"/>
      <c r="D826" s="83"/>
    </row>
    <row r="827">
      <c r="A827" s="13"/>
      <c r="D827" s="83"/>
    </row>
    <row r="828">
      <c r="A828" s="13"/>
      <c r="D828" s="83"/>
    </row>
    <row r="829">
      <c r="A829" s="13"/>
      <c r="D829" s="83"/>
    </row>
    <row r="830">
      <c r="A830" s="13"/>
      <c r="D830" s="83"/>
    </row>
    <row r="831">
      <c r="A831" s="13"/>
      <c r="D831" s="83"/>
    </row>
    <row r="832">
      <c r="A832" s="13"/>
      <c r="D832" s="83"/>
    </row>
    <row r="833">
      <c r="A833" s="13"/>
      <c r="D833" s="83"/>
    </row>
    <row r="834">
      <c r="A834" s="13"/>
      <c r="D834" s="83"/>
    </row>
    <row r="835">
      <c r="A835" s="13"/>
      <c r="D835" s="83"/>
    </row>
    <row r="836">
      <c r="A836" s="13"/>
      <c r="D836" s="83"/>
    </row>
    <row r="837">
      <c r="A837" s="13"/>
      <c r="D837" s="83"/>
    </row>
    <row r="838">
      <c r="A838" s="13"/>
      <c r="D838" s="83"/>
    </row>
    <row r="839">
      <c r="A839" s="13"/>
      <c r="D839" s="83"/>
    </row>
    <row r="840">
      <c r="A840" s="13"/>
      <c r="D840" s="83"/>
    </row>
    <row r="841">
      <c r="A841" s="13"/>
      <c r="D841" s="83"/>
    </row>
    <row r="842">
      <c r="A842" s="13"/>
      <c r="D842" s="83"/>
    </row>
    <row r="843">
      <c r="A843" s="13"/>
      <c r="D843" s="83"/>
    </row>
    <row r="844">
      <c r="A844" s="13"/>
      <c r="D844" s="83"/>
    </row>
    <row r="845">
      <c r="A845" s="13"/>
      <c r="D845" s="83"/>
    </row>
    <row r="846">
      <c r="A846" s="13"/>
      <c r="D846" s="83"/>
    </row>
    <row r="847">
      <c r="A847" s="13"/>
      <c r="D847" s="83"/>
    </row>
    <row r="848">
      <c r="A848" s="13"/>
      <c r="D848" s="83"/>
    </row>
    <row r="849">
      <c r="A849" s="13"/>
      <c r="D849" s="83"/>
    </row>
    <row r="850">
      <c r="A850" s="13"/>
      <c r="D850" s="83"/>
    </row>
    <row r="851">
      <c r="A851" s="13"/>
      <c r="D851" s="83"/>
    </row>
    <row r="852">
      <c r="A852" s="13"/>
      <c r="D852" s="83"/>
    </row>
    <row r="853">
      <c r="A853" s="13"/>
      <c r="D853" s="83"/>
    </row>
    <row r="854">
      <c r="A854" s="13"/>
      <c r="D854" s="83"/>
    </row>
    <row r="855">
      <c r="A855" s="13"/>
      <c r="D855" s="83"/>
    </row>
    <row r="856">
      <c r="A856" s="13"/>
      <c r="D856" s="83"/>
    </row>
    <row r="857">
      <c r="A857" s="13"/>
      <c r="D857" s="83"/>
    </row>
    <row r="858">
      <c r="A858" s="13"/>
      <c r="D858" s="83"/>
    </row>
    <row r="859">
      <c r="A859" s="13"/>
      <c r="D859" s="83"/>
    </row>
    <row r="860">
      <c r="A860" s="13"/>
      <c r="D860" s="83"/>
    </row>
    <row r="861">
      <c r="A861" s="13"/>
      <c r="D861" s="83"/>
    </row>
    <row r="862">
      <c r="A862" s="13"/>
      <c r="D862" s="83"/>
    </row>
    <row r="863">
      <c r="A863" s="13"/>
      <c r="D863" s="83"/>
    </row>
    <row r="864">
      <c r="A864" s="13"/>
      <c r="D864" s="83"/>
    </row>
    <row r="865">
      <c r="A865" s="13"/>
      <c r="D865" s="83"/>
    </row>
    <row r="866">
      <c r="A866" s="13"/>
      <c r="D866" s="83"/>
    </row>
    <row r="867">
      <c r="A867" s="13"/>
      <c r="D867" s="83"/>
    </row>
    <row r="868">
      <c r="A868" s="13"/>
      <c r="D868" s="83"/>
    </row>
    <row r="869">
      <c r="A869" s="13"/>
      <c r="D869" s="83"/>
    </row>
    <row r="870">
      <c r="A870" s="13"/>
      <c r="D870" s="83"/>
    </row>
    <row r="871">
      <c r="A871" s="13"/>
      <c r="D871" s="83"/>
    </row>
    <row r="872">
      <c r="A872" s="13"/>
      <c r="D872" s="83"/>
    </row>
    <row r="873">
      <c r="A873" s="13"/>
      <c r="D873" s="83"/>
    </row>
    <row r="874">
      <c r="A874" s="13"/>
      <c r="D874" s="83"/>
    </row>
    <row r="875">
      <c r="A875" s="13"/>
      <c r="D875" s="83"/>
    </row>
    <row r="876">
      <c r="A876" s="13"/>
      <c r="D876" s="83"/>
    </row>
    <row r="877">
      <c r="A877" s="13"/>
      <c r="D877" s="83"/>
    </row>
    <row r="878">
      <c r="A878" s="13"/>
      <c r="D878" s="83"/>
    </row>
    <row r="879">
      <c r="A879" s="13"/>
      <c r="D879" s="83"/>
    </row>
    <row r="880">
      <c r="A880" s="13"/>
      <c r="D880" s="83"/>
    </row>
    <row r="881">
      <c r="A881" s="13"/>
      <c r="D881" s="83"/>
    </row>
    <row r="882">
      <c r="A882" s="13"/>
      <c r="D882" s="83"/>
    </row>
    <row r="883">
      <c r="A883" s="13"/>
      <c r="D883" s="83"/>
    </row>
    <row r="884">
      <c r="A884" s="13"/>
      <c r="D884" s="83"/>
    </row>
    <row r="885">
      <c r="A885" s="13"/>
      <c r="D885" s="83"/>
    </row>
    <row r="886">
      <c r="A886" s="13"/>
      <c r="D886" s="83"/>
    </row>
    <row r="887">
      <c r="A887" s="13"/>
      <c r="D887" s="83"/>
    </row>
    <row r="888">
      <c r="A888" s="13"/>
      <c r="D888" s="83"/>
    </row>
    <row r="889">
      <c r="A889" s="13"/>
      <c r="D889" s="83"/>
    </row>
    <row r="890">
      <c r="A890" s="13"/>
      <c r="D890" s="83"/>
    </row>
    <row r="891">
      <c r="A891" s="13"/>
      <c r="D891" s="83"/>
    </row>
    <row r="892">
      <c r="A892" s="13"/>
      <c r="D892" s="83"/>
    </row>
    <row r="893">
      <c r="A893" s="13"/>
      <c r="D893" s="83"/>
    </row>
    <row r="894">
      <c r="A894" s="13"/>
      <c r="D894" s="83"/>
    </row>
    <row r="895">
      <c r="A895" s="13"/>
      <c r="D895" s="83"/>
    </row>
    <row r="896">
      <c r="A896" s="13"/>
      <c r="D896" s="83"/>
    </row>
    <row r="897">
      <c r="A897" s="13"/>
      <c r="D897" s="83"/>
    </row>
    <row r="898">
      <c r="A898" s="13"/>
      <c r="D898" s="83"/>
    </row>
    <row r="899">
      <c r="A899" s="13"/>
      <c r="D899" s="83"/>
    </row>
    <row r="900">
      <c r="A900" s="13"/>
      <c r="D900" s="83"/>
    </row>
    <row r="901">
      <c r="A901" s="13"/>
      <c r="D901" s="83"/>
    </row>
    <row r="902">
      <c r="A902" s="13"/>
      <c r="D902" s="83"/>
    </row>
    <row r="903">
      <c r="A903" s="13"/>
      <c r="D903" s="83"/>
    </row>
    <row r="904">
      <c r="A904" s="13"/>
      <c r="D904" s="83"/>
    </row>
    <row r="905">
      <c r="A905" s="13"/>
      <c r="D905" s="83"/>
    </row>
    <row r="906">
      <c r="A906" s="13"/>
      <c r="D906" s="83"/>
    </row>
    <row r="907">
      <c r="A907" s="13"/>
      <c r="D907" s="83"/>
    </row>
    <row r="908">
      <c r="A908" s="13"/>
      <c r="D908" s="83"/>
    </row>
    <row r="909">
      <c r="A909" s="13"/>
      <c r="D909" s="83"/>
    </row>
    <row r="910">
      <c r="A910" s="13"/>
      <c r="D910" s="83"/>
    </row>
    <row r="911">
      <c r="A911" s="13"/>
      <c r="D911" s="83"/>
    </row>
    <row r="912">
      <c r="A912" s="13"/>
      <c r="D912" s="83"/>
    </row>
    <row r="913">
      <c r="A913" s="13"/>
      <c r="D913" s="83"/>
    </row>
    <row r="914">
      <c r="A914" s="13"/>
      <c r="D914" s="83"/>
    </row>
    <row r="915">
      <c r="A915" s="13"/>
      <c r="D915" s="83"/>
    </row>
    <row r="916">
      <c r="A916" s="13"/>
      <c r="D916" s="83"/>
    </row>
    <row r="917">
      <c r="A917" s="13"/>
      <c r="D917" s="83"/>
    </row>
    <row r="918">
      <c r="A918" s="13"/>
      <c r="D918" s="83"/>
    </row>
    <row r="919">
      <c r="A919" s="13"/>
      <c r="D919" s="83"/>
    </row>
    <row r="920">
      <c r="A920" s="13"/>
      <c r="D920" s="83"/>
    </row>
    <row r="921">
      <c r="A921" s="13"/>
      <c r="D921" s="83"/>
    </row>
    <row r="922">
      <c r="A922" s="13"/>
      <c r="D922" s="83"/>
    </row>
    <row r="923">
      <c r="A923" s="13"/>
      <c r="D923" s="83"/>
    </row>
    <row r="924">
      <c r="A924" s="13"/>
      <c r="D924" s="83"/>
    </row>
    <row r="925">
      <c r="A925" s="13"/>
      <c r="D925" s="83"/>
    </row>
    <row r="926">
      <c r="A926" s="13"/>
      <c r="D926" s="83"/>
    </row>
    <row r="927">
      <c r="A927" s="13"/>
      <c r="D927" s="83"/>
    </row>
    <row r="928">
      <c r="A928" s="13"/>
      <c r="D928" s="83"/>
    </row>
    <row r="929">
      <c r="A929" s="13"/>
      <c r="D929" s="83"/>
    </row>
    <row r="930">
      <c r="A930" s="13"/>
      <c r="D930" s="83"/>
    </row>
    <row r="931">
      <c r="A931" s="13"/>
      <c r="D931" s="83"/>
    </row>
    <row r="932">
      <c r="A932" s="13"/>
      <c r="D932" s="83"/>
    </row>
    <row r="933">
      <c r="A933" s="13"/>
      <c r="D933" s="83"/>
    </row>
    <row r="934">
      <c r="A934" s="13"/>
      <c r="D934" s="83"/>
    </row>
    <row r="935">
      <c r="A935" s="13"/>
      <c r="D935" s="83"/>
    </row>
    <row r="936">
      <c r="A936" s="13"/>
      <c r="D936" s="83"/>
    </row>
    <row r="937">
      <c r="A937" s="13"/>
      <c r="D937" s="83"/>
    </row>
    <row r="938">
      <c r="A938" s="13"/>
      <c r="D938" s="83"/>
    </row>
    <row r="939">
      <c r="A939" s="13"/>
      <c r="D939" s="83"/>
    </row>
    <row r="940">
      <c r="A940" s="13"/>
      <c r="D940" s="83"/>
    </row>
    <row r="941">
      <c r="A941" s="13"/>
      <c r="D941" s="83"/>
    </row>
    <row r="942">
      <c r="A942" s="13"/>
      <c r="D942" s="83"/>
    </row>
    <row r="943">
      <c r="A943" s="13"/>
      <c r="D943" s="83"/>
    </row>
    <row r="944">
      <c r="A944" s="13"/>
      <c r="D944" s="83"/>
    </row>
    <row r="945">
      <c r="A945" s="13"/>
      <c r="D945" s="83"/>
    </row>
    <row r="946">
      <c r="A946" s="13"/>
      <c r="D946" s="83"/>
    </row>
    <row r="947">
      <c r="A947" s="13"/>
      <c r="D947" s="83"/>
    </row>
    <row r="948">
      <c r="A948" s="13"/>
      <c r="D948" s="83"/>
    </row>
    <row r="949">
      <c r="A949" s="13"/>
      <c r="D949" s="83"/>
    </row>
    <row r="950">
      <c r="A950" s="13"/>
      <c r="D950" s="83"/>
    </row>
    <row r="951">
      <c r="A951" s="13"/>
      <c r="D951" s="83"/>
    </row>
    <row r="952">
      <c r="A952" s="13"/>
      <c r="D952" s="83"/>
    </row>
    <row r="953">
      <c r="A953" s="13"/>
      <c r="D953" s="83"/>
    </row>
    <row r="954">
      <c r="A954" s="13"/>
      <c r="D954" s="83"/>
    </row>
    <row r="955">
      <c r="A955" s="13"/>
      <c r="D955" s="83"/>
    </row>
    <row r="956">
      <c r="A956" s="13"/>
      <c r="D956" s="83"/>
    </row>
    <row r="957">
      <c r="A957" s="13"/>
      <c r="D957" s="83"/>
    </row>
    <row r="958">
      <c r="A958" s="13"/>
      <c r="D958" s="83"/>
    </row>
    <row r="959">
      <c r="A959" s="13"/>
      <c r="D959" s="83"/>
    </row>
    <row r="960">
      <c r="A960" s="13"/>
      <c r="D960" s="83"/>
    </row>
    <row r="961">
      <c r="A961" s="13"/>
      <c r="D961" s="83"/>
    </row>
    <row r="962">
      <c r="A962" s="13"/>
      <c r="D962" s="83"/>
    </row>
    <row r="963">
      <c r="A963" s="13"/>
      <c r="D963" s="83"/>
    </row>
    <row r="964">
      <c r="A964" s="13"/>
      <c r="D964" s="83"/>
    </row>
    <row r="965">
      <c r="A965" s="13"/>
      <c r="D965" s="83"/>
    </row>
    <row r="966">
      <c r="A966" s="13"/>
      <c r="D966" s="83"/>
    </row>
    <row r="967">
      <c r="A967" s="13"/>
      <c r="D967" s="83"/>
    </row>
    <row r="968">
      <c r="A968" s="13"/>
      <c r="D968" s="83"/>
    </row>
    <row r="969">
      <c r="A969" s="13"/>
      <c r="D969" s="83"/>
    </row>
    <row r="970">
      <c r="A970" s="13"/>
      <c r="D970" s="83"/>
    </row>
    <row r="971">
      <c r="A971" s="13"/>
      <c r="D971" s="83"/>
    </row>
    <row r="972">
      <c r="A972" s="13"/>
      <c r="D972" s="83"/>
    </row>
    <row r="973">
      <c r="A973" s="13"/>
      <c r="D973" s="83"/>
    </row>
    <row r="974">
      <c r="A974" s="13"/>
      <c r="D974" s="83"/>
    </row>
    <row r="975">
      <c r="A975" s="13"/>
      <c r="D975" s="83"/>
    </row>
    <row r="976">
      <c r="A976" s="13"/>
      <c r="D976" s="83"/>
    </row>
    <row r="977">
      <c r="A977" s="13"/>
      <c r="D977" s="83"/>
    </row>
    <row r="978">
      <c r="A978" s="13"/>
      <c r="D978" s="83"/>
    </row>
    <row r="979">
      <c r="A979" s="13"/>
      <c r="D979" s="83"/>
    </row>
    <row r="980">
      <c r="A980" s="13"/>
      <c r="D980" s="83"/>
    </row>
    <row r="981">
      <c r="A981" s="13"/>
      <c r="D981" s="83"/>
    </row>
    <row r="982">
      <c r="A982" s="13"/>
      <c r="D982" s="83"/>
    </row>
    <row r="983">
      <c r="A983" s="13"/>
      <c r="D983" s="83"/>
    </row>
    <row r="984">
      <c r="A984" s="13"/>
      <c r="D984" s="83"/>
    </row>
    <row r="985">
      <c r="A985" s="13"/>
      <c r="D985" s="83"/>
    </row>
    <row r="986">
      <c r="A986" s="13"/>
      <c r="D986" s="83"/>
    </row>
    <row r="987">
      <c r="A987" s="13"/>
      <c r="D987" s="83"/>
    </row>
    <row r="988">
      <c r="A988" s="13"/>
      <c r="D988" s="83"/>
    </row>
    <row r="989">
      <c r="A989" s="13"/>
      <c r="D989" s="83"/>
    </row>
    <row r="990">
      <c r="A990" s="13"/>
      <c r="D990" s="83"/>
    </row>
    <row r="991">
      <c r="A991" s="13"/>
      <c r="D991" s="83"/>
    </row>
    <row r="992">
      <c r="A992" s="13"/>
      <c r="D992" s="83"/>
    </row>
    <row r="993">
      <c r="A993" s="13"/>
      <c r="D993" s="83"/>
    </row>
    <row r="994">
      <c r="A994" s="13"/>
      <c r="D994" s="83"/>
    </row>
    <row r="995">
      <c r="A995" s="13"/>
      <c r="D995" s="83"/>
    </row>
    <row r="996">
      <c r="A996" s="13"/>
      <c r="D996" s="83"/>
    </row>
    <row r="997">
      <c r="A997" s="13"/>
      <c r="D997" s="83"/>
    </row>
    <row r="998">
      <c r="A998" s="13"/>
      <c r="D998" s="83"/>
    </row>
    <row r="999">
      <c r="A999" s="13"/>
      <c r="D999" s="83"/>
    </row>
    <row r="1000">
      <c r="A1000" s="13"/>
      <c r="D1000" s="83"/>
    </row>
    <row r="1001">
      <c r="A1001" s="13"/>
      <c r="D1001" s="83"/>
    </row>
    <row r="1002">
      <c r="A1002" s="13"/>
      <c r="D1002" s="83"/>
    </row>
    <row r="1003">
      <c r="A1003" s="13"/>
      <c r="D1003" s="83"/>
    </row>
    <row r="1004">
      <c r="A1004" s="13"/>
      <c r="D1004" s="83"/>
    </row>
    <row r="1005">
      <c r="A1005" s="13"/>
      <c r="D1005" s="83"/>
    </row>
    <row r="1006">
      <c r="A1006" s="13"/>
      <c r="D1006" s="83"/>
    </row>
    <row r="1007">
      <c r="A1007" s="13"/>
      <c r="D1007" s="83"/>
    </row>
    <row r="1008">
      <c r="A1008" s="13"/>
      <c r="D1008" s="83"/>
    </row>
    <row r="1009">
      <c r="A1009" s="13"/>
      <c r="D1009" s="83"/>
    </row>
    <row r="1010">
      <c r="A1010" s="13"/>
      <c r="D1010" s="83"/>
    </row>
    <row r="1011">
      <c r="A1011" s="13"/>
      <c r="D1011" s="83"/>
    </row>
    <row r="1012">
      <c r="A1012" s="13"/>
      <c r="D1012" s="83"/>
    </row>
    <row r="1013">
      <c r="A1013" s="13"/>
      <c r="D1013" s="83"/>
    </row>
    <row r="1014">
      <c r="A1014" s="13"/>
      <c r="D1014" s="83"/>
    </row>
    <row r="1015">
      <c r="A1015" s="13"/>
      <c r="D1015" s="83"/>
    </row>
    <row r="1016">
      <c r="A1016" s="13"/>
      <c r="D1016" s="83"/>
    </row>
    <row r="1017">
      <c r="A1017" s="13"/>
      <c r="D1017" s="83"/>
    </row>
    <row r="1018">
      <c r="A1018" s="13"/>
      <c r="D1018" s="83"/>
    </row>
    <row r="1019">
      <c r="A1019" s="13"/>
      <c r="D1019" s="83"/>
    </row>
    <row r="1020">
      <c r="A1020" s="13"/>
      <c r="D1020" s="83"/>
    </row>
    <row r="1021">
      <c r="A1021" s="13"/>
      <c r="D1021" s="83"/>
    </row>
    <row r="1022">
      <c r="A1022" s="13"/>
      <c r="D1022" s="83"/>
    </row>
    <row r="1023">
      <c r="A1023" s="13"/>
      <c r="D1023" s="83"/>
    </row>
    <row r="1024">
      <c r="A1024" s="13"/>
      <c r="D1024" s="83"/>
    </row>
    <row r="1025">
      <c r="A1025" s="13"/>
      <c r="D1025" s="83"/>
    </row>
    <row r="1026">
      <c r="A1026" s="13"/>
      <c r="D1026" s="83"/>
    </row>
    <row r="1027">
      <c r="A1027" s="13"/>
      <c r="D1027" s="83"/>
    </row>
    <row r="1028">
      <c r="A1028" s="13"/>
      <c r="D1028" s="83"/>
    </row>
    <row r="1029">
      <c r="A1029" s="13"/>
      <c r="D1029" s="83"/>
    </row>
    <row r="1030">
      <c r="A1030" s="13"/>
      <c r="D1030" s="83"/>
    </row>
    <row r="1031">
      <c r="A1031" s="13"/>
      <c r="D1031" s="83"/>
    </row>
    <row r="1032">
      <c r="A1032" s="13"/>
      <c r="D1032" s="83"/>
    </row>
    <row r="1033">
      <c r="A1033" s="13"/>
      <c r="D1033" s="83"/>
    </row>
    <row r="1034">
      <c r="A1034" s="13"/>
      <c r="D1034" s="83"/>
    </row>
    <row r="1035">
      <c r="A1035" s="13"/>
      <c r="D1035" s="83"/>
    </row>
    <row r="1036">
      <c r="A1036" s="13"/>
      <c r="D1036" s="83"/>
    </row>
    <row r="1037">
      <c r="A1037" s="13"/>
      <c r="D1037" s="83"/>
    </row>
    <row r="1038">
      <c r="A1038" s="13"/>
      <c r="D1038" s="83"/>
    </row>
    <row r="1039">
      <c r="A1039" s="13"/>
      <c r="D1039" s="83"/>
    </row>
    <row r="1040">
      <c r="A1040" s="13"/>
      <c r="D1040" s="83"/>
    </row>
    <row r="1041">
      <c r="A1041" s="13"/>
      <c r="D1041" s="83"/>
    </row>
    <row r="1042">
      <c r="A1042" s="13"/>
      <c r="D1042" s="83"/>
    </row>
    <row r="1043">
      <c r="A1043" s="13"/>
      <c r="D1043" s="83"/>
    </row>
    <row r="1044">
      <c r="A1044" s="13"/>
      <c r="D1044" s="83"/>
    </row>
    <row r="1045">
      <c r="A1045" s="13"/>
      <c r="D1045" s="83"/>
    </row>
    <row r="1046">
      <c r="A1046" s="13"/>
      <c r="D1046" s="83"/>
    </row>
    <row r="1047">
      <c r="A1047" s="13"/>
      <c r="D1047" s="83"/>
    </row>
    <row r="1048">
      <c r="A1048" s="13"/>
      <c r="D1048" s="83"/>
    </row>
    <row r="1049">
      <c r="A1049" s="13"/>
      <c r="D1049" s="83"/>
    </row>
    <row r="1050">
      <c r="A1050" s="13"/>
      <c r="D1050" s="83"/>
    </row>
    <row r="1051">
      <c r="A1051" s="13"/>
      <c r="D1051" s="83"/>
    </row>
    <row r="1052">
      <c r="A1052" s="13"/>
      <c r="D1052" s="83"/>
    </row>
    <row r="1053">
      <c r="A1053" s="13"/>
      <c r="D1053" s="83"/>
    </row>
    <row r="1054">
      <c r="A1054" s="13"/>
      <c r="D1054" s="83"/>
    </row>
    <row r="1055">
      <c r="A1055" s="13"/>
      <c r="D1055" s="83"/>
    </row>
    <row r="1056">
      <c r="A1056" s="13"/>
      <c r="D1056" s="83"/>
    </row>
    <row r="1057">
      <c r="A1057" s="13"/>
      <c r="D1057" s="83"/>
    </row>
    <row r="1058">
      <c r="A1058" s="13"/>
      <c r="D1058" s="83"/>
    </row>
    <row r="1059">
      <c r="A1059" s="13"/>
      <c r="D1059" s="83"/>
    </row>
    <row r="1060">
      <c r="A1060" s="13"/>
      <c r="D1060" s="83"/>
    </row>
    <row r="1061">
      <c r="A1061" s="13"/>
      <c r="D1061" s="83"/>
    </row>
    <row r="1062">
      <c r="A1062" s="13"/>
      <c r="D1062" s="83"/>
    </row>
    <row r="1063">
      <c r="A1063" s="13"/>
      <c r="D1063" s="83"/>
    </row>
    <row r="1064">
      <c r="A1064" s="13"/>
      <c r="D1064" s="83"/>
    </row>
    <row r="1065">
      <c r="A1065" s="13"/>
      <c r="D1065" s="83"/>
    </row>
    <row r="1066">
      <c r="A1066" s="13"/>
      <c r="D1066" s="83"/>
    </row>
    <row r="1067">
      <c r="A1067" s="13"/>
      <c r="D1067" s="83"/>
    </row>
    <row r="1068">
      <c r="A1068" s="13"/>
      <c r="D1068" s="83"/>
    </row>
    <row r="1069">
      <c r="A1069" s="13"/>
      <c r="D1069" s="83"/>
    </row>
    <row r="1070">
      <c r="A1070" s="13"/>
      <c r="D1070" s="83"/>
    </row>
    <row r="1071">
      <c r="A1071" s="13"/>
      <c r="D1071" s="83"/>
    </row>
  </sheetData>
  <mergeCells count="1">
    <mergeCell ref="G1:H1"/>
  </mergeCells>
  <drawing r:id="rId1"/>
</worksheet>
</file>